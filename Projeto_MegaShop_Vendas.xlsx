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LT INFO\Documents\Estudos Natalia\Excel\Projeto MegaShop Vendas\"/>
    </mc:Choice>
  </mc:AlternateContent>
  <xr:revisionPtr revIDLastSave="0" documentId="13_ncr:1_{B9CD69FC-D2FE-4E0F-87D9-E46739377639}" xr6:coauthVersionLast="47" xr6:coauthVersionMax="47" xr10:uidLastSave="{00000000-0000-0000-0000-000000000000}"/>
  <bookViews>
    <workbookView xWindow="-120" yWindow="-120" windowWidth="29040" windowHeight="15840" firstSheet="3" activeTab="5" xr2:uid="{00000000-000D-0000-FFFF-FFFF00000000}"/>
  </bookViews>
  <sheets>
    <sheet name="Documentação_Projeto" sheetId="1" r:id="rId1"/>
    <sheet name="Dados_Vendas_Bruto" sheetId="2" r:id="rId2"/>
    <sheet name="Dados_Vendas_Tratamento" sheetId="4" r:id="rId3"/>
    <sheet name="Dados_Vendas_Limpo" sheetId="7" r:id="rId4"/>
    <sheet name="KPI_Cidades" sheetId="8" r:id="rId5"/>
    <sheet name="KPI_Produtos" sheetId="10" r:id="rId6"/>
    <sheet name="KPI_Vendedores" sheetId="11" r:id="rId7"/>
    <sheet name="KPI_Categoria" sheetId="14" r:id="rId8"/>
  </sheets>
  <definedNames>
    <definedName name="_xlnm._FilterDatabase" localSheetId="1" hidden="1">Dados_Vendas_Bruto!$A$1:$K$1286</definedName>
    <definedName name="_xlnm._FilterDatabase" localSheetId="3" hidden="1">Dados_Vendas_Limpo!$B$2:$L$1258</definedName>
    <definedName name="_xlnm._FilterDatabase" localSheetId="2" hidden="1">Dados_Vendas_Tratamento!$A$1:$N$1257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8" l="1"/>
  <c r="C2" i="4"/>
  <c r="C15" i="14"/>
  <c r="C12" i="14"/>
  <c r="C16" i="11"/>
  <c r="C13" i="11"/>
  <c r="C27" i="10"/>
  <c r="C24" i="10"/>
  <c r="C19" i="8"/>
  <c r="S37" i="4"/>
  <c r="S1257" i="4"/>
  <c r="S1256" i="4"/>
  <c r="S1255" i="4"/>
  <c r="S1254" i="4"/>
  <c r="S1253" i="4"/>
  <c r="S1252" i="4"/>
  <c r="S1251" i="4"/>
  <c r="S1250" i="4"/>
  <c r="S1249" i="4"/>
  <c r="S1248" i="4"/>
  <c r="S1247" i="4"/>
  <c r="S1246" i="4"/>
  <c r="S1245" i="4"/>
  <c r="S1244" i="4"/>
  <c r="S1243" i="4"/>
  <c r="S1242" i="4"/>
  <c r="S1241" i="4"/>
  <c r="S1240" i="4"/>
  <c r="S1239" i="4"/>
  <c r="S1238" i="4"/>
  <c r="S1237" i="4"/>
  <c r="S1236" i="4"/>
  <c r="S1235" i="4"/>
  <c r="S1234" i="4"/>
  <c r="S1233" i="4"/>
  <c r="S1232" i="4"/>
  <c r="S1231" i="4"/>
  <c r="S1230" i="4"/>
  <c r="S1229" i="4"/>
  <c r="S1228" i="4"/>
  <c r="S1227" i="4"/>
  <c r="S1226" i="4"/>
  <c r="S1225" i="4"/>
  <c r="S1224" i="4"/>
  <c r="S1223" i="4"/>
  <c r="S1222" i="4"/>
  <c r="S1221" i="4"/>
  <c r="S1220" i="4"/>
  <c r="S1219" i="4"/>
  <c r="S1218" i="4"/>
  <c r="S1217" i="4"/>
  <c r="S1216" i="4"/>
  <c r="S1215" i="4"/>
  <c r="S1214" i="4"/>
  <c r="S1213" i="4"/>
  <c r="S1212" i="4"/>
  <c r="S1211" i="4"/>
  <c r="S1210" i="4"/>
  <c r="S1209" i="4"/>
  <c r="S1208" i="4"/>
  <c r="S1207" i="4"/>
  <c r="S1206" i="4"/>
  <c r="S1205" i="4"/>
  <c r="S1204" i="4"/>
  <c r="S1203" i="4"/>
  <c r="S1202" i="4"/>
  <c r="S1201" i="4"/>
  <c r="S1200" i="4"/>
  <c r="S1199" i="4"/>
  <c r="S1198" i="4"/>
  <c r="S1197" i="4"/>
  <c r="S1196" i="4"/>
  <c r="S1195" i="4"/>
  <c r="S1194" i="4"/>
  <c r="S1193" i="4"/>
  <c r="S1192" i="4"/>
  <c r="S1191" i="4"/>
  <c r="S1190" i="4"/>
  <c r="S1189" i="4"/>
  <c r="S1188" i="4"/>
  <c r="S1187" i="4"/>
  <c r="S1186" i="4"/>
  <c r="S1185" i="4"/>
  <c r="S1184" i="4"/>
  <c r="S1183" i="4"/>
  <c r="S1182" i="4"/>
  <c r="S1181" i="4"/>
  <c r="S1180" i="4"/>
  <c r="S1179" i="4"/>
  <c r="S1178" i="4"/>
  <c r="S1177" i="4"/>
  <c r="S1176" i="4"/>
  <c r="S1175" i="4"/>
  <c r="S1174" i="4"/>
  <c r="S1173" i="4"/>
  <c r="S1172" i="4"/>
  <c r="S1171" i="4"/>
  <c r="S1170" i="4"/>
  <c r="S1169" i="4"/>
  <c r="S1168" i="4"/>
  <c r="S1167" i="4"/>
  <c r="S1166" i="4"/>
  <c r="S1165" i="4"/>
  <c r="S1164" i="4"/>
  <c r="S1163" i="4"/>
  <c r="S1162" i="4"/>
  <c r="S1161" i="4"/>
  <c r="S1160" i="4"/>
  <c r="S1159" i="4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1086" i="4"/>
  <c r="S1085" i="4"/>
  <c r="S1084" i="4"/>
  <c r="S1083" i="4"/>
  <c r="S1082" i="4"/>
  <c r="S1081" i="4"/>
  <c r="S1080" i="4"/>
  <c r="S1079" i="4"/>
  <c r="S1078" i="4"/>
  <c r="S1077" i="4"/>
  <c r="S1076" i="4"/>
  <c r="S1075" i="4"/>
  <c r="S1074" i="4"/>
  <c r="S1073" i="4"/>
  <c r="S1072" i="4"/>
  <c r="S1071" i="4"/>
  <c r="S1070" i="4"/>
  <c r="S1069" i="4"/>
  <c r="S1068" i="4"/>
  <c r="S1067" i="4"/>
  <c r="S1066" i="4"/>
  <c r="S1065" i="4"/>
  <c r="S1064" i="4"/>
  <c r="S1063" i="4"/>
  <c r="S1062" i="4"/>
  <c r="S1061" i="4"/>
  <c r="S1060" i="4"/>
  <c r="S1059" i="4"/>
  <c r="S1058" i="4"/>
  <c r="S1057" i="4"/>
  <c r="S1056" i="4"/>
  <c r="S1055" i="4"/>
  <c r="S1054" i="4"/>
  <c r="S1053" i="4"/>
  <c r="S1052" i="4"/>
  <c r="S1051" i="4"/>
  <c r="S1050" i="4"/>
  <c r="S1049" i="4"/>
  <c r="S1048" i="4"/>
  <c r="S1047" i="4"/>
  <c r="S1046" i="4"/>
  <c r="S1045" i="4"/>
  <c r="S1044" i="4"/>
  <c r="S1043" i="4"/>
  <c r="S1042" i="4"/>
  <c r="S1041" i="4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3" i="4"/>
  <c r="S4" i="4"/>
  <c r="E4" i="4"/>
  <c r="S2" i="4"/>
  <c r="Z1257" i="4"/>
  <c r="Z1256" i="4"/>
  <c r="Z1255" i="4"/>
  <c r="Z1254" i="4"/>
  <c r="Z1253" i="4"/>
  <c r="Z1252" i="4"/>
  <c r="Z1251" i="4"/>
  <c r="Z1250" i="4"/>
  <c r="Z1249" i="4"/>
  <c r="Z1248" i="4"/>
  <c r="Z1247" i="4"/>
  <c r="Z1246" i="4"/>
  <c r="Z1245" i="4"/>
  <c r="Z1244" i="4"/>
  <c r="Z1243" i="4"/>
  <c r="Z1242" i="4"/>
  <c r="Z1241" i="4"/>
  <c r="Z1240" i="4"/>
  <c r="Z1239" i="4"/>
  <c r="Z1238" i="4"/>
  <c r="Z1237" i="4"/>
  <c r="Z1236" i="4"/>
  <c r="Z1235" i="4"/>
  <c r="Z1234" i="4"/>
  <c r="Z1233" i="4"/>
  <c r="Z1232" i="4"/>
  <c r="Z1231" i="4"/>
  <c r="Z1230" i="4"/>
  <c r="Z1229" i="4"/>
  <c r="Z1228" i="4"/>
  <c r="Z1227" i="4"/>
  <c r="Z1226" i="4"/>
  <c r="Z1225" i="4"/>
  <c r="Z1224" i="4"/>
  <c r="Z1223" i="4"/>
  <c r="Z1222" i="4"/>
  <c r="Z1221" i="4"/>
  <c r="Z1220" i="4"/>
  <c r="Z1219" i="4"/>
  <c r="Z1218" i="4"/>
  <c r="Z1217" i="4"/>
  <c r="Z1216" i="4"/>
  <c r="Z1215" i="4"/>
  <c r="Z1214" i="4"/>
  <c r="Z1213" i="4"/>
  <c r="Z1212" i="4"/>
  <c r="Z1211" i="4"/>
  <c r="Z1210" i="4"/>
  <c r="Z1209" i="4"/>
  <c r="Z1208" i="4"/>
  <c r="Z1207" i="4"/>
  <c r="Z1206" i="4"/>
  <c r="Z1205" i="4"/>
  <c r="Z1204" i="4"/>
  <c r="Z1203" i="4"/>
  <c r="Z1202" i="4"/>
  <c r="Z1201" i="4"/>
  <c r="Z1200" i="4"/>
  <c r="Z1199" i="4"/>
  <c r="Z1198" i="4"/>
  <c r="Z1197" i="4"/>
  <c r="Z1196" i="4"/>
  <c r="Z1195" i="4"/>
  <c r="Z1194" i="4"/>
  <c r="Z1193" i="4"/>
  <c r="Z1192" i="4"/>
  <c r="Z1191" i="4"/>
  <c r="Z1190" i="4"/>
  <c r="Z1189" i="4"/>
  <c r="Z1188" i="4"/>
  <c r="Z1187" i="4"/>
  <c r="Z1186" i="4"/>
  <c r="Z1185" i="4"/>
  <c r="Z1184" i="4"/>
  <c r="Z1183" i="4"/>
  <c r="Z1182" i="4"/>
  <c r="Z1181" i="4"/>
  <c r="Z1180" i="4"/>
  <c r="Z1179" i="4"/>
  <c r="Z1178" i="4"/>
  <c r="Z1177" i="4"/>
  <c r="Z1176" i="4"/>
  <c r="Z1175" i="4"/>
  <c r="Z1174" i="4"/>
  <c r="Z1173" i="4"/>
  <c r="Z1172" i="4"/>
  <c r="Z1171" i="4"/>
  <c r="Z1170" i="4"/>
  <c r="Z1169" i="4"/>
  <c r="Z1168" i="4"/>
  <c r="Z1167" i="4"/>
  <c r="Z1166" i="4"/>
  <c r="Z1165" i="4"/>
  <c r="Z1164" i="4"/>
  <c r="Z1163" i="4"/>
  <c r="Z1162" i="4"/>
  <c r="Z1161" i="4"/>
  <c r="Z1160" i="4"/>
  <c r="Z1159" i="4"/>
  <c r="Z1158" i="4"/>
  <c r="Z1157" i="4"/>
  <c r="Z1156" i="4"/>
  <c r="Z1155" i="4"/>
  <c r="Z1154" i="4"/>
  <c r="Z1153" i="4"/>
  <c r="Z1152" i="4"/>
  <c r="Z1151" i="4"/>
  <c r="Z1150" i="4"/>
  <c r="Z1149" i="4"/>
  <c r="Z1148" i="4"/>
  <c r="Z1147" i="4"/>
  <c r="Z1146" i="4"/>
  <c r="Z1145" i="4"/>
  <c r="Z1144" i="4"/>
  <c r="Z1143" i="4"/>
  <c r="Z1142" i="4"/>
  <c r="Z1141" i="4"/>
  <c r="Z1140" i="4"/>
  <c r="Z1139" i="4"/>
  <c r="Z1138" i="4"/>
  <c r="Z1137" i="4"/>
  <c r="Z1136" i="4"/>
  <c r="Z1135" i="4"/>
  <c r="Z1134" i="4"/>
  <c r="Z1133" i="4"/>
  <c r="Z1132" i="4"/>
  <c r="Z1131" i="4"/>
  <c r="Z1130" i="4"/>
  <c r="Z1129" i="4"/>
  <c r="Z1128" i="4"/>
  <c r="Z1127" i="4"/>
  <c r="Z1126" i="4"/>
  <c r="Z1125" i="4"/>
  <c r="Z1124" i="4"/>
  <c r="Z1123" i="4"/>
  <c r="Z1122" i="4"/>
  <c r="Z1121" i="4"/>
  <c r="Z1120" i="4"/>
  <c r="Z1119" i="4"/>
  <c r="Z1118" i="4"/>
  <c r="Z1117" i="4"/>
  <c r="Z1116" i="4"/>
  <c r="Z1115" i="4"/>
  <c r="Z1114" i="4"/>
  <c r="Z1113" i="4"/>
  <c r="Z1112" i="4"/>
  <c r="Z1111" i="4"/>
  <c r="Z1110" i="4"/>
  <c r="Z1109" i="4"/>
  <c r="Z1108" i="4"/>
  <c r="Z1107" i="4"/>
  <c r="Z1106" i="4"/>
  <c r="Z1105" i="4"/>
  <c r="Z1104" i="4"/>
  <c r="Z1103" i="4"/>
  <c r="Z1102" i="4"/>
  <c r="Z1101" i="4"/>
  <c r="Z1100" i="4"/>
  <c r="Z1099" i="4"/>
  <c r="Z1098" i="4"/>
  <c r="Z1097" i="4"/>
  <c r="Z1096" i="4"/>
  <c r="Z1095" i="4"/>
  <c r="Z1094" i="4"/>
  <c r="Z1093" i="4"/>
  <c r="Z1092" i="4"/>
  <c r="Z1091" i="4"/>
  <c r="Z1090" i="4"/>
  <c r="Z1089" i="4"/>
  <c r="Z1088" i="4"/>
  <c r="Z1087" i="4"/>
  <c r="Z1086" i="4"/>
  <c r="Z1085" i="4"/>
  <c r="Z1084" i="4"/>
  <c r="Z1083" i="4"/>
  <c r="Z1082" i="4"/>
  <c r="Z1081" i="4"/>
  <c r="Z1080" i="4"/>
  <c r="Z1079" i="4"/>
  <c r="Z1078" i="4"/>
  <c r="Z1077" i="4"/>
  <c r="Z1076" i="4"/>
  <c r="Z1075" i="4"/>
  <c r="Z1074" i="4"/>
  <c r="Z1073" i="4"/>
  <c r="Z1072" i="4"/>
  <c r="Z1071" i="4"/>
  <c r="Z1070" i="4"/>
  <c r="Z1069" i="4"/>
  <c r="Z1068" i="4"/>
  <c r="Z1067" i="4"/>
  <c r="Z1066" i="4"/>
  <c r="Z1065" i="4"/>
  <c r="Z1064" i="4"/>
  <c r="Z1063" i="4"/>
  <c r="Z1062" i="4"/>
  <c r="Z1061" i="4"/>
  <c r="Z1060" i="4"/>
  <c r="Z1059" i="4"/>
  <c r="Z1058" i="4"/>
  <c r="Z1057" i="4"/>
  <c r="Z1056" i="4"/>
  <c r="Z1055" i="4"/>
  <c r="Z1054" i="4"/>
  <c r="Z1053" i="4"/>
  <c r="Z1052" i="4"/>
  <c r="Z1051" i="4"/>
  <c r="Z1050" i="4"/>
  <c r="Z1049" i="4"/>
  <c r="Z1048" i="4"/>
  <c r="Z1047" i="4"/>
  <c r="Z1046" i="4"/>
  <c r="Z1045" i="4"/>
  <c r="Z1044" i="4"/>
  <c r="Z1043" i="4"/>
  <c r="Z1042" i="4"/>
  <c r="Z1041" i="4"/>
  <c r="Z1040" i="4"/>
  <c r="Z1039" i="4"/>
  <c r="Z1038" i="4"/>
  <c r="Z1037" i="4"/>
  <c r="Z1036" i="4"/>
  <c r="Z1035" i="4"/>
  <c r="Z1034" i="4"/>
  <c r="Z1033" i="4"/>
  <c r="Z1032" i="4"/>
  <c r="Z1031" i="4"/>
  <c r="Z1030" i="4"/>
  <c r="Z1029" i="4"/>
  <c r="Z1028" i="4"/>
  <c r="Z1027" i="4"/>
  <c r="Z1026" i="4"/>
  <c r="Z1025" i="4"/>
  <c r="Z1024" i="4"/>
  <c r="Z1023" i="4"/>
  <c r="Z1022" i="4"/>
  <c r="Z1021" i="4"/>
  <c r="Z1020" i="4"/>
  <c r="Z1019" i="4"/>
  <c r="Z1018" i="4"/>
  <c r="Z1017" i="4"/>
  <c r="Z1016" i="4"/>
  <c r="Z1015" i="4"/>
  <c r="Z1014" i="4"/>
  <c r="Z1013" i="4"/>
  <c r="Z1012" i="4"/>
  <c r="Z1011" i="4"/>
  <c r="Z1010" i="4"/>
  <c r="Z1009" i="4"/>
  <c r="Z1008" i="4"/>
  <c r="Z1007" i="4"/>
  <c r="Z1006" i="4"/>
  <c r="Z1005" i="4"/>
  <c r="Z1004" i="4"/>
  <c r="Z1003" i="4"/>
  <c r="Z1002" i="4"/>
  <c r="Z1001" i="4"/>
  <c r="Z1000" i="4"/>
  <c r="Z999" i="4"/>
  <c r="Z998" i="4"/>
  <c r="Z997" i="4"/>
  <c r="Z996" i="4"/>
  <c r="Z995" i="4"/>
  <c r="Z994" i="4"/>
  <c r="Z993" i="4"/>
  <c r="Z992" i="4"/>
  <c r="Z991" i="4"/>
  <c r="Z990" i="4"/>
  <c r="Z989" i="4"/>
  <c r="Z988" i="4"/>
  <c r="Z987" i="4"/>
  <c r="Z986" i="4"/>
  <c r="Z985" i="4"/>
  <c r="Z984" i="4"/>
  <c r="Z983" i="4"/>
  <c r="Z982" i="4"/>
  <c r="Z981" i="4"/>
  <c r="Z980" i="4"/>
  <c r="Z979" i="4"/>
  <c r="Z978" i="4"/>
  <c r="Z977" i="4"/>
  <c r="Z976" i="4"/>
  <c r="Z975" i="4"/>
  <c r="Z974" i="4"/>
  <c r="Z973" i="4"/>
  <c r="Z972" i="4"/>
  <c r="Z971" i="4"/>
  <c r="Z970" i="4"/>
  <c r="Z969" i="4"/>
  <c r="Z968" i="4"/>
  <c r="Z967" i="4"/>
  <c r="Z966" i="4"/>
  <c r="Z965" i="4"/>
  <c r="Z964" i="4"/>
  <c r="Z963" i="4"/>
  <c r="Z962" i="4"/>
  <c r="Z961" i="4"/>
  <c r="Z960" i="4"/>
  <c r="Z959" i="4"/>
  <c r="Z958" i="4"/>
  <c r="Z957" i="4"/>
  <c r="Z956" i="4"/>
  <c r="Z955" i="4"/>
  <c r="Z954" i="4"/>
  <c r="Z953" i="4"/>
  <c r="Z952" i="4"/>
  <c r="Z951" i="4"/>
  <c r="Z950" i="4"/>
  <c r="Z949" i="4"/>
  <c r="Z948" i="4"/>
  <c r="Z947" i="4"/>
  <c r="Z946" i="4"/>
  <c r="Z945" i="4"/>
  <c r="Z944" i="4"/>
  <c r="Z943" i="4"/>
  <c r="Z942" i="4"/>
  <c r="Z941" i="4"/>
  <c r="Z940" i="4"/>
  <c r="Z939" i="4"/>
  <c r="Z938" i="4"/>
  <c r="Z937" i="4"/>
  <c r="Z936" i="4"/>
  <c r="Z935" i="4"/>
  <c r="Z934" i="4"/>
  <c r="Z933" i="4"/>
  <c r="Z932" i="4"/>
  <c r="Z931" i="4"/>
  <c r="Z930" i="4"/>
  <c r="Z929" i="4"/>
  <c r="Z928" i="4"/>
  <c r="Z927" i="4"/>
  <c r="Z926" i="4"/>
  <c r="Z925" i="4"/>
  <c r="Z924" i="4"/>
  <c r="Z923" i="4"/>
  <c r="Z922" i="4"/>
  <c r="Z921" i="4"/>
  <c r="Z920" i="4"/>
  <c r="Z919" i="4"/>
  <c r="Z918" i="4"/>
  <c r="Z917" i="4"/>
  <c r="Z916" i="4"/>
  <c r="Z915" i="4"/>
  <c r="Z914" i="4"/>
  <c r="Z913" i="4"/>
  <c r="Z912" i="4"/>
  <c r="Z911" i="4"/>
  <c r="Z910" i="4"/>
  <c r="Z909" i="4"/>
  <c r="Z908" i="4"/>
  <c r="Z907" i="4"/>
  <c r="Z906" i="4"/>
  <c r="Z905" i="4"/>
  <c r="Z904" i="4"/>
  <c r="Z903" i="4"/>
  <c r="Z902" i="4"/>
  <c r="Z901" i="4"/>
  <c r="Z900" i="4"/>
  <c r="Z899" i="4"/>
  <c r="Z898" i="4"/>
  <c r="Z897" i="4"/>
  <c r="Z896" i="4"/>
  <c r="Z895" i="4"/>
  <c r="Z894" i="4"/>
  <c r="Z893" i="4"/>
  <c r="Z892" i="4"/>
  <c r="Z891" i="4"/>
  <c r="Z890" i="4"/>
  <c r="Z889" i="4"/>
  <c r="Z888" i="4"/>
  <c r="Z887" i="4"/>
  <c r="Z886" i="4"/>
  <c r="Z885" i="4"/>
  <c r="Z884" i="4"/>
  <c r="Z883" i="4"/>
  <c r="Z882" i="4"/>
  <c r="Z881" i="4"/>
  <c r="Z880" i="4"/>
  <c r="Z879" i="4"/>
  <c r="Z878" i="4"/>
  <c r="Z877" i="4"/>
  <c r="Z876" i="4"/>
  <c r="Z875" i="4"/>
  <c r="Z874" i="4"/>
  <c r="Z873" i="4"/>
  <c r="Z872" i="4"/>
  <c r="Z871" i="4"/>
  <c r="Z870" i="4"/>
  <c r="Z869" i="4"/>
  <c r="Z868" i="4"/>
  <c r="Z867" i="4"/>
  <c r="Z866" i="4"/>
  <c r="Z865" i="4"/>
  <c r="Z864" i="4"/>
  <c r="Z863" i="4"/>
  <c r="Z862" i="4"/>
  <c r="Z861" i="4"/>
  <c r="Z860" i="4"/>
  <c r="Z859" i="4"/>
  <c r="Z858" i="4"/>
  <c r="Z857" i="4"/>
  <c r="Z856" i="4"/>
  <c r="Z855" i="4"/>
  <c r="Z854" i="4"/>
  <c r="Z853" i="4"/>
  <c r="Z852" i="4"/>
  <c r="Z851" i="4"/>
  <c r="Z850" i="4"/>
  <c r="Z849" i="4"/>
  <c r="Z848" i="4"/>
  <c r="Z847" i="4"/>
  <c r="Z846" i="4"/>
  <c r="Z845" i="4"/>
  <c r="Z844" i="4"/>
  <c r="Z843" i="4"/>
  <c r="Z842" i="4"/>
  <c r="Z841" i="4"/>
  <c r="Z840" i="4"/>
  <c r="Z839" i="4"/>
  <c r="Z838" i="4"/>
  <c r="Z837" i="4"/>
  <c r="Z836" i="4"/>
  <c r="Z835" i="4"/>
  <c r="Z834" i="4"/>
  <c r="Z833" i="4"/>
  <c r="Z832" i="4"/>
  <c r="Z831" i="4"/>
  <c r="Z830" i="4"/>
  <c r="Z829" i="4"/>
  <c r="Z828" i="4"/>
  <c r="Z827" i="4"/>
  <c r="Z826" i="4"/>
  <c r="Z825" i="4"/>
  <c r="Z824" i="4"/>
  <c r="Z823" i="4"/>
  <c r="Z822" i="4"/>
  <c r="Z821" i="4"/>
  <c r="Z820" i="4"/>
  <c r="Z819" i="4"/>
  <c r="Z818" i="4"/>
  <c r="Z817" i="4"/>
  <c r="Z816" i="4"/>
  <c r="Z815" i="4"/>
  <c r="Z814" i="4"/>
  <c r="Z813" i="4"/>
  <c r="Z812" i="4"/>
  <c r="Z811" i="4"/>
  <c r="Z810" i="4"/>
  <c r="Z809" i="4"/>
  <c r="Z808" i="4"/>
  <c r="Z807" i="4"/>
  <c r="Z806" i="4"/>
  <c r="Z805" i="4"/>
  <c r="Z804" i="4"/>
  <c r="Z803" i="4"/>
  <c r="Z802" i="4"/>
  <c r="Z801" i="4"/>
  <c r="Z800" i="4"/>
  <c r="Z799" i="4"/>
  <c r="Z798" i="4"/>
  <c r="Z797" i="4"/>
  <c r="Z796" i="4"/>
  <c r="Z795" i="4"/>
  <c r="Z794" i="4"/>
  <c r="Z793" i="4"/>
  <c r="Z792" i="4"/>
  <c r="Z791" i="4"/>
  <c r="Z790" i="4"/>
  <c r="Z789" i="4"/>
  <c r="Z788" i="4"/>
  <c r="Z787" i="4"/>
  <c r="Z786" i="4"/>
  <c r="Z785" i="4"/>
  <c r="Z784" i="4"/>
  <c r="Z783" i="4"/>
  <c r="Z782" i="4"/>
  <c r="Z781" i="4"/>
  <c r="Z780" i="4"/>
  <c r="Z779" i="4"/>
  <c r="Z778" i="4"/>
  <c r="Z777" i="4"/>
  <c r="Z776" i="4"/>
  <c r="Z775" i="4"/>
  <c r="Z774" i="4"/>
  <c r="Z773" i="4"/>
  <c r="Z772" i="4"/>
  <c r="Z771" i="4"/>
  <c r="Z770" i="4"/>
  <c r="Z769" i="4"/>
  <c r="Z768" i="4"/>
  <c r="Z767" i="4"/>
  <c r="Z766" i="4"/>
  <c r="Z765" i="4"/>
  <c r="Z764" i="4"/>
  <c r="Z763" i="4"/>
  <c r="Z762" i="4"/>
  <c r="Z761" i="4"/>
  <c r="Z760" i="4"/>
  <c r="Z759" i="4"/>
  <c r="Z758" i="4"/>
  <c r="Z757" i="4"/>
  <c r="Z756" i="4"/>
  <c r="Z755" i="4"/>
  <c r="Z754" i="4"/>
  <c r="Z753" i="4"/>
  <c r="Z752" i="4"/>
  <c r="Z751" i="4"/>
  <c r="Z750" i="4"/>
  <c r="Z749" i="4"/>
  <c r="Z748" i="4"/>
  <c r="Z747" i="4"/>
  <c r="Z746" i="4"/>
  <c r="Z745" i="4"/>
  <c r="Z744" i="4"/>
  <c r="Z743" i="4"/>
  <c r="Z742" i="4"/>
  <c r="Z741" i="4"/>
  <c r="Z740" i="4"/>
  <c r="Z739" i="4"/>
  <c r="Z738" i="4"/>
  <c r="Z737" i="4"/>
  <c r="Z736" i="4"/>
  <c r="Z735" i="4"/>
  <c r="Z734" i="4"/>
  <c r="Z733" i="4"/>
  <c r="Z732" i="4"/>
  <c r="Z731" i="4"/>
  <c r="Z730" i="4"/>
  <c r="Z729" i="4"/>
  <c r="Z728" i="4"/>
  <c r="Z727" i="4"/>
  <c r="Z726" i="4"/>
  <c r="Z725" i="4"/>
  <c r="Z724" i="4"/>
  <c r="Z723" i="4"/>
  <c r="Z722" i="4"/>
  <c r="Z721" i="4"/>
  <c r="Z720" i="4"/>
  <c r="Z719" i="4"/>
  <c r="Z718" i="4"/>
  <c r="Z717" i="4"/>
  <c r="Z716" i="4"/>
  <c r="Z715" i="4"/>
  <c r="Z714" i="4"/>
  <c r="Z713" i="4"/>
  <c r="Z712" i="4"/>
  <c r="Z711" i="4"/>
  <c r="Z710" i="4"/>
  <c r="Z709" i="4"/>
  <c r="Z708" i="4"/>
  <c r="Z707" i="4"/>
  <c r="Z706" i="4"/>
  <c r="Z705" i="4"/>
  <c r="Z704" i="4"/>
  <c r="Z703" i="4"/>
  <c r="Z702" i="4"/>
  <c r="Z701" i="4"/>
  <c r="Z700" i="4"/>
  <c r="Z699" i="4"/>
  <c r="Z698" i="4"/>
  <c r="Z697" i="4"/>
  <c r="Z696" i="4"/>
  <c r="Z695" i="4"/>
  <c r="Z694" i="4"/>
  <c r="Z693" i="4"/>
  <c r="Z692" i="4"/>
  <c r="Z691" i="4"/>
  <c r="Z690" i="4"/>
  <c r="Z689" i="4"/>
  <c r="Z688" i="4"/>
  <c r="Z687" i="4"/>
  <c r="Z686" i="4"/>
  <c r="Z685" i="4"/>
  <c r="Z684" i="4"/>
  <c r="Z683" i="4"/>
  <c r="Z682" i="4"/>
  <c r="Z681" i="4"/>
  <c r="Z680" i="4"/>
  <c r="Z679" i="4"/>
  <c r="Z678" i="4"/>
  <c r="Z677" i="4"/>
  <c r="Z676" i="4"/>
  <c r="Z675" i="4"/>
  <c r="Z674" i="4"/>
  <c r="Z673" i="4"/>
  <c r="Z672" i="4"/>
  <c r="Z671" i="4"/>
  <c r="Z670" i="4"/>
  <c r="Z669" i="4"/>
  <c r="Z668" i="4"/>
  <c r="Z667" i="4"/>
  <c r="Z666" i="4"/>
  <c r="Z665" i="4"/>
  <c r="Z664" i="4"/>
  <c r="Z663" i="4"/>
  <c r="Z662" i="4"/>
  <c r="Z661" i="4"/>
  <c r="Z660" i="4"/>
  <c r="Z659" i="4"/>
  <c r="Z658" i="4"/>
  <c r="Z657" i="4"/>
  <c r="Z656" i="4"/>
  <c r="Z655" i="4"/>
  <c r="Z654" i="4"/>
  <c r="Z653" i="4"/>
  <c r="Z652" i="4"/>
  <c r="Z651" i="4"/>
  <c r="Z650" i="4"/>
  <c r="Z649" i="4"/>
  <c r="Z648" i="4"/>
  <c r="Z647" i="4"/>
  <c r="Z646" i="4"/>
  <c r="Z645" i="4"/>
  <c r="Z644" i="4"/>
  <c r="Z643" i="4"/>
  <c r="Z642" i="4"/>
  <c r="Z641" i="4"/>
  <c r="Z640" i="4"/>
  <c r="Z639" i="4"/>
  <c r="Z638" i="4"/>
  <c r="Z637" i="4"/>
  <c r="Z636" i="4"/>
  <c r="Z635" i="4"/>
  <c r="Z634" i="4"/>
  <c r="Z633" i="4"/>
  <c r="Z632" i="4"/>
  <c r="Z631" i="4"/>
  <c r="Z630" i="4"/>
  <c r="Z629" i="4"/>
  <c r="Z628" i="4"/>
  <c r="Z627" i="4"/>
  <c r="Z626" i="4"/>
  <c r="Z625" i="4"/>
  <c r="Z624" i="4"/>
  <c r="Z623" i="4"/>
  <c r="Z622" i="4"/>
  <c r="Z621" i="4"/>
  <c r="Z620" i="4"/>
  <c r="Z619" i="4"/>
  <c r="Z618" i="4"/>
  <c r="Z617" i="4"/>
  <c r="Z616" i="4"/>
  <c r="Z615" i="4"/>
  <c r="Z614" i="4"/>
  <c r="Z613" i="4"/>
  <c r="Z612" i="4"/>
  <c r="Z611" i="4"/>
  <c r="Z610" i="4"/>
  <c r="Z609" i="4"/>
  <c r="Z608" i="4"/>
  <c r="Z607" i="4"/>
  <c r="Z606" i="4"/>
  <c r="Z605" i="4"/>
  <c r="Z604" i="4"/>
  <c r="Z603" i="4"/>
  <c r="Z602" i="4"/>
  <c r="Z601" i="4"/>
  <c r="Z600" i="4"/>
  <c r="Z599" i="4"/>
  <c r="Z598" i="4"/>
  <c r="Z597" i="4"/>
  <c r="Z596" i="4"/>
  <c r="Z595" i="4"/>
  <c r="Z594" i="4"/>
  <c r="Z593" i="4"/>
  <c r="Z592" i="4"/>
  <c r="Z591" i="4"/>
  <c r="Z590" i="4"/>
  <c r="Z589" i="4"/>
  <c r="Z588" i="4"/>
  <c r="Z587" i="4"/>
  <c r="Z586" i="4"/>
  <c r="Z585" i="4"/>
  <c r="Z584" i="4"/>
  <c r="Z583" i="4"/>
  <c r="Z582" i="4"/>
  <c r="Z581" i="4"/>
  <c r="Z580" i="4"/>
  <c r="Z579" i="4"/>
  <c r="Z578" i="4"/>
  <c r="Z577" i="4"/>
  <c r="Z576" i="4"/>
  <c r="Z575" i="4"/>
  <c r="Z574" i="4"/>
  <c r="Z573" i="4"/>
  <c r="Z572" i="4"/>
  <c r="Z571" i="4"/>
  <c r="Z570" i="4"/>
  <c r="Z569" i="4"/>
  <c r="Z568" i="4"/>
  <c r="Z567" i="4"/>
  <c r="Z566" i="4"/>
  <c r="Z565" i="4"/>
  <c r="Z564" i="4"/>
  <c r="Z563" i="4"/>
  <c r="Z562" i="4"/>
  <c r="Z561" i="4"/>
  <c r="Z560" i="4"/>
  <c r="Z559" i="4"/>
  <c r="Z558" i="4"/>
  <c r="Z557" i="4"/>
  <c r="Z556" i="4"/>
  <c r="Z555" i="4"/>
  <c r="Z554" i="4"/>
  <c r="Z553" i="4"/>
  <c r="Z552" i="4"/>
  <c r="Z551" i="4"/>
  <c r="Z550" i="4"/>
  <c r="Z549" i="4"/>
  <c r="Z548" i="4"/>
  <c r="Z547" i="4"/>
  <c r="Z546" i="4"/>
  <c r="Z545" i="4"/>
  <c r="Z544" i="4"/>
  <c r="Z543" i="4"/>
  <c r="Z542" i="4"/>
  <c r="Z541" i="4"/>
  <c r="Z540" i="4"/>
  <c r="Z539" i="4"/>
  <c r="Z538" i="4"/>
  <c r="Z537" i="4"/>
  <c r="Z536" i="4"/>
  <c r="Z535" i="4"/>
  <c r="Z534" i="4"/>
  <c r="Z533" i="4"/>
  <c r="Z532" i="4"/>
  <c r="Z531" i="4"/>
  <c r="Z530" i="4"/>
  <c r="Z529" i="4"/>
  <c r="Z528" i="4"/>
  <c r="Z527" i="4"/>
  <c r="Z526" i="4"/>
  <c r="Z525" i="4"/>
  <c r="Z524" i="4"/>
  <c r="Z523" i="4"/>
  <c r="Z522" i="4"/>
  <c r="Z521" i="4"/>
  <c r="Z520" i="4"/>
  <c r="Z519" i="4"/>
  <c r="Z518" i="4"/>
  <c r="Z517" i="4"/>
  <c r="Z516" i="4"/>
  <c r="Z515" i="4"/>
  <c r="Z514" i="4"/>
  <c r="Z513" i="4"/>
  <c r="Z512" i="4"/>
  <c r="Z511" i="4"/>
  <c r="Z510" i="4"/>
  <c r="Z509" i="4"/>
  <c r="Z508" i="4"/>
  <c r="Z507" i="4"/>
  <c r="Z506" i="4"/>
  <c r="Z505" i="4"/>
  <c r="Z504" i="4"/>
  <c r="Z503" i="4"/>
  <c r="Z502" i="4"/>
  <c r="Z501" i="4"/>
  <c r="Z500" i="4"/>
  <c r="Z499" i="4"/>
  <c r="Z498" i="4"/>
  <c r="Z497" i="4"/>
  <c r="Z496" i="4"/>
  <c r="Z495" i="4"/>
  <c r="Z494" i="4"/>
  <c r="Z493" i="4"/>
  <c r="Z492" i="4"/>
  <c r="Z491" i="4"/>
  <c r="Z490" i="4"/>
  <c r="Z489" i="4"/>
  <c r="Z488" i="4"/>
  <c r="Z487" i="4"/>
  <c r="Z486" i="4"/>
  <c r="Z485" i="4"/>
  <c r="Z484" i="4"/>
  <c r="Z483" i="4"/>
  <c r="Z482" i="4"/>
  <c r="Z481" i="4"/>
  <c r="Z480" i="4"/>
  <c r="Z479" i="4"/>
  <c r="Z478" i="4"/>
  <c r="Z477" i="4"/>
  <c r="Z476" i="4"/>
  <c r="Z475" i="4"/>
  <c r="Z474" i="4"/>
  <c r="Z473" i="4"/>
  <c r="Z472" i="4"/>
  <c r="Z471" i="4"/>
  <c r="Z470" i="4"/>
  <c r="Z469" i="4"/>
  <c r="Z468" i="4"/>
  <c r="Z467" i="4"/>
  <c r="Z466" i="4"/>
  <c r="Z465" i="4"/>
  <c r="Z464" i="4"/>
  <c r="Z463" i="4"/>
  <c r="Z462" i="4"/>
  <c r="Z461" i="4"/>
  <c r="Z460" i="4"/>
  <c r="Z459" i="4"/>
  <c r="Z458" i="4"/>
  <c r="Z457" i="4"/>
  <c r="Z456" i="4"/>
  <c r="Z455" i="4"/>
  <c r="Z454" i="4"/>
  <c r="Z453" i="4"/>
  <c r="Z452" i="4"/>
  <c r="Z451" i="4"/>
  <c r="Z450" i="4"/>
  <c r="Z449" i="4"/>
  <c r="Z448" i="4"/>
  <c r="Z447" i="4"/>
  <c r="Z446" i="4"/>
  <c r="Z445" i="4"/>
  <c r="Z444" i="4"/>
  <c r="Z443" i="4"/>
  <c r="Z442" i="4"/>
  <c r="Z441" i="4"/>
  <c r="Z440" i="4"/>
  <c r="Z439" i="4"/>
  <c r="Z438" i="4"/>
  <c r="Z437" i="4"/>
  <c r="Z436" i="4"/>
  <c r="Z435" i="4"/>
  <c r="Z434" i="4"/>
  <c r="Z433" i="4"/>
  <c r="Z432" i="4"/>
  <c r="Z431" i="4"/>
  <c r="Z430" i="4"/>
  <c r="Z429" i="4"/>
  <c r="Z428" i="4"/>
  <c r="Z427" i="4"/>
  <c r="Z426" i="4"/>
  <c r="Z425" i="4"/>
  <c r="Z424" i="4"/>
  <c r="Z423" i="4"/>
  <c r="Z422" i="4"/>
  <c r="Z421" i="4"/>
  <c r="Z420" i="4"/>
  <c r="Z419" i="4"/>
  <c r="Z418" i="4"/>
  <c r="Z417" i="4"/>
  <c r="Z416" i="4"/>
  <c r="Z415" i="4"/>
  <c r="Z414" i="4"/>
  <c r="Z413" i="4"/>
  <c r="Z412" i="4"/>
  <c r="Z411" i="4"/>
  <c r="Z410" i="4"/>
  <c r="Z409" i="4"/>
  <c r="Z408" i="4"/>
  <c r="Z407" i="4"/>
  <c r="Z406" i="4"/>
  <c r="Z405" i="4"/>
  <c r="Z404" i="4"/>
  <c r="Z403" i="4"/>
  <c r="Z402" i="4"/>
  <c r="Z401" i="4"/>
  <c r="Z400" i="4"/>
  <c r="Z399" i="4"/>
  <c r="Z398" i="4"/>
  <c r="Z397" i="4"/>
  <c r="Z396" i="4"/>
  <c r="Z395" i="4"/>
  <c r="Z394" i="4"/>
  <c r="Z393" i="4"/>
  <c r="Z392" i="4"/>
  <c r="Z391" i="4"/>
  <c r="Z390" i="4"/>
  <c r="Z389" i="4"/>
  <c r="Z388" i="4"/>
  <c r="Z387" i="4"/>
  <c r="Z386" i="4"/>
  <c r="Z385" i="4"/>
  <c r="Z384" i="4"/>
  <c r="Z383" i="4"/>
  <c r="Z382" i="4"/>
  <c r="Z381" i="4"/>
  <c r="Z380" i="4"/>
  <c r="Z379" i="4"/>
  <c r="Z378" i="4"/>
  <c r="Z377" i="4"/>
  <c r="Z376" i="4"/>
  <c r="Z375" i="4"/>
  <c r="Z374" i="4"/>
  <c r="Z373" i="4"/>
  <c r="Z372" i="4"/>
  <c r="Z371" i="4"/>
  <c r="Z370" i="4"/>
  <c r="Z369" i="4"/>
  <c r="Z368" i="4"/>
  <c r="Z367" i="4"/>
  <c r="Z366" i="4"/>
  <c r="Z365" i="4"/>
  <c r="Z364" i="4"/>
  <c r="Z363" i="4"/>
  <c r="Z362" i="4"/>
  <c r="Z361" i="4"/>
  <c r="Z360" i="4"/>
  <c r="Z359" i="4"/>
  <c r="Z358" i="4"/>
  <c r="Z357" i="4"/>
  <c r="Z356" i="4"/>
  <c r="Z355" i="4"/>
  <c r="Z354" i="4"/>
  <c r="Z353" i="4"/>
  <c r="Z352" i="4"/>
  <c r="Z351" i="4"/>
  <c r="Z350" i="4"/>
  <c r="Z349" i="4"/>
  <c r="Z348" i="4"/>
  <c r="Z347" i="4"/>
  <c r="Z346" i="4"/>
  <c r="Z345" i="4"/>
  <c r="Z344" i="4"/>
  <c r="Z343" i="4"/>
  <c r="Z342" i="4"/>
  <c r="Z341" i="4"/>
  <c r="Z340" i="4"/>
  <c r="Z339" i="4"/>
  <c r="Z338" i="4"/>
  <c r="Z337" i="4"/>
  <c r="Z336" i="4"/>
  <c r="Z335" i="4"/>
  <c r="Z334" i="4"/>
  <c r="Z333" i="4"/>
  <c r="Z332" i="4"/>
  <c r="Z331" i="4"/>
  <c r="Z330" i="4"/>
  <c r="Z329" i="4"/>
  <c r="Z328" i="4"/>
  <c r="Z327" i="4"/>
  <c r="Z326" i="4"/>
  <c r="Z325" i="4"/>
  <c r="Z324" i="4"/>
  <c r="Z323" i="4"/>
  <c r="Z322" i="4"/>
  <c r="Z321" i="4"/>
  <c r="Z320" i="4"/>
  <c r="Z319" i="4"/>
  <c r="Z318" i="4"/>
  <c r="Z317" i="4"/>
  <c r="Z316" i="4"/>
  <c r="Z315" i="4"/>
  <c r="Z314" i="4"/>
  <c r="Z313" i="4"/>
  <c r="Z312" i="4"/>
  <c r="Z311" i="4"/>
  <c r="Z310" i="4"/>
  <c r="Z309" i="4"/>
  <c r="Z308" i="4"/>
  <c r="Z307" i="4"/>
  <c r="Z306" i="4"/>
  <c r="Z305" i="4"/>
  <c r="Z304" i="4"/>
  <c r="Z303" i="4"/>
  <c r="Z302" i="4"/>
  <c r="Z301" i="4"/>
  <c r="Z300" i="4"/>
  <c r="Z299" i="4"/>
  <c r="Z298" i="4"/>
  <c r="Z297" i="4"/>
  <c r="Z296" i="4"/>
  <c r="Z295" i="4"/>
  <c r="Z294" i="4"/>
  <c r="Z293" i="4"/>
  <c r="Z292" i="4"/>
  <c r="Z291" i="4"/>
  <c r="Z290" i="4"/>
  <c r="Z289" i="4"/>
  <c r="Z288" i="4"/>
  <c r="Z287" i="4"/>
  <c r="Z286" i="4"/>
  <c r="Z285" i="4"/>
  <c r="Z284" i="4"/>
  <c r="Z283" i="4"/>
  <c r="Z282" i="4"/>
  <c r="Z281" i="4"/>
  <c r="Z280" i="4"/>
  <c r="Z279" i="4"/>
  <c r="Z278" i="4"/>
  <c r="Z277" i="4"/>
  <c r="Z276" i="4"/>
  <c r="Z275" i="4"/>
  <c r="Z274" i="4"/>
  <c r="Z273" i="4"/>
  <c r="Z272" i="4"/>
  <c r="Z271" i="4"/>
  <c r="Z270" i="4"/>
  <c r="Z269" i="4"/>
  <c r="Z268" i="4"/>
  <c r="Z267" i="4"/>
  <c r="Z266" i="4"/>
  <c r="Z265" i="4"/>
  <c r="Z264" i="4"/>
  <c r="Z263" i="4"/>
  <c r="Z262" i="4"/>
  <c r="Z261" i="4"/>
  <c r="Z260" i="4"/>
  <c r="Z259" i="4"/>
  <c r="Z258" i="4"/>
  <c r="Z257" i="4"/>
  <c r="Z256" i="4"/>
  <c r="Z255" i="4"/>
  <c r="Z254" i="4"/>
  <c r="Z253" i="4"/>
  <c r="Z252" i="4"/>
  <c r="Z251" i="4"/>
  <c r="Z250" i="4"/>
  <c r="Z249" i="4"/>
  <c r="Z248" i="4"/>
  <c r="Z247" i="4"/>
  <c r="Z246" i="4"/>
  <c r="Z245" i="4"/>
  <c r="Z244" i="4"/>
  <c r="Z243" i="4"/>
  <c r="Z242" i="4"/>
  <c r="Z241" i="4"/>
  <c r="Z240" i="4"/>
  <c r="Z239" i="4"/>
  <c r="Z238" i="4"/>
  <c r="Z237" i="4"/>
  <c r="Z236" i="4"/>
  <c r="Z235" i="4"/>
  <c r="Z234" i="4"/>
  <c r="Z233" i="4"/>
  <c r="Z232" i="4"/>
  <c r="Z231" i="4"/>
  <c r="Z230" i="4"/>
  <c r="Z229" i="4"/>
  <c r="Z228" i="4"/>
  <c r="Z227" i="4"/>
  <c r="Z226" i="4"/>
  <c r="Z225" i="4"/>
  <c r="Z224" i="4"/>
  <c r="Z223" i="4"/>
  <c r="Z222" i="4"/>
  <c r="Z221" i="4"/>
  <c r="Z220" i="4"/>
  <c r="Z219" i="4"/>
  <c r="Z218" i="4"/>
  <c r="Z217" i="4"/>
  <c r="Z216" i="4"/>
  <c r="Z215" i="4"/>
  <c r="Z214" i="4"/>
  <c r="Z213" i="4"/>
  <c r="Z212" i="4"/>
  <c r="Z211" i="4"/>
  <c r="Z210" i="4"/>
  <c r="Z209" i="4"/>
  <c r="Z208" i="4"/>
  <c r="Z207" i="4"/>
  <c r="Z206" i="4"/>
  <c r="Z205" i="4"/>
  <c r="Z204" i="4"/>
  <c r="Z203" i="4"/>
  <c r="Z202" i="4"/>
  <c r="Z201" i="4"/>
  <c r="Z200" i="4"/>
  <c r="Z199" i="4"/>
  <c r="Z198" i="4"/>
  <c r="Z197" i="4"/>
  <c r="Z196" i="4"/>
  <c r="Z195" i="4"/>
  <c r="Z194" i="4"/>
  <c r="Z193" i="4"/>
  <c r="Z192" i="4"/>
  <c r="Z191" i="4"/>
  <c r="Z190" i="4"/>
  <c r="Z189" i="4"/>
  <c r="Z188" i="4"/>
  <c r="Z187" i="4"/>
  <c r="Z186" i="4"/>
  <c r="Z185" i="4"/>
  <c r="Z184" i="4"/>
  <c r="Z183" i="4"/>
  <c r="Z182" i="4"/>
  <c r="Z181" i="4"/>
  <c r="Z180" i="4"/>
  <c r="Z179" i="4"/>
  <c r="Z178" i="4"/>
  <c r="Z177" i="4"/>
  <c r="Z176" i="4"/>
  <c r="Z175" i="4"/>
  <c r="Z174" i="4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Z117" i="4"/>
  <c r="Z116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Z2" i="4"/>
  <c r="E2" i="4"/>
  <c r="C6" i="4"/>
  <c r="E6" i="4"/>
  <c r="G6" i="4"/>
  <c r="M6" i="4"/>
  <c r="C7" i="4"/>
  <c r="E7" i="4"/>
  <c r="G7" i="4"/>
  <c r="M7" i="4"/>
  <c r="C8" i="4"/>
  <c r="E8" i="4"/>
  <c r="G8" i="4"/>
  <c r="M8" i="4"/>
  <c r="C9" i="4"/>
  <c r="E9" i="4"/>
  <c r="G9" i="4"/>
  <c r="M9" i="4"/>
  <c r="C10" i="4"/>
  <c r="E10" i="4"/>
  <c r="G10" i="4"/>
  <c r="M10" i="4"/>
  <c r="C11" i="4"/>
  <c r="E11" i="4"/>
  <c r="G11" i="4"/>
  <c r="M11" i="4"/>
  <c r="C12" i="4"/>
  <c r="E12" i="4"/>
  <c r="G12" i="4"/>
  <c r="M12" i="4"/>
  <c r="C13" i="4"/>
  <c r="E13" i="4"/>
  <c r="G13" i="4"/>
  <c r="M13" i="4"/>
  <c r="C14" i="4"/>
  <c r="E14" i="4"/>
  <c r="G14" i="4"/>
  <c r="M14" i="4"/>
  <c r="C15" i="4"/>
  <c r="E15" i="4"/>
  <c r="G15" i="4"/>
  <c r="M15" i="4"/>
  <c r="G3" i="4"/>
  <c r="C4" i="4"/>
  <c r="G4" i="4"/>
  <c r="M4" i="4"/>
  <c r="C5" i="4"/>
  <c r="E5" i="4"/>
  <c r="G5" i="4"/>
  <c r="M5" i="4"/>
  <c r="C16" i="4"/>
  <c r="E16" i="4"/>
  <c r="G16" i="4"/>
  <c r="M16" i="4"/>
  <c r="C17" i="4"/>
  <c r="E17" i="4"/>
  <c r="G17" i="4"/>
  <c r="M17" i="4"/>
  <c r="C18" i="4"/>
  <c r="E18" i="4"/>
  <c r="G18" i="4"/>
  <c r="M18" i="4"/>
  <c r="C19" i="4"/>
  <c r="E19" i="4"/>
  <c r="G19" i="4"/>
  <c r="M19" i="4"/>
  <c r="C20" i="4"/>
  <c r="E20" i="4"/>
  <c r="G20" i="4"/>
  <c r="M20" i="4"/>
  <c r="C21" i="4"/>
  <c r="E21" i="4"/>
  <c r="G21" i="4"/>
  <c r="M21" i="4"/>
  <c r="C22" i="4"/>
  <c r="E22" i="4"/>
  <c r="G22" i="4"/>
  <c r="M22" i="4"/>
  <c r="C23" i="4"/>
  <c r="E23" i="4"/>
  <c r="G23" i="4"/>
  <c r="M23" i="4"/>
  <c r="C24" i="4"/>
  <c r="E24" i="4"/>
  <c r="G24" i="4"/>
  <c r="M24" i="4"/>
  <c r="C25" i="4"/>
  <c r="E25" i="4"/>
  <c r="G25" i="4"/>
  <c r="M25" i="4"/>
  <c r="C26" i="4"/>
  <c r="E26" i="4"/>
  <c r="G26" i="4"/>
  <c r="M26" i="4"/>
  <c r="C27" i="4"/>
  <c r="E27" i="4"/>
  <c r="G27" i="4"/>
  <c r="M27" i="4"/>
  <c r="C28" i="4"/>
  <c r="E28" i="4"/>
  <c r="G28" i="4"/>
  <c r="M28" i="4"/>
  <c r="C29" i="4"/>
  <c r="E29" i="4"/>
  <c r="G29" i="4"/>
  <c r="M29" i="4"/>
  <c r="C30" i="4"/>
  <c r="E30" i="4"/>
  <c r="G30" i="4"/>
  <c r="M30" i="4"/>
  <c r="C31" i="4"/>
  <c r="E31" i="4"/>
  <c r="G31" i="4"/>
  <c r="M31" i="4"/>
  <c r="C32" i="4"/>
  <c r="E32" i="4"/>
  <c r="G32" i="4"/>
  <c r="M32" i="4"/>
  <c r="C33" i="4"/>
  <c r="E33" i="4"/>
  <c r="G33" i="4"/>
  <c r="M33" i="4"/>
  <c r="C34" i="4"/>
  <c r="E34" i="4"/>
  <c r="G34" i="4"/>
  <c r="M34" i="4"/>
  <c r="C35" i="4"/>
  <c r="E35" i="4"/>
  <c r="G35" i="4"/>
  <c r="M35" i="4"/>
  <c r="C36" i="4"/>
  <c r="E36" i="4"/>
  <c r="G36" i="4"/>
  <c r="M36" i="4"/>
  <c r="C37" i="4"/>
  <c r="E37" i="4"/>
  <c r="G37" i="4"/>
  <c r="M37" i="4"/>
  <c r="C38" i="4"/>
  <c r="E38" i="4"/>
  <c r="G38" i="4"/>
  <c r="M38" i="4"/>
  <c r="C39" i="4"/>
  <c r="E39" i="4"/>
  <c r="G39" i="4"/>
  <c r="M39" i="4"/>
  <c r="C40" i="4"/>
  <c r="E40" i="4"/>
  <c r="G40" i="4"/>
  <c r="M40" i="4"/>
  <c r="C41" i="4"/>
  <c r="E41" i="4"/>
  <c r="G41" i="4"/>
  <c r="M41" i="4"/>
  <c r="C42" i="4"/>
  <c r="E42" i="4"/>
  <c r="G42" i="4"/>
  <c r="M42" i="4"/>
  <c r="C43" i="4"/>
  <c r="E43" i="4"/>
  <c r="G43" i="4"/>
  <c r="M43" i="4"/>
  <c r="C44" i="4"/>
  <c r="E44" i="4"/>
  <c r="G44" i="4"/>
  <c r="M44" i="4"/>
  <c r="C45" i="4"/>
  <c r="E45" i="4"/>
  <c r="G45" i="4"/>
  <c r="M45" i="4"/>
  <c r="C46" i="4"/>
  <c r="E46" i="4"/>
  <c r="G46" i="4"/>
  <c r="M46" i="4"/>
  <c r="C47" i="4"/>
  <c r="E47" i="4"/>
  <c r="G47" i="4"/>
  <c r="M47" i="4"/>
  <c r="C48" i="4"/>
  <c r="E48" i="4"/>
  <c r="G48" i="4"/>
  <c r="M48" i="4"/>
  <c r="C49" i="4"/>
  <c r="E49" i="4"/>
  <c r="G49" i="4"/>
  <c r="M49" i="4"/>
  <c r="C50" i="4"/>
  <c r="E50" i="4"/>
  <c r="G50" i="4"/>
  <c r="M50" i="4"/>
  <c r="C51" i="4"/>
  <c r="E51" i="4"/>
  <c r="G51" i="4"/>
  <c r="M51" i="4"/>
  <c r="C52" i="4"/>
  <c r="E52" i="4"/>
  <c r="G52" i="4"/>
  <c r="M52" i="4"/>
  <c r="C53" i="4"/>
  <c r="E53" i="4"/>
  <c r="G53" i="4"/>
  <c r="M53" i="4"/>
  <c r="C54" i="4"/>
  <c r="E54" i="4"/>
  <c r="G54" i="4"/>
  <c r="M54" i="4"/>
  <c r="C55" i="4"/>
  <c r="E55" i="4"/>
  <c r="G55" i="4"/>
  <c r="M55" i="4"/>
  <c r="C56" i="4"/>
  <c r="E56" i="4"/>
  <c r="G56" i="4"/>
  <c r="M56" i="4"/>
  <c r="C57" i="4"/>
  <c r="E57" i="4"/>
  <c r="G57" i="4"/>
  <c r="M57" i="4"/>
  <c r="C58" i="4"/>
  <c r="E58" i="4"/>
  <c r="G58" i="4"/>
  <c r="M58" i="4"/>
  <c r="C59" i="4"/>
  <c r="E59" i="4"/>
  <c r="G59" i="4"/>
  <c r="M59" i="4"/>
  <c r="C60" i="4"/>
  <c r="E60" i="4"/>
  <c r="G60" i="4"/>
  <c r="M60" i="4"/>
  <c r="C61" i="4"/>
  <c r="E61" i="4"/>
  <c r="G61" i="4"/>
  <c r="M61" i="4"/>
  <c r="C62" i="4"/>
  <c r="E62" i="4"/>
  <c r="G62" i="4"/>
  <c r="M62" i="4"/>
  <c r="C63" i="4"/>
  <c r="E63" i="4"/>
  <c r="G63" i="4"/>
  <c r="M63" i="4"/>
  <c r="C64" i="4"/>
  <c r="E64" i="4"/>
  <c r="G64" i="4"/>
  <c r="M64" i="4"/>
  <c r="C65" i="4"/>
  <c r="E65" i="4"/>
  <c r="G65" i="4"/>
  <c r="M65" i="4"/>
  <c r="C66" i="4"/>
  <c r="E66" i="4"/>
  <c r="G66" i="4"/>
  <c r="M66" i="4"/>
  <c r="C67" i="4"/>
  <c r="E67" i="4"/>
  <c r="G67" i="4"/>
  <c r="M67" i="4"/>
  <c r="C68" i="4"/>
  <c r="E68" i="4"/>
  <c r="G68" i="4"/>
  <c r="M68" i="4"/>
  <c r="C69" i="4"/>
  <c r="E69" i="4"/>
  <c r="G69" i="4"/>
  <c r="M69" i="4"/>
  <c r="C70" i="4"/>
  <c r="E70" i="4"/>
  <c r="G70" i="4"/>
  <c r="M70" i="4"/>
  <c r="C71" i="4"/>
  <c r="E71" i="4"/>
  <c r="G71" i="4"/>
  <c r="M71" i="4"/>
  <c r="C72" i="4"/>
  <c r="E72" i="4"/>
  <c r="G72" i="4"/>
  <c r="M72" i="4"/>
  <c r="C73" i="4"/>
  <c r="E73" i="4"/>
  <c r="G73" i="4"/>
  <c r="M73" i="4"/>
  <c r="C74" i="4"/>
  <c r="E74" i="4"/>
  <c r="G74" i="4"/>
  <c r="M74" i="4"/>
  <c r="C75" i="4"/>
  <c r="E75" i="4"/>
  <c r="G75" i="4"/>
  <c r="M75" i="4"/>
  <c r="C76" i="4"/>
  <c r="E76" i="4"/>
  <c r="G76" i="4"/>
  <c r="M76" i="4"/>
  <c r="C77" i="4"/>
  <c r="E77" i="4"/>
  <c r="G77" i="4"/>
  <c r="M77" i="4"/>
  <c r="C78" i="4"/>
  <c r="E78" i="4"/>
  <c r="G78" i="4"/>
  <c r="M78" i="4"/>
  <c r="C79" i="4"/>
  <c r="E79" i="4"/>
  <c r="G79" i="4"/>
  <c r="M79" i="4"/>
  <c r="C80" i="4"/>
  <c r="E80" i="4"/>
  <c r="G80" i="4"/>
  <c r="M80" i="4"/>
  <c r="C81" i="4"/>
  <c r="E81" i="4"/>
  <c r="G81" i="4"/>
  <c r="M81" i="4"/>
  <c r="C82" i="4"/>
  <c r="E82" i="4"/>
  <c r="G82" i="4"/>
  <c r="M82" i="4"/>
  <c r="C83" i="4"/>
  <c r="E83" i="4"/>
  <c r="G83" i="4"/>
  <c r="M83" i="4"/>
  <c r="C84" i="4"/>
  <c r="E84" i="4"/>
  <c r="G84" i="4"/>
  <c r="M84" i="4"/>
  <c r="C85" i="4"/>
  <c r="E85" i="4"/>
  <c r="G85" i="4"/>
  <c r="M85" i="4"/>
  <c r="C86" i="4"/>
  <c r="E86" i="4"/>
  <c r="G86" i="4"/>
  <c r="M86" i="4"/>
  <c r="C87" i="4"/>
  <c r="E87" i="4"/>
  <c r="G87" i="4"/>
  <c r="M87" i="4"/>
  <c r="C88" i="4"/>
  <c r="E88" i="4"/>
  <c r="G88" i="4"/>
  <c r="M88" i="4"/>
  <c r="C89" i="4"/>
  <c r="E89" i="4"/>
  <c r="G89" i="4"/>
  <c r="M89" i="4"/>
  <c r="C90" i="4"/>
  <c r="E90" i="4"/>
  <c r="G90" i="4"/>
  <c r="M90" i="4"/>
  <c r="C91" i="4"/>
  <c r="E91" i="4"/>
  <c r="G91" i="4"/>
  <c r="M91" i="4"/>
  <c r="C92" i="4"/>
  <c r="E92" i="4"/>
  <c r="G92" i="4"/>
  <c r="M92" i="4"/>
  <c r="C93" i="4"/>
  <c r="E93" i="4"/>
  <c r="G93" i="4"/>
  <c r="M93" i="4"/>
  <c r="C94" i="4"/>
  <c r="E94" i="4"/>
  <c r="G94" i="4"/>
  <c r="M94" i="4"/>
  <c r="C95" i="4"/>
  <c r="E95" i="4"/>
  <c r="G95" i="4"/>
  <c r="M95" i="4"/>
  <c r="C96" i="4"/>
  <c r="E96" i="4"/>
  <c r="G96" i="4"/>
  <c r="M96" i="4"/>
  <c r="C97" i="4"/>
  <c r="E97" i="4"/>
  <c r="G97" i="4"/>
  <c r="M97" i="4"/>
  <c r="C98" i="4"/>
  <c r="E98" i="4"/>
  <c r="G98" i="4"/>
  <c r="M98" i="4"/>
  <c r="C99" i="4"/>
  <c r="E99" i="4"/>
  <c r="G99" i="4"/>
  <c r="M99" i="4"/>
  <c r="C100" i="4"/>
  <c r="E100" i="4"/>
  <c r="G100" i="4"/>
  <c r="M100" i="4"/>
  <c r="C101" i="4"/>
  <c r="E101" i="4"/>
  <c r="G101" i="4"/>
  <c r="M101" i="4"/>
  <c r="C102" i="4"/>
  <c r="E102" i="4"/>
  <c r="G102" i="4"/>
  <c r="M102" i="4"/>
  <c r="C103" i="4"/>
  <c r="E103" i="4"/>
  <c r="G103" i="4"/>
  <c r="M103" i="4"/>
  <c r="C104" i="4"/>
  <c r="E104" i="4"/>
  <c r="G104" i="4"/>
  <c r="M104" i="4"/>
  <c r="C105" i="4"/>
  <c r="E105" i="4"/>
  <c r="G105" i="4"/>
  <c r="M105" i="4"/>
  <c r="C106" i="4"/>
  <c r="E106" i="4"/>
  <c r="G106" i="4"/>
  <c r="M106" i="4"/>
  <c r="C107" i="4"/>
  <c r="E107" i="4"/>
  <c r="G107" i="4"/>
  <c r="M107" i="4"/>
  <c r="C108" i="4"/>
  <c r="E108" i="4"/>
  <c r="G108" i="4"/>
  <c r="M108" i="4"/>
  <c r="C109" i="4"/>
  <c r="E109" i="4"/>
  <c r="G109" i="4"/>
  <c r="M109" i="4"/>
  <c r="C110" i="4"/>
  <c r="E110" i="4"/>
  <c r="G110" i="4"/>
  <c r="M110" i="4"/>
  <c r="C111" i="4"/>
  <c r="E111" i="4"/>
  <c r="G111" i="4"/>
  <c r="M111" i="4"/>
  <c r="C112" i="4"/>
  <c r="E112" i="4"/>
  <c r="G112" i="4"/>
  <c r="M112" i="4"/>
  <c r="C113" i="4"/>
  <c r="E113" i="4"/>
  <c r="G113" i="4"/>
  <c r="M113" i="4"/>
  <c r="C114" i="4"/>
  <c r="E114" i="4"/>
  <c r="G114" i="4"/>
  <c r="M114" i="4"/>
  <c r="C115" i="4"/>
  <c r="E115" i="4"/>
  <c r="G115" i="4"/>
  <c r="M115" i="4"/>
  <c r="C116" i="4"/>
  <c r="E116" i="4"/>
  <c r="G116" i="4"/>
  <c r="M116" i="4"/>
  <c r="C117" i="4"/>
  <c r="E117" i="4"/>
  <c r="G117" i="4"/>
  <c r="M117" i="4"/>
  <c r="C118" i="4"/>
  <c r="E118" i="4"/>
  <c r="G118" i="4"/>
  <c r="M118" i="4"/>
  <c r="C119" i="4"/>
  <c r="E119" i="4"/>
  <c r="G119" i="4"/>
  <c r="M119" i="4"/>
  <c r="C120" i="4"/>
  <c r="E120" i="4"/>
  <c r="G120" i="4"/>
  <c r="M120" i="4"/>
  <c r="C121" i="4"/>
  <c r="E121" i="4"/>
  <c r="G121" i="4"/>
  <c r="M121" i="4"/>
  <c r="C122" i="4"/>
  <c r="E122" i="4"/>
  <c r="G122" i="4"/>
  <c r="M122" i="4"/>
  <c r="C123" i="4"/>
  <c r="E123" i="4"/>
  <c r="G123" i="4"/>
  <c r="M123" i="4"/>
  <c r="C124" i="4"/>
  <c r="E124" i="4"/>
  <c r="G124" i="4"/>
  <c r="M124" i="4"/>
  <c r="C125" i="4"/>
  <c r="E125" i="4"/>
  <c r="G125" i="4"/>
  <c r="M125" i="4"/>
  <c r="C126" i="4"/>
  <c r="E126" i="4"/>
  <c r="G126" i="4"/>
  <c r="M126" i="4"/>
  <c r="C127" i="4"/>
  <c r="E127" i="4"/>
  <c r="G127" i="4"/>
  <c r="M127" i="4"/>
  <c r="C128" i="4"/>
  <c r="E128" i="4"/>
  <c r="G128" i="4"/>
  <c r="M128" i="4"/>
  <c r="C129" i="4"/>
  <c r="E129" i="4"/>
  <c r="G129" i="4"/>
  <c r="M129" i="4"/>
  <c r="C130" i="4"/>
  <c r="E130" i="4"/>
  <c r="G130" i="4"/>
  <c r="M130" i="4"/>
  <c r="C131" i="4"/>
  <c r="E131" i="4"/>
  <c r="G131" i="4"/>
  <c r="M131" i="4"/>
  <c r="C132" i="4"/>
  <c r="E132" i="4"/>
  <c r="G132" i="4"/>
  <c r="M132" i="4"/>
  <c r="C133" i="4"/>
  <c r="E133" i="4"/>
  <c r="G133" i="4"/>
  <c r="M133" i="4"/>
  <c r="C134" i="4"/>
  <c r="E134" i="4"/>
  <c r="G134" i="4"/>
  <c r="M134" i="4"/>
  <c r="C135" i="4"/>
  <c r="E135" i="4"/>
  <c r="G135" i="4"/>
  <c r="M135" i="4"/>
  <c r="C136" i="4"/>
  <c r="E136" i="4"/>
  <c r="G136" i="4"/>
  <c r="M136" i="4"/>
  <c r="C137" i="4"/>
  <c r="E137" i="4"/>
  <c r="G137" i="4"/>
  <c r="M137" i="4"/>
  <c r="C138" i="4"/>
  <c r="E138" i="4"/>
  <c r="G138" i="4"/>
  <c r="M138" i="4"/>
  <c r="C139" i="4"/>
  <c r="E139" i="4"/>
  <c r="G139" i="4"/>
  <c r="M139" i="4"/>
  <c r="C140" i="4"/>
  <c r="E140" i="4"/>
  <c r="G140" i="4"/>
  <c r="M140" i="4"/>
  <c r="C141" i="4"/>
  <c r="E141" i="4"/>
  <c r="G141" i="4"/>
  <c r="M141" i="4"/>
  <c r="C142" i="4"/>
  <c r="E142" i="4"/>
  <c r="G142" i="4"/>
  <c r="M142" i="4"/>
  <c r="C143" i="4"/>
  <c r="E143" i="4"/>
  <c r="G143" i="4"/>
  <c r="M143" i="4"/>
  <c r="C144" i="4"/>
  <c r="E144" i="4"/>
  <c r="G144" i="4"/>
  <c r="M144" i="4"/>
  <c r="C145" i="4"/>
  <c r="E145" i="4"/>
  <c r="G145" i="4"/>
  <c r="M145" i="4"/>
  <c r="C146" i="4"/>
  <c r="E146" i="4"/>
  <c r="G146" i="4"/>
  <c r="M146" i="4"/>
  <c r="C147" i="4"/>
  <c r="E147" i="4"/>
  <c r="G147" i="4"/>
  <c r="M147" i="4"/>
  <c r="C148" i="4"/>
  <c r="E148" i="4"/>
  <c r="G148" i="4"/>
  <c r="M148" i="4"/>
  <c r="C149" i="4"/>
  <c r="E149" i="4"/>
  <c r="G149" i="4"/>
  <c r="M149" i="4"/>
  <c r="C150" i="4"/>
  <c r="E150" i="4"/>
  <c r="G150" i="4"/>
  <c r="M150" i="4"/>
  <c r="C151" i="4"/>
  <c r="E151" i="4"/>
  <c r="G151" i="4"/>
  <c r="M151" i="4"/>
  <c r="C152" i="4"/>
  <c r="E152" i="4"/>
  <c r="G152" i="4"/>
  <c r="M152" i="4"/>
  <c r="C153" i="4"/>
  <c r="E153" i="4"/>
  <c r="G153" i="4"/>
  <c r="M153" i="4"/>
  <c r="C154" i="4"/>
  <c r="E154" i="4"/>
  <c r="G154" i="4"/>
  <c r="M154" i="4"/>
  <c r="C155" i="4"/>
  <c r="E155" i="4"/>
  <c r="G155" i="4"/>
  <c r="M155" i="4"/>
  <c r="C156" i="4"/>
  <c r="E156" i="4"/>
  <c r="G156" i="4"/>
  <c r="M156" i="4"/>
  <c r="C157" i="4"/>
  <c r="E157" i="4"/>
  <c r="G157" i="4"/>
  <c r="M157" i="4"/>
  <c r="C158" i="4"/>
  <c r="E158" i="4"/>
  <c r="G158" i="4"/>
  <c r="M158" i="4"/>
  <c r="C159" i="4"/>
  <c r="E159" i="4"/>
  <c r="G159" i="4"/>
  <c r="M159" i="4"/>
  <c r="C160" i="4"/>
  <c r="E160" i="4"/>
  <c r="G160" i="4"/>
  <c r="M160" i="4"/>
  <c r="C161" i="4"/>
  <c r="E161" i="4"/>
  <c r="G161" i="4"/>
  <c r="M161" i="4"/>
  <c r="C162" i="4"/>
  <c r="E162" i="4"/>
  <c r="G162" i="4"/>
  <c r="M162" i="4"/>
  <c r="C163" i="4"/>
  <c r="E163" i="4"/>
  <c r="G163" i="4"/>
  <c r="M163" i="4"/>
  <c r="C164" i="4"/>
  <c r="E164" i="4"/>
  <c r="G164" i="4"/>
  <c r="M164" i="4"/>
  <c r="C165" i="4"/>
  <c r="E165" i="4"/>
  <c r="G165" i="4"/>
  <c r="M165" i="4"/>
  <c r="C166" i="4"/>
  <c r="E166" i="4"/>
  <c r="G166" i="4"/>
  <c r="M166" i="4"/>
  <c r="C167" i="4"/>
  <c r="E167" i="4"/>
  <c r="G167" i="4"/>
  <c r="M167" i="4"/>
  <c r="C168" i="4"/>
  <c r="E168" i="4"/>
  <c r="G168" i="4"/>
  <c r="M168" i="4"/>
  <c r="C169" i="4"/>
  <c r="E169" i="4"/>
  <c r="G169" i="4"/>
  <c r="M169" i="4"/>
  <c r="C170" i="4"/>
  <c r="E170" i="4"/>
  <c r="G170" i="4"/>
  <c r="M170" i="4"/>
  <c r="C171" i="4"/>
  <c r="E171" i="4"/>
  <c r="G171" i="4"/>
  <c r="M171" i="4"/>
  <c r="C172" i="4"/>
  <c r="E172" i="4"/>
  <c r="G172" i="4"/>
  <c r="M172" i="4"/>
  <c r="C173" i="4"/>
  <c r="E173" i="4"/>
  <c r="G173" i="4"/>
  <c r="M173" i="4"/>
  <c r="C174" i="4"/>
  <c r="E174" i="4"/>
  <c r="G174" i="4"/>
  <c r="M174" i="4"/>
  <c r="C175" i="4"/>
  <c r="E175" i="4"/>
  <c r="G175" i="4"/>
  <c r="M175" i="4"/>
  <c r="C176" i="4"/>
  <c r="E176" i="4"/>
  <c r="G176" i="4"/>
  <c r="M176" i="4"/>
  <c r="C177" i="4"/>
  <c r="E177" i="4"/>
  <c r="G177" i="4"/>
  <c r="M177" i="4"/>
  <c r="C178" i="4"/>
  <c r="E178" i="4"/>
  <c r="G178" i="4"/>
  <c r="M178" i="4"/>
  <c r="C179" i="4"/>
  <c r="E179" i="4"/>
  <c r="G179" i="4"/>
  <c r="M179" i="4"/>
  <c r="C180" i="4"/>
  <c r="E180" i="4"/>
  <c r="G180" i="4"/>
  <c r="M180" i="4"/>
  <c r="C181" i="4"/>
  <c r="E181" i="4"/>
  <c r="G181" i="4"/>
  <c r="M181" i="4"/>
  <c r="C182" i="4"/>
  <c r="E182" i="4"/>
  <c r="G182" i="4"/>
  <c r="M182" i="4"/>
  <c r="C183" i="4"/>
  <c r="E183" i="4"/>
  <c r="G183" i="4"/>
  <c r="M183" i="4"/>
  <c r="C184" i="4"/>
  <c r="E184" i="4"/>
  <c r="G184" i="4"/>
  <c r="M184" i="4"/>
  <c r="C185" i="4"/>
  <c r="E185" i="4"/>
  <c r="G185" i="4"/>
  <c r="M185" i="4"/>
  <c r="C186" i="4"/>
  <c r="E186" i="4"/>
  <c r="G186" i="4"/>
  <c r="M186" i="4"/>
  <c r="C187" i="4"/>
  <c r="E187" i="4"/>
  <c r="G187" i="4"/>
  <c r="M187" i="4"/>
  <c r="C188" i="4"/>
  <c r="E188" i="4"/>
  <c r="G188" i="4"/>
  <c r="M188" i="4"/>
  <c r="C189" i="4"/>
  <c r="E189" i="4"/>
  <c r="G189" i="4"/>
  <c r="M189" i="4"/>
  <c r="C190" i="4"/>
  <c r="E190" i="4"/>
  <c r="G190" i="4"/>
  <c r="M190" i="4"/>
  <c r="C191" i="4"/>
  <c r="E191" i="4"/>
  <c r="G191" i="4"/>
  <c r="M191" i="4"/>
  <c r="C192" i="4"/>
  <c r="E192" i="4"/>
  <c r="G192" i="4"/>
  <c r="M192" i="4"/>
  <c r="C193" i="4"/>
  <c r="E193" i="4"/>
  <c r="G193" i="4"/>
  <c r="M193" i="4"/>
  <c r="C194" i="4"/>
  <c r="E194" i="4"/>
  <c r="G194" i="4"/>
  <c r="M194" i="4"/>
  <c r="C195" i="4"/>
  <c r="E195" i="4"/>
  <c r="G195" i="4"/>
  <c r="M195" i="4"/>
  <c r="C196" i="4"/>
  <c r="E196" i="4"/>
  <c r="G196" i="4"/>
  <c r="M196" i="4"/>
  <c r="C197" i="4"/>
  <c r="E197" i="4"/>
  <c r="G197" i="4"/>
  <c r="M197" i="4"/>
  <c r="C198" i="4"/>
  <c r="E198" i="4"/>
  <c r="G198" i="4"/>
  <c r="M198" i="4"/>
  <c r="C199" i="4"/>
  <c r="E199" i="4"/>
  <c r="G199" i="4"/>
  <c r="M199" i="4"/>
  <c r="C200" i="4"/>
  <c r="E200" i="4"/>
  <c r="G200" i="4"/>
  <c r="M200" i="4"/>
  <c r="C201" i="4"/>
  <c r="E201" i="4"/>
  <c r="G201" i="4"/>
  <c r="M201" i="4"/>
  <c r="C202" i="4"/>
  <c r="E202" i="4"/>
  <c r="G202" i="4"/>
  <c r="M202" i="4"/>
  <c r="C203" i="4"/>
  <c r="E203" i="4"/>
  <c r="G203" i="4"/>
  <c r="M203" i="4"/>
  <c r="C204" i="4"/>
  <c r="E204" i="4"/>
  <c r="G204" i="4"/>
  <c r="M204" i="4"/>
  <c r="C205" i="4"/>
  <c r="E205" i="4"/>
  <c r="G205" i="4"/>
  <c r="M205" i="4"/>
  <c r="C206" i="4"/>
  <c r="E206" i="4"/>
  <c r="G206" i="4"/>
  <c r="M206" i="4"/>
  <c r="C207" i="4"/>
  <c r="E207" i="4"/>
  <c r="G207" i="4"/>
  <c r="M207" i="4"/>
  <c r="C208" i="4"/>
  <c r="E208" i="4"/>
  <c r="G208" i="4"/>
  <c r="M208" i="4"/>
  <c r="C209" i="4"/>
  <c r="E209" i="4"/>
  <c r="G209" i="4"/>
  <c r="M209" i="4"/>
  <c r="C210" i="4"/>
  <c r="E210" i="4"/>
  <c r="G210" i="4"/>
  <c r="M210" i="4"/>
  <c r="C211" i="4"/>
  <c r="E211" i="4"/>
  <c r="G211" i="4"/>
  <c r="M211" i="4"/>
  <c r="C212" i="4"/>
  <c r="E212" i="4"/>
  <c r="G212" i="4"/>
  <c r="M212" i="4"/>
  <c r="C213" i="4"/>
  <c r="E213" i="4"/>
  <c r="G213" i="4"/>
  <c r="M213" i="4"/>
  <c r="C214" i="4"/>
  <c r="E214" i="4"/>
  <c r="G214" i="4"/>
  <c r="M214" i="4"/>
  <c r="C215" i="4"/>
  <c r="E215" i="4"/>
  <c r="G215" i="4"/>
  <c r="M215" i="4"/>
  <c r="C216" i="4"/>
  <c r="E216" i="4"/>
  <c r="G216" i="4"/>
  <c r="M216" i="4"/>
  <c r="C217" i="4"/>
  <c r="E217" i="4"/>
  <c r="G217" i="4"/>
  <c r="M217" i="4"/>
  <c r="C218" i="4"/>
  <c r="E218" i="4"/>
  <c r="G218" i="4"/>
  <c r="M218" i="4"/>
  <c r="C219" i="4"/>
  <c r="E219" i="4"/>
  <c r="G219" i="4"/>
  <c r="M219" i="4"/>
  <c r="C220" i="4"/>
  <c r="E220" i="4"/>
  <c r="G220" i="4"/>
  <c r="M220" i="4"/>
  <c r="C221" i="4"/>
  <c r="E221" i="4"/>
  <c r="G221" i="4"/>
  <c r="M221" i="4"/>
  <c r="C222" i="4"/>
  <c r="E222" i="4"/>
  <c r="G222" i="4"/>
  <c r="M222" i="4"/>
  <c r="C223" i="4"/>
  <c r="E223" i="4"/>
  <c r="G223" i="4"/>
  <c r="M223" i="4"/>
  <c r="C224" i="4"/>
  <c r="E224" i="4"/>
  <c r="G224" i="4"/>
  <c r="M224" i="4"/>
  <c r="C225" i="4"/>
  <c r="E225" i="4"/>
  <c r="G225" i="4"/>
  <c r="M225" i="4"/>
  <c r="C226" i="4"/>
  <c r="E226" i="4"/>
  <c r="G226" i="4"/>
  <c r="M226" i="4"/>
  <c r="C227" i="4"/>
  <c r="E227" i="4"/>
  <c r="G227" i="4"/>
  <c r="M227" i="4"/>
  <c r="C228" i="4"/>
  <c r="E228" i="4"/>
  <c r="G228" i="4"/>
  <c r="M228" i="4"/>
  <c r="C229" i="4"/>
  <c r="E229" i="4"/>
  <c r="G229" i="4"/>
  <c r="M229" i="4"/>
  <c r="C230" i="4"/>
  <c r="E230" i="4"/>
  <c r="G230" i="4"/>
  <c r="M230" i="4"/>
  <c r="C231" i="4"/>
  <c r="E231" i="4"/>
  <c r="G231" i="4"/>
  <c r="M231" i="4"/>
  <c r="C232" i="4"/>
  <c r="E232" i="4"/>
  <c r="G232" i="4"/>
  <c r="M232" i="4"/>
  <c r="C233" i="4"/>
  <c r="E233" i="4"/>
  <c r="G233" i="4"/>
  <c r="M233" i="4"/>
  <c r="C234" i="4"/>
  <c r="E234" i="4"/>
  <c r="G234" i="4"/>
  <c r="M234" i="4"/>
  <c r="C235" i="4"/>
  <c r="E235" i="4"/>
  <c r="G235" i="4"/>
  <c r="M235" i="4"/>
  <c r="C236" i="4"/>
  <c r="E236" i="4"/>
  <c r="G236" i="4"/>
  <c r="M236" i="4"/>
  <c r="C237" i="4"/>
  <c r="E237" i="4"/>
  <c r="G237" i="4"/>
  <c r="M237" i="4"/>
  <c r="C238" i="4"/>
  <c r="E238" i="4"/>
  <c r="G238" i="4"/>
  <c r="M238" i="4"/>
  <c r="C239" i="4"/>
  <c r="E239" i="4"/>
  <c r="G239" i="4"/>
  <c r="M239" i="4"/>
  <c r="C240" i="4"/>
  <c r="E240" i="4"/>
  <c r="G240" i="4"/>
  <c r="M240" i="4"/>
  <c r="C241" i="4"/>
  <c r="E241" i="4"/>
  <c r="G241" i="4"/>
  <c r="M241" i="4"/>
  <c r="C242" i="4"/>
  <c r="E242" i="4"/>
  <c r="G242" i="4"/>
  <c r="M242" i="4"/>
  <c r="C243" i="4"/>
  <c r="E243" i="4"/>
  <c r="G243" i="4"/>
  <c r="M243" i="4"/>
  <c r="C244" i="4"/>
  <c r="E244" i="4"/>
  <c r="G244" i="4"/>
  <c r="M244" i="4"/>
  <c r="C245" i="4"/>
  <c r="E245" i="4"/>
  <c r="G245" i="4"/>
  <c r="M245" i="4"/>
  <c r="C246" i="4"/>
  <c r="E246" i="4"/>
  <c r="G246" i="4"/>
  <c r="M246" i="4"/>
  <c r="C247" i="4"/>
  <c r="E247" i="4"/>
  <c r="G247" i="4"/>
  <c r="M247" i="4"/>
  <c r="C248" i="4"/>
  <c r="E248" i="4"/>
  <c r="G248" i="4"/>
  <c r="M248" i="4"/>
  <c r="C249" i="4"/>
  <c r="E249" i="4"/>
  <c r="G249" i="4"/>
  <c r="M249" i="4"/>
  <c r="C250" i="4"/>
  <c r="E250" i="4"/>
  <c r="G250" i="4"/>
  <c r="M250" i="4"/>
  <c r="C251" i="4"/>
  <c r="E251" i="4"/>
  <c r="G251" i="4"/>
  <c r="M251" i="4"/>
  <c r="C252" i="4"/>
  <c r="E252" i="4"/>
  <c r="G252" i="4"/>
  <c r="M252" i="4"/>
  <c r="C253" i="4"/>
  <c r="E253" i="4"/>
  <c r="G253" i="4"/>
  <c r="M253" i="4"/>
  <c r="C254" i="4"/>
  <c r="E254" i="4"/>
  <c r="G254" i="4"/>
  <c r="M254" i="4"/>
  <c r="C255" i="4"/>
  <c r="E255" i="4"/>
  <c r="G255" i="4"/>
  <c r="M255" i="4"/>
  <c r="C256" i="4"/>
  <c r="E256" i="4"/>
  <c r="G256" i="4"/>
  <c r="M256" i="4"/>
  <c r="C257" i="4"/>
  <c r="E257" i="4"/>
  <c r="G257" i="4"/>
  <c r="M257" i="4"/>
  <c r="C258" i="4"/>
  <c r="E258" i="4"/>
  <c r="G258" i="4"/>
  <c r="M258" i="4"/>
  <c r="C259" i="4"/>
  <c r="E259" i="4"/>
  <c r="G259" i="4"/>
  <c r="M259" i="4"/>
  <c r="C260" i="4"/>
  <c r="E260" i="4"/>
  <c r="G260" i="4"/>
  <c r="M260" i="4"/>
  <c r="C261" i="4"/>
  <c r="E261" i="4"/>
  <c r="G261" i="4"/>
  <c r="M261" i="4"/>
  <c r="C262" i="4"/>
  <c r="E262" i="4"/>
  <c r="G262" i="4"/>
  <c r="M262" i="4"/>
  <c r="C263" i="4"/>
  <c r="E263" i="4"/>
  <c r="G263" i="4"/>
  <c r="M263" i="4"/>
  <c r="C264" i="4"/>
  <c r="E264" i="4"/>
  <c r="G264" i="4"/>
  <c r="M264" i="4"/>
  <c r="C265" i="4"/>
  <c r="E265" i="4"/>
  <c r="G265" i="4"/>
  <c r="M265" i="4"/>
  <c r="C266" i="4"/>
  <c r="E266" i="4"/>
  <c r="G266" i="4"/>
  <c r="M266" i="4"/>
  <c r="C267" i="4"/>
  <c r="E267" i="4"/>
  <c r="G267" i="4"/>
  <c r="M267" i="4"/>
  <c r="C268" i="4"/>
  <c r="E268" i="4"/>
  <c r="G268" i="4"/>
  <c r="M268" i="4"/>
  <c r="C269" i="4"/>
  <c r="E269" i="4"/>
  <c r="G269" i="4"/>
  <c r="M269" i="4"/>
  <c r="C270" i="4"/>
  <c r="E270" i="4"/>
  <c r="G270" i="4"/>
  <c r="M270" i="4"/>
  <c r="C271" i="4"/>
  <c r="E271" i="4"/>
  <c r="G271" i="4"/>
  <c r="M271" i="4"/>
  <c r="C272" i="4"/>
  <c r="E272" i="4"/>
  <c r="G272" i="4"/>
  <c r="M272" i="4"/>
  <c r="C273" i="4"/>
  <c r="E273" i="4"/>
  <c r="G273" i="4"/>
  <c r="M273" i="4"/>
  <c r="C274" i="4"/>
  <c r="E274" i="4"/>
  <c r="G274" i="4"/>
  <c r="M274" i="4"/>
  <c r="C275" i="4"/>
  <c r="E275" i="4"/>
  <c r="G275" i="4"/>
  <c r="M275" i="4"/>
  <c r="C276" i="4"/>
  <c r="E276" i="4"/>
  <c r="G276" i="4"/>
  <c r="M276" i="4"/>
  <c r="C277" i="4"/>
  <c r="E277" i="4"/>
  <c r="G277" i="4"/>
  <c r="M277" i="4"/>
  <c r="C278" i="4"/>
  <c r="E278" i="4"/>
  <c r="G278" i="4"/>
  <c r="M278" i="4"/>
  <c r="C279" i="4"/>
  <c r="E279" i="4"/>
  <c r="G279" i="4"/>
  <c r="M279" i="4"/>
  <c r="C280" i="4"/>
  <c r="E280" i="4"/>
  <c r="G280" i="4"/>
  <c r="M280" i="4"/>
  <c r="C281" i="4"/>
  <c r="E281" i="4"/>
  <c r="G281" i="4"/>
  <c r="M281" i="4"/>
  <c r="C282" i="4"/>
  <c r="E282" i="4"/>
  <c r="G282" i="4"/>
  <c r="M282" i="4"/>
  <c r="C283" i="4"/>
  <c r="E283" i="4"/>
  <c r="G283" i="4"/>
  <c r="M283" i="4"/>
  <c r="C284" i="4"/>
  <c r="E284" i="4"/>
  <c r="G284" i="4"/>
  <c r="M284" i="4"/>
  <c r="C285" i="4"/>
  <c r="E285" i="4"/>
  <c r="G285" i="4"/>
  <c r="M285" i="4"/>
  <c r="C286" i="4"/>
  <c r="E286" i="4"/>
  <c r="G286" i="4"/>
  <c r="M286" i="4"/>
  <c r="C287" i="4"/>
  <c r="E287" i="4"/>
  <c r="G287" i="4"/>
  <c r="M287" i="4"/>
  <c r="C288" i="4"/>
  <c r="E288" i="4"/>
  <c r="G288" i="4"/>
  <c r="M288" i="4"/>
  <c r="C289" i="4"/>
  <c r="E289" i="4"/>
  <c r="G289" i="4"/>
  <c r="M289" i="4"/>
  <c r="C290" i="4"/>
  <c r="E290" i="4"/>
  <c r="G290" i="4"/>
  <c r="M290" i="4"/>
  <c r="C291" i="4"/>
  <c r="E291" i="4"/>
  <c r="G291" i="4"/>
  <c r="M291" i="4"/>
  <c r="C292" i="4"/>
  <c r="E292" i="4"/>
  <c r="G292" i="4"/>
  <c r="M292" i="4"/>
  <c r="C293" i="4"/>
  <c r="E293" i="4"/>
  <c r="G293" i="4"/>
  <c r="M293" i="4"/>
  <c r="C294" i="4"/>
  <c r="E294" i="4"/>
  <c r="G294" i="4"/>
  <c r="M294" i="4"/>
  <c r="C295" i="4"/>
  <c r="E295" i="4"/>
  <c r="G295" i="4"/>
  <c r="M295" i="4"/>
  <c r="C296" i="4"/>
  <c r="E296" i="4"/>
  <c r="G296" i="4"/>
  <c r="M296" i="4"/>
  <c r="C297" i="4"/>
  <c r="E297" i="4"/>
  <c r="G297" i="4"/>
  <c r="M297" i="4"/>
  <c r="C298" i="4"/>
  <c r="E298" i="4"/>
  <c r="G298" i="4"/>
  <c r="M298" i="4"/>
  <c r="C299" i="4"/>
  <c r="E299" i="4"/>
  <c r="G299" i="4"/>
  <c r="M299" i="4"/>
  <c r="C300" i="4"/>
  <c r="E300" i="4"/>
  <c r="G300" i="4"/>
  <c r="M300" i="4"/>
  <c r="C301" i="4"/>
  <c r="E301" i="4"/>
  <c r="G301" i="4"/>
  <c r="M301" i="4"/>
  <c r="C302" i="4"/>
  <c r="E302" i="4"/>
  <c r="G302" i="4"/>
  <c r="M302" i="4"/>
  <c r="C303" i="4"/>
  <c r="E303" i="4"/>
  <c r="G303" i="4"/>
  <c r="M303" i="4"/>
  <c r="C304" i="4"/>
  <c r="E304" i="4"/>
  <c r="G304" i="4"/>
  <c r="M304" i="4"/>
  <c r="C305" i="4"/>
  <c r="E305" i="4"/>
  <c r="G305" i="4"/>
  <c r="M305" i="4"/>
  <c r="C306" i="4"/>
  <c r="E306" i="4"/>
  <c r="G306" i="4"/>
  <c r="M306" i="4"/>
  <c r="C307" i="4"/>
  <c r="E307" i="4"/>
  <c r="G307" i="4"/>
  <c r="M307" i="4"/>
  <c r="C308" i="4"/>
  <c r="E308" i="4"/>
  <c r="G308" i="4"/>
  <c r="M308" i="4"/>
  <c r="C309" i="4"/>
  <c r="E309" i="4"/>
  <c r="G309" i="4"/>
  <c r="M309" i="4"/>
  <c r="C310" i="4"/>
  <c r="E310" i="4"/>
  <c r="G310" i="4"/>
  <c r="M310" i="4"/>
  <c r="C311" i="4"/>
  <c r="E311" i="4"/>
  <c r="G311" i="4"/>
  <c r="M311" i="4"/>
  <c r="C312" i="4"/>
  <c r="E312" i="4"/>
  <c r="G312" i="4"/>
  <c r="M312" i="4"/>
  <c r="C313" i="4"/>
  <c r="E313" i="4"/>
  <c r="G313" i="4"/>
  <c r="M313" i="4"/>
  <c r="C314" i="4"/>
  <c r="E314" i="4"/>
  <c r="G314" i="4"/>
  <c r="M314" i="4"/>
  <c r="C315" i="4"/>
  <c r="E315" i="4"/>
  <c r="G315" i="4"/>
  <c r="M315" i="4"/>
  <c r="C316" i="4"/>
  <c r="E316" i="4"/>
  <c r="G316" i="4"/>
  <c r="M316" i="4"/>
  <c r="C317" i="4"/>
  <c r="E317" i="4"/>
  <c r="G317" i="4"/>
  <c r="M317" i="4"/>
  <c r="C318" i="4"/>
  <c r="E318" i="4"/>
  <c r="G318" i="4"/>
  <c r="M318" i="4"/>
  <c r="C319" i="4"/>
  <c r="E319" i="4"/>
  <c r="G319" i="4"/>
  <c r="M319" i="4"/>
  <c r="C320" i="4"/>
  <c r="E320" i="4"/>
  <c r="G320" i="4"/>
  <c r="M320" i="4"/>
  <c r="C321" i="4"/>
  <c r="E321" i="4"/>
  <c r="G321" i="4"/>
  <c r="M321" i="4"/>
  <c r="C322" i="4"/>
  <c r="E322" i="4"/>
  <c r="G322" i="4"/>
  <c r="M322" i="4"/>
  <c r="C323" i="4"/>
  <c r="E323" i="4"/>
  <c r="G323" i="4"/>
  <c r="M323" i="4"/>
  <c r="C324" i="4"/>
  <c r="E324" i="4"/>
  <c r="G324" i="4"/>
  <c r="M324" i="4"/>
  <c r="C325" i="4"/>
  <c r="E325" i="4"/>
  <c r="G325" i="4"/>
  <c r="M325" i="4"/>
  <c r="C326" i="4"/>
  <c r="E326" i="4"/>
  <c r="G326" i="4"/>
  <c r="M326" i="4"/>
  <c r="C327" i="4"/>
  <c r="E327" i="4"/>
  <c r="G327" i="4"/>
  <c r="M327" i="4"/>
  <c r="C328" i="4"/>
  <c r="E328" i="4"/>
  <c r="G328" i="4"/>
  <c r="M328" i="4"/>
  <c r="C329" i="4"/>
  <c r="E329" i="4"/>
  <c r="G329" i="4"/>
  <c r="M329" i="4"/>
  <c r="C330" i="4"/>
  <c r="E330" i="4"/>
  <c r="G330" i="4"/>
  <c r="M330" i="4"/>
  <c r="C331" i="4"/>
  <c r="E331" i="4"/>
  <c r="G331" i="4"/>
  <c r="M331" i="4"/>
  <c r="C332" i="4"/>
  <c r="E332" i="4"/>
  <c r="G332" i="4"/>
  <c r="M332" i="4"/>
  <c r="C333" i="4"/>
  <c r="E333" i="4"/>
  <c r="G333" i="4"/>
  <c r="M333" i="4"/>
  <c r="C334" i="4"/>
  <c r="E334" i="4"/>
  <c r="G334" i="4"/>
  <c r="M334" i="4"/>
  <c r="C335" i="4"/>
  <c r="E335" i="4"/>
  <c r="G335" i="4"/>
  <c r="M335" i="4"/>
  <c r="C336" i="4"/>
  <c r="E336" i="4"/>
  <c r="G336" i="4"/>
  <c r="M336" i="4"/>
  <c r="C337" i="4"/>
  <c r="E337" i="4"/>
  <c r="G337" i="4"/>
  <c r="M337" i="4"/>
  <c r="C338" i="4"/>
  <c r="E338" i="4"/>
  <c r="G338" i="4"/>
  <c r="M338" i="4"/>
  <c r="C339" i="4"/>
  <c r="E339" i="4"/>
  <c r="G339" i="4"/>
  <c r="M339" i="4"/>
  <c r="C340" i="4"/>
  <c r="E340" i="4"/>
  <c r="G340" i="4"/>
  <c r="M340" i="4"/>
  <c r="C341" i="4"/>
  <c r="E341" i="4"/>
  <c r="G341" i="4"/>
  <c r="M341" i="4"/>
  <c r="C342" i="4"/>
  <c r="E342" i="4"/>
  <c r="G342" i="4"/>
  <c r="M342" i="4"/>
  <c r="C343" i="4"/>
  <c r="E343" i="4"/>
  <c r="G343" i="4"/>
  <c r="M343" i="4"/>
  <c r="C344" i="4"/>
  <c r="E344" i="4"/>
  <c r="G344" i="4"/>
  <c r="M344" i="4"/>
  <c r="C345" i="4"/>
  <c r="E345" i="4"/>
  <c r="G345" i="4"/>
  <c r="M345" i="4"/>
  <c r="C346" i="4"/>
  <c r="E346" i="4"/>
  <c r="G346" i="4"/>
  <c r="M346" i="4"/>
  <c r="C347" i="4"/>
  <c r="E347" i="4"/>
  <c r="G347" i="4"/>
  <c r="M347" i="4"/>
  <c r="C348" i="4"/>
  <c r="E348" i="4"/>
  <c r="G348" i="4"/>
  <c r="M348" i="4"/>
  <c r="C349" i="4"/>
  <c r="E349" i="4"/>
  <c r="G349" i="4"/>
  <c r="M349" i="4"/>
  <c r="C350" i="4"/>
  <c r="E350" i="4"/>
  <c r="G350" i="4"/>
  <c r="M350" i="4"/>
  <c r="C351" i="4"/>
  <c r="E351" i="4"/>
  <c r="G351" i="4"/>
  <c r="M351" i="4"/>
  <c r="C352" i="4"/>
  <c r="E352" i="4"/>
  <c r="G352" i="4"/>
  <c r="M352" i="4"/>
  <c r="C353" i="4"/>
  <c r="E353" i="4"/>
  <c r="G353" i="4"/>
  <c r="M353" i="4"/>
  <c r="C354" i="4"/>
  <c r="E354" i="4"/>
  <c r="G354" i="4"/>
  <c r="M354" i="4"/>
  <c r="C355" i="4"/>
  <c r="E355" i="4"/>
  <c r="G355" i="4"/>
  <c r="M355" i="4"/>
  <c r="C356" i="4"/>
  <c r="E356" i="4"/>
  <c r="G356" i="4"/>
  <c r="M356" i="4"/>
  <c r="C357" i="4"/>
  <c r="E357" i="4"/>
  <c r="G357" i="4"/>
  <c r="M357" i="4"/>
  <c r="C358" i="4"/>
  <c r="E358" i="4"/>
  <c r="G358" i="4"/>
  <c r="M358" i="4"/>
  <c r="C359" i="4"/>
  <c r="E359" i="4"/>
  <c r="G359" i="4"/>
  <c r="M359" i="4"/>
  <c r="C360" i="4"/>
  <c r="E360" i="4"/>
  <c r="G360" i="4"/>
  <c r="M360" i="4"/>
  <c r="C361" i="4"/>
  <c r="E361" i="4"/>
  <c r="G361" i="4"/>
  <c r="M361" i="4"/>
  <c r="C362" i="4"/>
  <c r="E362" i="4"/>
  <c r="G362" i="4"/>
  <c r="M362" i="4"/>
  <c r="C363" i="4"/>
  <c r="E363" i="4"/>
  <c r="G363" i="4"/>
  <c r="M363" i="4"/>
  <c r="C364" i="4"/>
  <c r="E364" i="4"/>
  <c r="G364" i="4"/>
  <c r="M364" i="4"/>
  <c r="C365" i="4"/>
  <c r="E365" i="4"/>
  <c r="G365" i="4"/>
  <c r="M365" i="4"/>
  <c r="C366" i="4"/>
  <c r="E366" i="4"/>
  <c r="G366" i="4"/>
  <c r="M366" i="4"/>
  <c r="C367" i="4"/>
  <c r="E367" i="4"/>
  <c r="G367" i="4"/>
  <c r="M367" i="4"/>
  <c r="C368" i="4"/>
  <c r="E368" i="4"/>
  <c r="G368" i="4"/>
  <c r="M368" i="4"/>
  <c r="C369" i="4"/>
  <c r="E369" i="4"/>
  <c r="G369" i="4"/>
  <c r="M369" i="4"/>
  <c r="C370" i="4"/>
  <c r="E370" i="4"/>
  <c r="G370" i="4"/>
  <c r="M370" i="4"/>
  <c r="C371" i="4"/>
  <c r="E371" i="4"/>
  <c r="G371" i="4"/>
  <c r="M371" i="4"/>
  <c r="C372" i="4"/>
  <c r="E372" i="4"/>
  <c r="G372" i="4"/>
  <c r="M372" i="4"/>
  <c r="C373" i="4"/>
  <c r="E373" i="4"/>
  <c r="G373" i="4"/>
  <c r="M373" i="4"/>
  <c r="C374" i="4"/>
  <c r="E374" i="4"/>
  <c r="G374" i="4"/>
  <c r="M374" i="4"/>
  <c r="C375" i="4"/>
  <c r="E375" i="4"/>
  <c r="G375" i="4"/>
  <c r="M375" i="4"/>
  <c r="C376" i="4"/>
  <c r="E376" i="4"/>
  <c r="G376" i="4"/>
  <c r="M376" i="4"/>
  <c r="C377" i="4"/>
  <c r="E377" i="4"/>
  <c r="G377" i="4"/>
  <c r="M377" i="4"/>
  <c r="C378" i="4"/>
  <c r="E378" i="4"/>
  <c r="G378" i="4"/>
  <c r="M378" i="4"/>
  <c r="C379" i="4"/>
  <c r="E379" i="4"/>
  <c r="G379" i="4"/>
  <c r="M379" i="4"/>
  <c r="C380" i="4"/>
  <c r="E380" i="4"/>
  <c r="G380" i="4"/>
  <c r="M380" i="4"/>
  <c r="C381" i="4"/>
  <c r="E381" i="4"/>
  <c r="G381" i="4"/>
  <c r="M381" i="4"/>
  <c r="C382" i="4"/>
  <c r="E382" i="4"/>
  <c r="G382" i="4"/>
  <c r="M382" i="4"/>
  <c r="C383" i="4"/>
  <c r="E383" i="4"/>
  <c r="G383" i="4"/>
  <c r="M383" i="4"/>
  <c r="C384" i="4"/>
  <c r="E384" i="4"/>
  <c r="G384" i="4"/>
  <c r="M384" i="4"/>
  <c r="C385" i="4"/>
  <c r="E385" i="4"/>
  <c r="G385" i="4"/>
  <c r="M385" i="4"/>
  <c r="C386" i="4"/>
  <c r="E386" i="4"/>
  <c r="G386" i="4"/>
  <c r="M386" i="4"/>
  <c r="C387" i="4"/>
  <c r="E387" i="4"/>
  <c r="G387" i="4"/>
  <c r="M387" i="4"/>
  <c r="C388" i="4"/>
  <c r="E388" i="4"/>
  <c r="G388" i="4"/>
  <c r="M388" i="4"/>
  <c r="C389" i="4"/>
  <c r="E389" i="4"/>
  <c r="G389" i="4"/>
  <c r="M389" i="4"/>
  <c r="C390" i="4"/>
  <c r="E390" i="4"/>
  <c r="G390" i="4"/>
  <c r="M390" i="4"/>
  <c r="C391" i="4"/>
  <c r="E391" i="4"/>
  <c r="G391" i="4"/>
  <c r="M391" i="4"/>
  <c r="C392" i="4"/>
  <c r="E392" i="4"/>
  <c r="G392" i="4"/>
  <c r="M392" i="4"/>
  <c r="C393" i="4"/>
  <c r="E393" i="4"/>
  <c r="G393" i="4"/>
  <c r="M393" i="4"/>
  <c r="C394" i="4"/>
  <c r="E394" i="4"/>
  <c r="G394" i="4"/>
  <c r="M394" i="4"/>
  <c r="C395" i="4"/>
  <c r="E395" i="4"/>
  <c r="G395" i="4"/>
  <c r="M395" i="4"/>
  <c r="C396" i="4"/>
  <c r="E396" i="4"/>
  <c r="G396" i="4"/>
  <c r="M396" i="4"/>
  <c r="C397" i="4"/>
  <c r="E397" i="4"/>
  <c r="G397" i="4"/>
  <c r="M397" i="4"/>
  <c r="C398" i="4"/>
  <c r="E398" i="4"/>
  <c r="G398" i="4"/>
  <c r="M398" i="4"/>
  <c r="C399" i="4"/>
  <c r="E399" i="4"/>
  <c r="G399" i="4"/>
  <c r="M399" i="4"/>
  <c r="C400" i="4"/>
  <c r="E400" i="4"/>
  <c r="G400" i="4"/>
  <c r="M400" i="4"/>
  <c r="C401" i="4"/>
  <c r="E401" i="4"/>
  <c r="G401" i="4"/>
  <c r="M401" i="4"/>
  <c r="C402" i="4"/>
  <c r="E402" i="4"/>
  <c r="G402" i="4"/>
  <c r="M402" i="4"/>
  <c r="C403" i="4"/>
  <c r="E403" i="4"/>
  <c r="G403" i="4"/>
  <c r="M403" i="4"/>
  <c r="C404" i="4"/>
  <c r="E404" i="4"/>
  <c r="G404" i="4"/>
  <c r="M404" i="4"/>
  <c r="C405" i="4"/>
  <c r="E405" i="4"/>
  <c r="G405" i="4"/>
  <c r="M405" i="4"/>
  <c r="C406" i="4"/>
  <c r="E406" i="4"/>
  <c r="G406" i="4"/>
  <c r="M406" i="4"/>
  <c r="C407" i="4"/>
  <c r="E407" i="4"/>
  <c r="G407" i="4"/>
  <c r="M407" i="4"/>
  <c r="C408" i="4"/>
  <c r="E408" i="4"/>
  <c r="G408" i="4"/>
  <c r="M408" i="4"/>
  <c r="C409" i="4"/>
  <c r="E409" i="4"/>
  <c r="G409" i="4"/>
  <c r="M409" i="4"/>
  <c r="C410" i="4"/>
  <c r="E410" i="4"/>
  <c r="G410" i="4"/>
  <c r="M410" i="4"/>
  <c r="C411" i="4"/>
  <c r="E411" i="4"/>
  <c r="G411" i="4"/>
  <c r="M411" i="4"/>
  <c r="C412" i="4"/>
  <c r="E412" i="4"/>
  <c r="G412" i="4"/>
  <c r="M412" i="4"/>
  <c r="C413" i="4"/>
  <c r="E413" i="4"/>
  <c r="G413" i="4"/>
  <c r="M413" i="4"/>
  <c r="C414" i="4"/>
  <c r="E414" i="4"/>
  <c r="G414" i="4"/>
  <c r="M414" i="4"/>
  <c r="C415" i="4"/>
  <c r="E415" i="4"/>
  <c r="G415" i="4"/>
  <c r="M415" i="4"/>
  <c r="C416" i="4"/>
  <c r="E416" i="4"/>
  <c r="G416" i="4"/>
  <c r="M416" i="4"/>
  <c r="C417" i="4"/>
  <c r="E417" i="4"/>
  <c r="G417" i="4"/>
  <c r="M417" i="4"/>
  <c r="C418" i="4"/>
  <c r="E418" i="4"/>
  <c r="G418" i="4"/>
  <c r="M418" i="4"/>
  <c r="C419" i="4"/>
  <c r="E419" i="4"/>
  <c r="G419" i="4"/>
  <c r="M419" i="4"/>
  <c r="C420" i="4"/>
  <c r="E420" i="4"/>
  <c r="G420" i="4"/>
  <c r="M420" i="4"/>
  <c r="C421" i="4"/>
  <c r="E421" i="4"/>
  <c r="G421" i="4"/>
  <c r="M421" i="4"/>
  <c r="C422" i="4"/>
  <c r="E422" i="4"/>
  <c r="G422" i="4"/>
  <c r="M422" i="4"/>
  <c r="C423" i="4"/>
  <c r="E423" i="4"/>
  <c r="G423" i="4"/>
  <c r="M423" i="4"/>
  <c r="C424" i="4"/>
  <c r="E424" i="4"/>
  <c r="G424" i="4"/>
  <c r="M424" i="4"/>
  <c r="C425" i="4"/>
  <c r="E425" i="4"/>
  <c r="G425" i="4"/>
  <c r="M425" i="4"/>
  <c r="C426" i="4"/>
  <c r="E426" i="4"/>
  <c r="G426" i="4"/>
  <c r="M426" i="4"/>
  <c r="C427" i="4"/>
  <c r="E427" i="4"/>
  <c r="G427" i="4"/>
  <c r="M427" i="4"/>
  <c r="C428" i="4"/>
  <c r="E428" i="4"/>
  <c r="G428" i="4"/>
  <c r="M428" i="4"/>
  <c r="C429" i="4"/>
  <c r="E429" i="4"/>
  <c r="G429" i="4"/>
  <c r="M429" i="4"/>
  <c r="C430" i="4"/>
  <c r="E430" i="4"/>
  <c r="G430" i="4"/>
  <c r="M430" i="4"/>
  <c r="C431" i="4"/>
  <c r="E431" i="4"/>
  <c r="G431" i="4"/>
  <c r="M431" i="4"/>
  <c r="C432" i="4"/>
  <c r="E432" i="4"/>
  <c r="G432" i="4"/>
  <c r="M432" i="4"/>
  <c r="C433" i="4"/>
  <c r="E433" i="4"/>
  <c r="G433" i="4"/>
  <c r="M433" i="4"/>
  <c r="C434" i="4"/>
  <c r="E434" i="4"/>
  <c r="G434" i="4"/>
  <c r="M434" i="4"/>
  <c r="C435" i="4"/>
  <c r="E435" i="4"/>
  <c r="G435" i="4"/>
  <c r="M435" i="4"/>
  <c r="C436" i="4"/>
  <c r="E436" i="4"/>
  <c r="G436" i="4"/>
  <c r="M436" i="4"/>
  <c r="C437" i="4"/>
  <c r="E437" i="4"/>
  <c r="G437" i="4"/>
  <c r="M437" i="4"/>
  <c r="C438" i="4"/>
  <c r="E438" i="4"/>
  <c r="G438" i="4"/>
  <c r="M438" i="4"/>
  <c r="C439" i="4"/>
  <c r="E439" i="4"/>
  <c r="G439" i="4"/>
  <c r="M439" i="4"/>
  <c r="C440" i="4"/>
  <c r="E440" i="4"/>
  <c r="G440" i="4"/>
  <c r="M440" i="4"/>
  <c r="C441" i="4"/>
  <c r="E441" i="4"/>
  <c r="G441" i="4"/>
  <c r="M441" i="4"/>
  <c r="C442" i="4"/>
  <c r="E442" i="4"/>
  <c r="G442" i="4"/>
  <c r="M442" i="4"/>
  <c r="C443" i="4"/>
  <c r="E443" i="4"/>
  <c r="G443" i="4"/>
  <c r="M443" i="4"/>
  <c r="C444" i="4"/>
  <c r="E444" i="4"/>
  <c r="G444" i="4"/>
  <c r="M444" i="4"/>
  <c r="C445" i="4"/>
  <c r="E445" i="4"/>
  <c r="G445" i="4"/>
  <c r="M445" i="4"/>
  <c r="C446" i="4"/>
  <c r="E446" i="4"/>
  <c r="G446" i="4"/>
  <c r="M446" i="4"/>
  <c r="C447" i="4"/>
  <c r="E447" i="4"/>
  <c r="G447" i="4"/>
  <c r="M447" i="4"/>
  <c r="C448" i="4"/>
  <c r="E448" i="4"/>
  <c r="G448" i="4"/>
  <c r="M448" i="4"/>
  <c r="C449" i="4"/>
  <c r="E449" i="4"/>
  <c r="G449" i="4"/>
  <c r="M449" i="4"/>
  <c r="C450" i="4"/>
  <c r="E450" i="4"/>
  <c r="G450" i="4"/>
  <c r="M450" i="4"/>
  <c r="C451" i="4"/>
  <c r="E451" i="4"/>
  <c r="G451" i="4"/>
  <c r="M451" i="4"/>
  <c r="C452" i="4"/>
  <c r="E452" i="4"/>
  <c r="G452" i="4"/>
  <c r="M452" i="4"/>
  <c r="C453" i="4"/>
  <c r="E453" i="4"/>
  <c r="G453" i="4"/>
  <c r="M453" i="4"/>
  <c r="C454" i="4"/>
  <c r="E454" i="4"/>
  <c r="G454" i="4"/>
  <c r="M454" i="4"/>
  <c r="C455" i="4"/>
  <c r="E455" i="4"/>
  <c r="G455" i="4"/>
  <c r="M455" i="4"/>
  <c r="C456" i="4"/>
  <c r="E456" i="4"/>
  <c r="G456" i="4"/>
  <c r="M456" i="4"/>
  <c r="C457" i="4"/>
  <c r="E457" i="4"/>
  <c r="G457" i="4"/>
  <c r="M457" i="4"/>
  <c r="C458" i="4"/>
  <c r="E458" i="4"/>
  <c r="G458" i="4"/>
  <c r="M458" i="4"/>
  <c r="C459" i="4"/>
  <c r="E459" i="4"/>
  <c r="G459" i="4"/>
  <c r="M459" i="4"/>
  <c r="C460" i="4"/>
  <c r="E460" i="4"/>
  <c r="G460" i="4"/>
  <c r="M460" i="4"/>
  <c r="C461" i="4"/>
  <c r="E461" i="4"/>
  <c r="G461" i="4"/>
  <c r="M461" i="4"/>
  <c r="C462" i="4"/>
  <c r="E462" i="4"/>
  <c r="G462" i="4"/>
  <c r="M462" i="4"/>
  <c r="C463" i="4"/>
  <c r="E463" i="4"/>
  <c r="G463" i="4"/>
  <c r="M463" i="4"/>
  <c r="C464" i="4"/>
  <c r="E464" i="4"/>
  <c r="G464" i="4"/>
  <c r="M464" i="4"/>
  <c r="C465" i="4"/>
  <c r="E465" i="4"/>
  <c r="G465" i="4"/>
  <c r="M465" i="4"/>
  <c r="C466" i="4"/>
  <c r="E466" i="4"/>
  <c r="G466" i="4"/>
  <c r="M466" i="4"/>
  <c r="C467" i="4"/>
  <c r="E467" i="4"/>
  <c r="G467" i="4"/>
  <c r="M467" i="4"/>
  <c r="C468" i="4"/>
  <c r="E468" i="4"/>
  <c r="G468" i="4"/>
  <c r="M468" i="4"/>
  <c r="C469" i="4"/>
  <c r="E469" i="4"/>
  <c r="G469" i="4"/>
  <c r="M469" i="4"/>
  <c r="C470" i="4"/>
  <c r="E470" i="4"/>
  <c r="G470" i="4"/>
  <c r="M470" i="4"/>
  <c r="C471" i="4"/>
  <c r="E471" i="4"/>
  <c r="G471" i="4"/>
  <c r="M471" i="4"/>
  <c r="C472" i="4"/>
  <c r="E472" i="4"/>
  <c r="G472" i="4"/>
  <c r="M472" i="4"/>
  <c r="C473" i="4"/>
  <c r="E473" i="4"/>
  <c r="G473" i="4"/>
  <c r="M473" i="4"/>
  <c r="C474" i="4"/>
  <c r="E474" i="4"/>
  <c r="G474" i="4"/>
  <c r="M474" i="4"/>
  <c r="C475" i="4"/>
  <c r="E475" i="4"/>
  <c r="G475" i="4"/>
  <c r="M475" i="4"/>
  <c r="C476" i="4"/>
  <c r="E476" i="4"/>
  <c r="G476" i="4"/>
  <c r="M476" i="4"/>
  <c r="C477" i="4"/>
  <c r="E477" i="4"/>
  <c r="G477" i="4"/>
  <c r="M477" i="4"/>
  <c r="C478" i="4"/>
  <c r="E478" i="4"/>
  <c r="G478" i="4"/>
  <c r="M478" i="4"/>
  <c r="C479" i="4"/>
  <c r="E479" i="4"/>
  <c r="G479" i="4"/>
  <c r="M479" i="4"/>
  <c r="C480" i="4"/>
  <c r="E480" i="4"/>
  <c r="G480" i="4"/>
  <c r="M480" i="4"/>
  <c r="C481" i="4"/>
  <c r="E481" i="4"/>
  <c r="G481" i="4"/>
  <c r="M481" i="4"/>
  <c r="C482" i="4"/>
  <c r="E482" i="4"/>
  <c r="G482" i="4"/>
  <c r="M482" i="4"/>
  <c r="C483" i="4"/>
  <c r="E483" i="4"/>
  <c r="G483" i="4"/>
  <c r="M483" i="4"/>
  <c r="C484" i="4"/>
  <c r="E484" i="4"/>
  <c r="G484" i="4"/>
  <c r="M484" i="4"/>
  <c r="C485" i="4"/>
  <c r="E485" i="4"/>
  <c r="G485" i="4"/>
  <c r="M485" i="4"/>
  <c r="C486" i="4"/>
  <c r="E486" i="4"/>
  <c r="G486" i="4"/>
  <c r="M486" i="4"/>
  <c r="C487" i="4"/>
  <c r="E487" i="4"/>
  <c r="G487" i="4"/>
  <c r="M487" i="4"/>
  <c r="C488" i="4"/>
  <c r="E488" i="4"/>
  <c r="G488" i="4"/>
  <c r="M488" i="4"/>
  <c r="C489" i="4"/>
  <c r="E489" i="4"/>
  <c r="G489" i="4"/>
  <c r="M489" i="4"/>
  <c r="C490" i="4"/>
  <c r="E490" i="4"/>
  <c r="G490" i="4"/>
  <c r="M490" i="4"/>
  <c r="C491" i="4"/>
  <c r="E491" i="4"/>
  <c r="G491" i="4"/>
  <c r="M491" i="4"/>
  <c r="C492" i="4"/>
  <c r="E492" i="4"/>
  <c r="G492" i="4"/>
  <c r="M492" i="4"/>
  <c r="C493" i="4"/>
  <c r="E493" i="4"/>
  <c r="G493" i="4"/>
  <c r="M493" i="4"/>
  <c r="C494" i="4"/>
  <c r="E494" i="4"/>
  <c r="G494" i="4"/>
  <c r="M494" i="4"/>
  <c r="C495" i="4"/>
  <c r="E495" i="4"/>
  <c r="G495" i="4"/>
  <c r="M495" i="4"/>
  <c r="C496" i="4"/>
  <c r="E496" i="4"/>
  <c r="G496" i="4"/>
  <c r="M496" i="4"/>
  <c r="C497" i="4"/>
  <c r="E497" i="4"/>
  <c r="G497" i="4"/>
  <c r="M497" i="4"/>
  <c r="C498" i="4"/>
  <c r="E498" i="4"/>
  <c r="G498" i="4"/>
  <c r="M498" i="4"/>
  <c r="C499" i="4"/>
  <c r="E499" i="4"/>
  <c r="G499" i="4"/>
  <c r="M499" i="4"/>
  <c r="C500" i="4"/>
  <c r="E500" i="4"/>
  <c r="G500" i="4"/>
  <c r="M500" i="4"/>
  <c r="C501" i="4"/>
  <c r="E501" i="4"/>
  <c r="G501" i="4"/>
  <c r="M501" i="4"/>
  <c r="C502" i="4"/>
  <c r="E502" i="4"/>
  <c r="G502" i="4"/>
  <c r="M502" i="4"/>
  <c r="C503" i="4"/>
  <c r="E503" i="4"/>
  <c r="G503" i="4"/>
  <c r="M503" i="4"/>
  <c r="C504" i="4"/>
  <c r="E504" i="4"/>
  <c r="G504" i="4"/>
  <c r="M504" i="4"/>
  <c r="C505" i="4"/>
  <c r="E505" i="4"/>
  <c r="G505" i="4"/>
  <c r="M505" i="4"/>
  <c r="C506" i="4"/>
  <c r="E506" i="4"/>
  <c r="G506" i="4"/>
  <c r="M506" i="4"/>
  <c r="C507" i="4"/>
  <c r="E507" i="4"/>
  <c r="G507" i="4"/>
  <c r="M507" i="4"/>
  <c r="C508" i="4"/>
  <c r="E508" i="4"/>
  <c r="G508" i="4"/>
  <c r="M508" i="4"/>
  <c r="C509" i="4"/>
  <c r="E509" i="4"/>
  <c r="G509" i="4"/>
  <c r="M509" i="4"/>
  <c r="C510" i="4"/>
  <c r="E510" i="4"/>
  <c r="G510" i="4"/>
  <c r="M510" i="4"/>
  <c r="C511" i="4"/>
  <c r="E511" i="4"/>
  <c r="G511" i="4"/>
  <c r="M511" i="4"/>
  <c r="C512" i="4"/>
  <c r="E512" i="4"/>
  <c r="G512" i="4"/>
  <c r="M512" i="4"/>
  <c r="C513" i="4"/>
  <c r="E513" i="4"/>
  <c r="G513" i="4"/>
  <c r="M513" i="4"/>
  <c r="C514" i="4"/>
  <c r="E514" i="4"/>
  <c r="G514" i="4"/>
  <c r="M514" i="4"/>
  <c r="C515" i="4"/>
  <c r="E515" i="4"/>
  <c r="G515" i="4"/>
  <c r="M515" i="4"/>
  <c r="C516" i="4"/>
  <c r="E516" i="4"/>
  <c r="G516" i="4"/>
  <c r="M516" i="4"/>
  <c r="C517" i="4"/>
  <c r="E517" i="4"/>
  <c r="G517" i="4"/>
  <c r="M517" i="4"/>
  <c r="C518" i="4"/>
  <c r="E518" i="4"/>
  <c r="G518" i="4"/>
  <c r="M518" i="4"/>
  <c r="C519" i="4"/>
  <c r="E519" i="4"/>
  <c r="G519" i="4"/>
  <c r="M519" i="4"/>
  <c r="C520" i="4"/>
  <c r="E520" i="4"/>
  <c r="G520" i="4"/>
  <c r="M520" i="4"/>
  <c r="C521" i="4"/>
  <c r="E521" i="4"/>
  <c r="G521" i="4"/>
  <c r="M521" i="4"/>
  <c r="C522" i="4"/>
  <c r="E522" i="4"/>
  <c r="G522" i="4"/>
  <c r="M522" i="4"/>
  <c r="C523" i="4"/>
  <c r="E523" i="4"/>
  <c r="G523" i="4"/>
  <c r="M523" i="4"/>
  <c r="C524" i="4"/>
  <c r="E524" i="4"/>
  <c r="G524" i="4"/>
  <c r="M524" i="4"/>
  <c r="C525" i="4"/>
  <c r="E525" i="4"/>
  <c r="G525" i="4"/>
  <c r="M525" i="4"/>
  <c r="C526" i="4"/>
  <c r="E526" i="4"/>
  <c r="G526" i="4"/>
  <c r="M526" i="4"/>
  <c r="C527" i="4"/>
  <c r="E527" i="4"/>
  <c r="G527" i="4"/>
  <c r="M527" i="4"/>
  <c r="C528" i="4"/>
  <c r="E528" i="4"/>
  <c r="G528" i="4"/>
  <c r="M528" i="4"/>
  <c r="C529" i="4"/>
  <c r="E529" i="4"/>
  <c r="G529" i="4"/>
  <c r="M529" i="4"/>
  <c r="C530" i="4"/>
  <c r="E530" i="4"/>
  <c r="G530" i="4"/>
  <c r="M530" i="4"/>
  <c r="C531" i="4"/>
  <c r="E531" i="4"/>
  <c r="G531" i="4"/>
  <c r="M531" i="4"/>
  <c r="C532" i="4"/>
  <c r="E532" i="4"/>
  <c r="G532" i="4"/>
  <c r="M532" i="4"/>
  <c r="C533" i="4"/>
  <c r="E533" i="4"/>
  <c r="G533" i="4"/>
  <c r="M533" i="4"/>
  <c r="C534" i="4"/>
  <c r="E534" i="4"/>
  <c r="G534" i="4"/>
  <c r="M534" i="4"/>
  <c r="C535" i="4"/>
  <c r="E535" i="4"/>
  <c r="G535" i="4"/>
  <c r="M535" i="4"/>
  <c r="C536" i="4"/>
  <c r="E536" i="4"/>
  <c r="G536" i="4"/>
  <c r="M536" i="4"/>
  <c r="C537" i="4"/>
  <c r="E537" i="4"/>
  <c r="G537" i="4"/>
  <c r="M537" i="4"/>
  <c r="C538" i="4"/>
  <c r="E538" i="4"/>
  <c r="G538" i="4"/>
  <c r="M538" i="4"/>
  <c r="C539" i="4"/>
  <c r="E539" i="4"/>
  <c r="G539" i="4"/>
  <c r="M539" i="4"/>
  <c r="C540" i="4"/>
  <c r="E540" i="4"/>
  <c r="G540" i="4"/>
  <c r="M540" i="4"/>
  <c r="C541" i="4"/>
  <c r="E541" i="4"/>
  <c r="G541" i="4"/>
  <c r="M541" i="4"/>
  <c r="C542" i="4"/>
  <c r="E542" i="4"/>
  <c r="G542" i="4"/>
  <c r="M542" i="4"/>
  <c r="C543" i="4"/>
  <c r="E543" i="4"/>
  <c r="G543" i="4"/>
  <c r="M543" i="4"/>
  <c r="C544" i="4"/>
  <c r="E544" i="4"/>
  <c r="G544" i="4"/>
  <c r="M544" i="4"/>
  <c r="C545" i="4"/>
  <c r="E545" i="4"/>
  <c r="G545" i="4"/>
  <c r="M545" i="4"/>
  <c r="C546" i="4"/>
  <c r="E546" i="4"/>
  <c r="G546" i="4"/>
  <c r="M546" i="4"/>
  <c r="C547" i="4"/>
  <c r="E547" i="4"/>
  <c r="G547" i="4"/>
  <c r="M547" i="4"/>
  <c r="C548" i="4"/>
  <c r="E548" i="4"/>
  <c r="G548" i="4"/>
  <c r="M548" i="4"/>
  <c r="C549" i="4"/>
  <c r="E549" i="4"/>
  <c r="G549" i="4"/>
  <c r="M549" i="4"/>
  <c r="C550" i="4"/>
  <c r="E550" i="4"/>
  <c r="G550" i="4"/>
  <c r="M550" i="4"/>
  <c r="C551" i="4"/>
  <c r="E551" i="4"/>
  <c r="G551" i="4"/>
  <c r="M551" i="4"/>
  <c r="C552" i="4"/>
  <c r="E552" i="4"/>
  <c r="G552" i="4"/>
  <c r="M552" i="4"/>
  <c r="C553" i="4"/>
  <c r="E553" i="4"/>
  <c r="G553" i="4"/>
  <c r="M553" i="4"/>
  <c r="C554" i="4"/>
  <c r="E554" i="4"/>
  <c r="G554" i="4"/>
  <c r="M554" i="4"/>
  <c r="C555" i="4"/>
  <c r="E555" i="4"/>
  <c r="G555" i="4"/>
  <c r="M555" i="4"/>
  <c r="C556" i="4"/>
  <c r="E556" i="4"/>
  <c r="G556" i="4"/>
  <c r="M556" i="4"/>
  <c r="C557" i="4"/>
  <c r="E557" i="4"/>
  <c r="G557" i="4"/>
  <c r="M557" i="4"/>
  <c r="C558" i="4"/>
  <c r="E558" i="4"/>
  <c r="G558" i="4"/>
  <c r="M558" i="4"/>
  <c r="C559" i="4"/>
  <c r="E559" i="4"/>
  <c r="G559" i="4"/>
  <c r="M559" i="4"/>
  <c r="C560" i="4"/>
  <c r="E560" i="4"/>
  <c r="G560" i="4"/>
  <c r="M560" i="4"/>
  <c r="C561" i="4"/>
  <c r="E561" i="4"/>
  <c r="G561" i="4"/>
  <c r="M561" i="4"/>
  <c r="C562" i="4"/>
  <c r="E562" i="4"/>
  <c r="G562" i="4"/>
  <c r="M562" i="4"/>
  <c r="C563" i="4"/>
  <c r="E563" i="4"/>
  <c r="G563" i="4"/>
  <c r="M563" i="4"/>
  <c r="C564" i="4"/>
  <c r="E564" i="4"/>
  <c r="G564" i="4"/>
  <c r="M564" i="4"/>
  <c r="C565" i="4"/>
  <c r="E565" i="4"/>
  <c r="G565" i="4"/>
  <c r="M565" i="4"/>
  <c r="C566" i="4"/>
  <c r="E566" i="4"/>
  <c r="G566" i="4"/>
  <c r="M566" i="4"/>
  <c r="C567" i="4"/>
  <c r="E567" i="4"/>
  <c r="G567" i="4"/>
  <c r="M567" i="4"/>
  <c r="C568" i="4"/>
  <c r="E568" i="4"/>
  <c r="G568" i="4"/>
  <c r="M568" i="4"/>
  <c r="C569" i="4"/>
  <c r="E569" i="4"/>
  <c r="G569" i="4"/>
  <c r="M569" i="4"/>
  <c r="C570" i="4"/>
  <c r="E570" i="4"/>
  <c r="G570" i="4"/>
  <c r="M570" i="4"/>
  <c r="C571" i="4"/>
  <c r="E571" i="4"/>
  <c r="G571" i="4"/>
  <c r="M571" i="4"/>
  <c r="C572" i="4"/>
  <c r="E572" i="4"/>
  <c r="G572" i="4"/>
  <c r="M572" i="4"/>
  <c r="C573" i="4"/>
  <c r="E573" i="4"/>
  <c r="G573" i="4"/>
  <c r="M573" i="4"/>
  <c r="C574" i="4"/>
  <c r="E574" i="4"/>
  <c r="G574" i="4"/>
  <c r="M574" i="4"/>
  <c r="C575" i="4"/>
  <c r="E575" i="4"/>
  <c r="G575" i="4"/>
  <c r="M575" i="4"/>
  <c r="C576" i="4"/>
  <c r="E576" i="4"/>
  <c r="G576" i="4"/>
  <c r="M576" i="4"/>
  <c r="C577" i="4"/>
  <c r="E577" i="4"/>
  <c r="G577" i="4"/>
  <c r="M577" i="4"/>
  <c r="C578" i="4"/>
  <c r="E578" i="4"/>
  <c r="G578" i="4"/>
  <c r="M578" i="4"/>
  <c r="C579" i="4"/>
  <c r="E579" i="4"/>
  <c r="G579" i="4"/>
  <c r="M579" i="4"/>
  <c r="C580" i="4"/>
  <c r="E580" i="4"/>
  <c r="G580" i="4"/>
  <c r="M580" i="4"/>
  <c r="C581" i="4"/>
  <c r="E581" i="4"/>
  <c r="G581" i="4"/>
  <c r="M581" i="4"/>
  <c r="C582" i="4"/>
  <c r="E582" i="4"/>
  <c r="G582" i="4"/>
  <c r="M582" i="4"/>
  <c r="C583" i="4"/>
  <c r="E583" i="4"/>
  <c r="G583" i="4"/>
  <c r="M583" i="4"/>
  <c r="C584" i="4"/>
  <c r="E584" i="4"/>
  <c r="G584" i="4"/>
  <c r="M584" i="4"/>
  <c r="C585" i="4"/>
  <c r="E585" i="4"/>
  <c r="G585" i="4"/>
  <c r="M585" i="4"/>
  <c r="C586" i="4"/>
  <c r="E586" i="4"/>
  <c r="G586" i="4"/>
  <c r="M586" i="4"/>
  <c r="C587" i="4"/>
  <c r="E587" i="4"/>
  <c r="G587" i="4"/>
  <c r="M587" i="4"/>
  <c r="C588" i="4"/>
  <c r="E588" i="4"/>
  <c r="G588" i="4"/>
  <c r="M588" i="4"/>
  <c r="C589" i="4"/>
  <c r="E589" i="4"/>
  <c r="G589" i="4"/>
  <c r="M589" i="4"/>
  <c r="C590" i="4"/>
  <c r="E590" i="4"/>
  <c r="G590" i="4"/>
  <c r="M590" i="4"/>
  <c r="C591" i="4"/>
  <c r="E591" i="4"/>
  <c r="G591" i="4"/>
  <c r="M591" i="4"/>
  <c r="C592" i="4"/>
  <c r="E592" i="4"/>
  <c r="G592" i="4"/>
  <c r="M592" i="4"/>
  <c r="C593" i="4"/>
  <c r="E593" i="4"/>
  <c r="G593" i="4"/>
  <c r="M593" i="4"/>
  <c r="C594" i="4"/>
  <c r="E594" i="4"/>
  <c r="G594" i="4"/>
  <c r="M594" i="4"/>
  <c r="C595" i="4"/>
  <c r="E595" i="4"/>
  <c r="G595" i="4"/>
  <c r="M595" i="4"/>
  <c r="C596" i="4"/>
  <c r="E596" i="4"/>
  <c r="G596" i="4"/>
  <c r="M596" i="4"/>
  <c r="C597" i="4"/>
  <c r="E597" i="4"/>
  <c r="G597" i="4"/>
  <c r="M597" i="4"/>
  <c r="C598" i="4"/>
  <c r="E598" i="4"/>
  <c r="G598" i="4"/>
  <c r="M598" i="4"/>
  <c r="C599" i="4"/>
  <c r="E599" i="4"/>
  <c r="G599" i="4"/>
  <c r="M599" i="4"/>
  <c r="C600" i="4"/>
  <c r="E600" i="4"/>
  <c r="G600" i="4"/>
  <c r="M600" i="4"/>
  <c r="C601" i="4"/>
  <c r="E601" i="4"/>
  <c r="G601" i="4"/>
  <c r="M601" i="4"/>
  <c r="C602" i="4"/>
  <c r="E602" i="4"/>
  <c r="G602" i="4"/>
  <c r="M602" i="4"/>
  <c r="C603" i="4"/>
  <c r="E603" i="4"/>
  <c r="G603" i="4"/>
  <c r="M603" i="4"/>
  <c r="C604" i="4"/>
  <c r="E604" i="4"/>
  <c r="G604" i="4"/>
  <c r="M604" i="4"/>
  <c r="C605" i="4"/>
  <c r="E605" i="4"/>
  <c r="G605" i="4"/>
  <c r="M605" i="4"/>
  <c r="C606" i="4"/>
  <c r="E606" i="4"/>
  <c r="G606" i="4"/>
  <c r="M606" i="4"/>
  <c r="C607" i="4"/>
  <c r="E607" i="4"/>
  <c r="G607" i="4"/>
  <c r="M607" i="4"/>
  <c r="C608" i="4"/>
  <c r="E608" i="4"/>
  <c r="G608" i="4"/>
  <c r="M608" i="4"/>
  <c r="C609" i="4"/>
  <c r="E609" i="4"/>
  <c r="G609" i="4"/>
  <c r="M609" i="4"/>
  <c r="C610" i="4"/>
  <c r="E610" i="4"/>
  <c r="G610" i="4"/>
  <c r="M610" i="4"/>
  <c r="C611" i="4"/>
  <c r="E611" i="4"/>
  <c r="G611" i="4"/>
  <c r="M611" i="4"/>
  <c r="C612" i="4"/>
  <c r="E612" i="4"/>
  <c r="G612" i="4"/>
  <c r="M612" i="4"/>
  <c r="C613" i="4"/>
  <c r="E613" i="4"/>
  <c r="G613" i="4"/>
  <c r="M613" i="4"/>
  <c r="C614" i="4"/>
  <c r="E614" i="4"/>
  <c r="G614" i="4"/>
  <c r="M614" i="4"/>
  <c r="C615" i="4"/>
  <c r="E615" i="4"/>
  <c r="G615" i="4"/>
  <c r="M615" i="4"/>
  <c r="C616" i="4"/>
  <c r="E616" i="4"/>
  <c r="G616" i="4"/>
  <c r="M616" i="4"/>
  <c r="C617" i="4"/>
  <c r="E617" i="4"/>
  <c r="G617" i="4"/>
  <c r="M617" i="4"/>
  <c r="C618" i="4"/>
  <c r="E618" i="4"/>
  <c r="G618" i="4"/>
  <c r="M618" i="4"/>
  <c r="C619" i="4"/>
  <c r="E619" i="4"/>
  <c r="G619" i="4"/>
  <c r="M619" i="4"/>
  <c r="C620" i="4"/>
  <c r="E620" i="4"/>
  <c r="G620" i="4"/>
  <c r="M620" i="4"/>
  <c r="C621" i="4"/>
  <c r="E621" i="4"/>
  <c r="G621" i="4"/>
  <c r="M621" i="4"/>
  <c r="C622" i="4"/>
  <c r="E622" i="4"/>
  <c r="G622" i="4"/>
  <c r="M622" i="4"/>
  <c r="C623" i="4"/>
  <c r="E623" i="4"/>
  <c r="G623" i="4"/>
  <c r="M623" i="4"/>
  <c r="C624" i="4"/>
  <c r="E624" i="4"/>
  <c r="G624" i="4"/>
  <c r="M624" i="4"/>
  <c r="C625" i="4"/>
  <c r="E625" i="4"/>
  <c r="G625" i="4"/>
  <c r="M625" i="4"/>
  <c r="C626" i="4"/>
  <c r="E626" i="4"/>
  <c r="G626" i="4"/>
  <c r="M626" i="4"/>
  <c r="C627" i="4"/>
  <c r="E627" i="4"/>
  <c r="G627" i="4"/>
  <c r="M627" i="4"/>
  <c r="C628" i="4"/>
  <c r="E628" i="4"/>
  <c r="G628" i="4"/>
  <c r="M628" i="4"/>
  <c r="C629" i="4"/>
  <c r="E629" i="4"/>
  <c r="G629" i="4"/>
  <c r="M629" i="4"/>
  <c r="C630" i="4"/>
  <c r="E630" i="4"/>
  <c r="G630" i="4"/>
  <c r="M630" i="4"/>
  <c r="C631" i="4"/>
  <c r="E631" i="4"/>
  <c r="G631" i="4"/>
  <c r="M631" i="4"/>
  <c r="C632" i="4"/>
  <c r="E632" i="4"/>
  <c r="G632" i="4"/>
  <c r="M632" i="4"/>
  <c r="C633" i="4"/>
  <c r="E633" i="4"/>
  <c r="G633" i="4"/>
  <c r="M633" i="4"/>
  <c r="C634" i="4"/>
  <c r="E634" i="4"/>
  <c r="G634" i="4"/>
  <c r="M634" i="4"/>
  <c r="C635" i="4"/>
  <c r="E635" i="4"/>
  <c r="G635" i="4"/>
  <c r="M635" i="4"/>
  <c r="C636" i="4"/>
  <c r="E636" i="4"/>
  <c r="G636" i="4"/>
  <c r="M636" i="4"/>
  <c r="C637" i="4"/>
  <c r="E637" i="4"/>
  <c r="G637" i="4"/>
  <c r="M637" i="4"/>
  <c r="C638" i="4"/>
  <c r="E638" i="4"/>
  <c r="G638" i="4"/>
  <c r="M638" i="4"/>
  <c r="C639" i="4"/>
  <c r="E639" i="4"/>
  <c r="G639" i="4"/>
  <c r="M639" i="4"/>
  <c r="C640" i="4"/>
  <c r="E640" i="4"/>
  <c r="G640" i="4"/>
  <c r="M640" i="4"/>
  <c r="C641" i="4"/>
  <c r="E641" i="4"/>
  <c r="G641" i="4"/>
  <c r="M641" i="4"/>
  <c r="C642" i="4"/>
  <c r="E642" i="4"/>
  <c r="G642" i="4"/>
  <c r="M642" i="4"/>
  <c r="C643" i="4"/>
  <c r="E643" i="4"/>
  <c r="G643" i="4"/>
  <c r="M643" i="4"/>
  <c r="C644" i="4"/>
  <c r="E644" i="4"/>
  <c r="G644" i="4"/>
  <c r="M644" i="4"/>
  <c r="C645" i="4"/>
  <c r="E645" i="4"/>
  <c r="G645" i="4"/>
  <c r="M645" i="4"/>
  <c r="C646" i="4"/>
  <c r="E646" i="4"/>
  <c r="G646" i="4"/>
  <c r="M646" i="4"/>
  <c r="C647" i="4"/>
  <c r="E647" i="4"/>
  <c r="G647" i="4"/>
  <c r="M647" i="4"/>
  <c r="C648" i="4"/>
  <c r="E648" i="4"/>
  <c r="G648" i="4"/>
  <c r="M648" i="4"/>
  <c r="C649" i="4"/>
  <c r="E649" i="4"/>
  <c r="G649" i="4"/>
  <c r="M649" i="4"/>
  <c r="C650" i="4"/>
  <c r="E650" i="4"/>
  <c r="G650" i="4"/>
  <c r="M650" i="4"/>
  <c r="C651" i="4"/>
  <c r="E651" i="4"/>
  <c r="G651" i="4"/>
  <c r="M651" i="4"/>
  <c r="C652" i="4"/>
  <c r="E652" i="4"/>
  <c r="G652" i="4"/>
  <c r="M652" i="4"/>
  <c r="C653" i="4"/>
  <c r="E653" i="4"/>
  <c r="G653" i="4"/>
  <c r="M653" i="4"/>
  <c r="C654" i="4"/>
  <c r="E654" i="4"/>
  <c r="G654" i="4"/>
  <c r="M654" i="4"/>
  <c r="C655" i="4"/>
  <c r="E655" i="4"/>
  <c r="G655" i="4"/>
  <c r="M655" i="4"/>
  <c r="C656" i="4"/>
  <c r="E656" i="4"/>
  <c r="G656" i="4"/>
  <c r="M656" i="4"/>
  <c r="C657" i="4"/>
  <c r="E657" i="4"/>
  <c r="G657" i="4"/>
  <c r="M657" i="4"/>
  <c r="C658" i="4"/>
  <c r="E658" i="4"/>
  <c r="G658" i="4"/>
  <c r="M658" i="4"/>
  <c r="C659" i="4"/>
  <c r="E659" i="4"/>
  <c r="G659" i="4"/>
  <c r="M659" i="4"/>
  <c r="C660" i="4"/>
  <c r="E660" i="4"/>
  <c r="G660" i="4"/>
  <c r="M660" i="4"/>
  <c r="C661" i="4"/>
  <c r="E661" i="4"/>
  <c r="G661" i="4"/>
  <c r="M661" i="4"/>
  <c r="C662" i="4"/>
  <c r="E662" i="4"/>
  <c r="G662" i="4"/>
  <c r="M662" i="4"/>
  <c r="C663" i="4"/>
  <c r="E663" i="4"/>
  <c r="G663" i="4"/>
  <c r="M663" i="4"/>
  <c r="C664" i="4"/>
  <c r="E664" i="4"/>
  <c r="G664" i="4"/>
  <c r="M664" i="4"/>
  <c r="C665" i="4"/>
  <c r="E665" i="4"/>
  <c r="G665" i="4"/>
  <c r="M665" i="4"/>
  <c r="C666" i="4"/>
  <c r="E666" i="4"/>
  <c r="G666" i="4"/>
  <c r="M666" i="4"/>
  <c r="C667" i="4"/>
  <c r="E667" i="4"/>
  <c r="G667" i="4"/>
  <c r="M667" i="4"/>
  <c r="C668" i="4"/>
  <c r="E668" i="4"/>
  <c r="G668" i="4"/>
  <c r="M668" i="4"/>
  <c r="C669" i="4"/>
  <c r="E669" i="4"/>
  <c r="G669" i="4"/>
  <c r="M669" i="4"/>
  <c r="C670" i="4"/>
  <c r="E670" i="4"/>
  <c r="G670" i="4"/>
  <c r="M670" i="4"/>
  <c r="C671" i="4"/>
  <c r="E671" i="4"/>
  <c r="G671" i="4"/>
  <c r="M671" i="4"/>
  <c r="C672" i="4"/>
  <c r="E672" i="4"/>
  <c r="G672" i="4"/>
  <c r="M672" i="4"/>
  <c r="C673" i="4"/>
  <c r="E673" i="4"/>
  <c r="G673" i="4"/>
  <c r="M673" i="4"/>
  <c r="C674" i="4"/>
  <c r="E674" i="4"/>
  <c r="G674" i="4"/>
  <c r="M674" i="4"/>
  <c r="C675" i="4"/>
  <c r="E675" i="4"/>
  <c r="G675" i="4"/>
  <c r="M675" i="4"/>
  <c r="C676" i="4"/>
  <c r="E676" i="4"/>
  <c r="G676" i="4"/>
  <c r="M676" i="4"/>
  <c r="C677" i="4"/>
  <c r="E677" i="4"/>
  <c r="G677" i="4"/>
  <c r="M677" i="4"/>
  <c r="C678" i="4"/>
  <c r="E678" i="4"/>
  <c r="G678" i="4"/>
  <c r="M678" i="4"/>
  <c r="C679" i="4"/>
  <c r="E679" i="4"/>
  <c r="G679" i="4"/>
  <c r="M679" i="4"/>
  <c r="C680" i="4"/>
  <c r="E680" i="4"/>
  <c r="G680" i="4"/>
  <c r="M680" i="4"/>
  <c r="C681" i="4"/>
  <c r="E681" i="4"/>
  <c r="G681" i="4"/>
  <c r="M681" i="4"/>
  <c r="C682" i="4"/>
  <c r="E682" i="4"/>
  <c r="G682" i="4"/>
  <c r="M682" i="4"/>
  <c r="C683" i="4"/>
  <c r="E683" i="4"/>
  <c r="G683" i="4"/>
  <c r="M683" i="4"/>
  <c r="C684" i="4"/>
  <c r="E684" i="4"/>
  <c r="G684" i="4"/>
  <c r="M684" i="4"/>
  <c r="C685" i="4"/>
  <c r="E685" i="4"/>
  <c r="G685" i="4"/>
  <c r="M685" i="4"/>
  <c r="C686" i="4"/>
  <c r="E686" i="4"/>
  <c r="G686" i="4"/>
  <c r="M686" i="4"/>
  <c r="C687" i="4"/>
  <c r="E687" i="4"/>
  <c r="G687" i="4"/>
  <c r="M687" i="4"/>
  <c r="C688" i="4"/>
  <c r="E688" i="4"/>
  <c r="G688" i="4"/>
  <c r="M688" i="4"/>
  <c r="C689" i="4"/>
  <c r="E689" i="4"/>
  <c r="G689" i="4"/>
  <c r="M689" i="4"/>
  <c r="C690" i="4"/>
  <c r="E690" i="4"/>
  <c r="G690" i="4"/>
  <c r="M690" i="4"/>
  <c r="C691" i="4"/>
  <c r="E691" i="4"/>
  <c r="G691" i="4"/>
  <c r="M691" i="4"/>
  <c r="C692" i="4"/>
  <c r="E692" i="4"/>
  <c r="G692" i="4"/>
  <c r="M692" i="4"/>
  <c r="C693" i="4"/>
  <c r="E693" i="4"/>
  <c r="G693" i="4"/>
  <c r="M693" i="4"/>
  <c r="C694" i="4"/>
  <c r="E694" i="4"/>
  <c r="G694" i="4"/>
  <c r="M694" i="4"/>
  <c r="C695" i="4"/>
  <c r="E695" i="4"/>
  <c r="G695" i="4"/>
  <c r="M695" i="4"/>
  <c r="C696" i="4"/>
  <c r="E696" i="4"/>
  <c r="G696" i="4"/>
  <c r="M696" i="4"/>
  <c r="C697" i="4"/>
  <c r="E697" i="4"/>
  <c r="G697" i="4"/>
  <c r="M697" i="4"/>
  <c r="C698" i="4"/>
  <c r="E698" i="4"/>
  <c r="G698" i="4"/>
  <c r="M698" i="4"/>
  <c r="C699" i="4"/>
  <c r="E699" i="4"/>
  <c r="G699" i="4"/>
  <c r="M699" i="4"/>
  <c r="C700" i="4"/>
  <c r="E700" i="4"/>
  <c r="G700" i="4"/>
  <c r="M700" i="4"/>
  <c r="C701" i="4"/>
  <c r="E701" i="4"/>
  <c r="G701" i="4"/>
  <c r="M701" i="4"/>
  <c r="C702" i="4"/>
  <c r="E702" i="4"/>
  <c r="G702" i="4"/>
  <c r="M702" i="4"/>
  <c r="C703" i="4"/>
  <c r="E703" i="4"/>
  <c r="G703" i="4"/>
  <c r="M703" i="4"/>
  <c r="C704" i="4"/>
  <c r="E704" i="4"/>
  <c r="G704" i="4"/>
  <c r="M704" i="4"/>
  <c r="C705" i="4"/>
  <c r="E705" i="4"/>
  <c r="G705" i="4"/>
  <c r="M705" i="4"/>
  <c r="C706" i="4"/>
  <c r="E706" i="4"/>
  <c r="G706" i="4"/>
  <c r="M706" i="4"/>
  <c r="C707" i="4"/>
  <c r="E707" i="4"/>
  <c r="G707" i="4"/>
  <c r="M707" i="4"/>
  <c r="C708" i="4"/>
  <c r="E708" i="4"/>
  <c r="G708" i="4"/>
  <c r="M708" i="4"/>
  <c r="C709" i="4"/>
  <c r="E709" i="4"/>
  <c r="G709" i="4"/>
  <c r="M709" i="4"/>
  <c r="C710" i="4"/>
  <c r="E710" i="4"/>
  <c r="G710" i="4"/>
  <c r="M710" i="4"/>
  <c r="C711" i="4"/>
  <c r="E711" i="4"/>
  <c r="G711" i="4"/>
  <c r="M711" i="4"/>
  <c r="C712" i="4"/>
  <c r="E712" i="4"/>
  <c r="G712" i="4"/>
  <c r="M712" i="4"/>
  <c r="C713" i="4"/>
  <c r="E713" i="4"/>
  <c r="G713" i="4"/>
  <c r="M713" i="4"/>
  <c r="C714" i="4"/>
  <c r="E714" i="4"/>
  <c r="G714" i="4"/>
  <c r="M714" i="4"/>
  <c r="C715" i="4"/>
  <c r="E715" i="4"/>
  <c r="G715" i="4"/>
  <c r="M715" i="4"/>
  <c r="C716" i="4"/>
  <c r="E716" i="4"/>
  <c r="G716" i="4"/>
  <c r="M716" i="4"/>
  <c r="C717" i="4"/>
  <c r="E717" i="4"/>
  <c r="G717" i="4"/>
  <c r="M717" i="4"/>
  <c r="C718" i="4"/>
  <c r="E718" i="4"/>
  <c r="G718" i="4"/>
  <c r="M718" i="4"/>
  <c r="C719" i="4"/>
  <c r="E719" i="4"/>
  <c r="G719" i="4"/>
  <c r="M719" i="4"/>
  <c r="C720" i="4"/>
  <c r="E720" i="4"/>
  <c r="G720" i="4"/>
  <c r="M720" i="4"/>
  <c r="C721" i="4"/>
  <c r="E721" i="4"/>
  <c r="G721" i="4"/>
  <c r="M721" i="4"/>
  <c r="C722" i="4"/>
  <c r="E722" i="4"/>
  <c r="G722" i="4"/>
  <c r="M722" i="4"/>
  <c r="C723" i="4"/>
  <c r="E723" i="4"/>
  <c r="G723" i="4"/>
  <c r="M723" i="4"/>
  <c r="C724" i="4"/>
  <c r="E724" i="4"/>
  <c r="G724" i="4"/>
  <c r="M724" i="4"/>
  <c r="C725" i="4"/>
  <c r="E725" i="4"/>
  <c r="G725" i="4"/>
  <c r="M725" i="4"/>
  <c r="C726" i="4"/>
  <c r="E726" i="4"/>
  <c r="G726" i="4"/>
  <c r="M726" i="4"/>
  <c r="C727" i="4"/>
  <c r="E727" i="4"/>
  <c r="G727" i="4"/>
  <c r="M727" i="4"/>
  <c r="C728" i="4"/>
  <c r="E728" i="4"/>
  <c r="G728" i="4"/>
  <c r="M728" i="4"/>
  <c r="C729" i="4"/>
  <c r="E729" i="4"/>
  <c r="G729" i="4"/>
  <c r="M729" i="4"/>
  <c r="C730" i="4"/>
  <c r="E730" i="4"/>
  <c r="G730" i="4"/>
  <c r="M730" i="4"/>
  <c r="C731" i="4"/>
  <c r="E731" i="4"/>
  <c r="G731" i="4"/>
  <c r="M731" i="4"/>
  <c r="C732" i="4"/>
  <c r="E732" i="4"/>
  <c r="G732" i="4"/>
  <c r="M732" i="4"/>
  <c r="C733" i="4"/>
  <c r="E733" i="4"/>
  <c r="G733" i="4"/>
  <c r="M733" i="4"/>
  <c r="C734" i="4"/>
  <c r="E734" i="4"/>
  <c r="G734" i="4"/>
  <c r="M734" i="4"/>
  <c r="C735" i="4"/>
  <c r="E735" i="4"/>
  <c r="G735" i="4"/>
  <c r="M735" i="4"/>
  <c r="C736" i="4"/>
  <c r="E736" i="4"/>
  <c r="G736" i="4"/>
  <c r="M736" i="4"/>
  <c r="C737" i="4"/>
  <c r="E737" i="4"/>
  <c r="G737" i="4"/>
  <c r="M737" i="4"/>
  <c r="C738" i="4"/>
  <c r="E738" i="4"/>
  <c r="G738" i="4"/>
  <c r="M738" i="4"/>
  <c r="C739" i="4"/>
  <c r="E739" i="4"/>
  <c r="G739" i="4"/>
  <c r="M739" i="4"/>
  <c r="C740" i="4"/>
  <c r="E740" i="4"/>
  <c r="G740" i="4"/>
  <c r="M740" i="4"/>
  <c r="C741" i="4"/>
  <c r="E741" i="4"/>
  <c r="G741" i="4"/>
  <c r="M741" i="4"/>
  <c r="C742" i="4"/>
  <c r="E742" i="4"/>
  <c r="G742" i="4"/>
  <c r="M742" i="4"/>
  <c r="C743" i="4"/>
  <c r="E743" i="4"/>
  <c r="G743" i="4"/>
  <c r="M743" i="4"/>
  <c r="C744" i="4"/>
  <c r="E744" i="4"/>
  <c r="G744" i="4"/>
  <c r="M744" i="4"/>
  <c r="C745" i="4"/>
  <c r="E745" i="4"/>
  <c r="G745" i="4"/>
  <c r="M745" i="4"/>
  <c r="C746" i="4"/>
  <c r="E746" i="4"/>
  <c r="G746" i="4"/>
  <c r="M746" i="4"/>
  <c r="C747" i="4"/>
  <c r="E747" i="4"/>
  <c r="G747" i="4"/>
  <c r="M747" i="4"/>
  <c r="C748" i="4"/>
  <c r="E748" i="4"/>
  <c r="G748" i="4"/>
  <c r="M748" i="4"/>
  <c r="C749" i="4"/>
  <c r="E749" i="4"/>
  <c r="G749" i="4"/>
  <c r="M749" i="4"/>
  <c r="C750" i="4"/>
  <c r="E750" i="4"/>
  <c r="G750" i="4"/>
  <c r="M750" i="4"/>
  <c r="C751" i="4"/>
  <c r="E751" i="4"/>
  <c r="G751" i="4"/>
  <c r="M751" i="4"/>
  <c r="C752" i="4"/>
  <c r="E752" i="4"/>
  <c r="G752" i="4"/>
  <c r="M752" i="4"/>
  <c r="C753" i="4"/>
  <c r="E753" i="4"/>
  <c r="G753" i="4"/>
  <c r="M753" i="4"/>
  <c r="C754" i="4"/>
  <c r="E754" i="4"/>
  <c r="G754" i="4"/>
  <c r="M754" i="4"/>
  <c r="C755" i="4"/>
  <c r="E755" i="4"/>
  <c r="G755" i="4"/>
  <c r="M755" i="4"/>
  <c r="C756" i="4"/>
  <c r="E756" i="4"/>
  <c r="G756" i="4"/>
  <c r="M756" i="4"/>
  <c r="C757" i="4"/>
  <c r="E757" i="4"/>
  <c r="G757" i="4"/>
  <c r="M757" i="4"/>
  <c r="C758" i="4"/>
  <c r="E758" i="4"/>
  <c r="G758" i="4"/>
  <c r="M758" i="4"/>
  <c r="C759" i="4"/>
  <c r="E759" i="4"/>
  <c r="G759" i="4"/>
  <c r="M759" i="4"/>
  <c r="C760" i="4"/>
  <c r="E760" i="4"/>
  <c r="G760" i="4"/>
  <c r="M760" i="4"/>
  <c r="C761" i="4"/>
  <c r="E761" i="4"/>
  <c r="G761" i="4"/>
  <c r="M761" i="4"/>
  <c r="C762" i="4"/>
  <c r="E762" i="4"/>
  <c r="G762" i="4"/>
  <c r="M762" i="4"/>
  <c r="C763" i="4"/>
  <c r="E763" i="4"/>
  <c r="G763" i="4"/>
  <c r="M763" i="4"/>
  <c r="C764" i="4"/>
  <c r="E764" i="4"/>
  <c r="G764" i="4"/>
  <c r="M764" i="4"/>
  <c r="C765" i="4"/>
  <c r="E765" i="4"/>
  <c r="G765" i="4"/>
  <c r="M765" i="4"/>
  <c r="C766" i="4"/>
  <c r="E766" i="4"/>
  <c r="G766" i="4"/>
  <c r="M766" i="4"/>
  <c r="C767" i="4"/>
  <c r="E767" i="4"/>
  <c r="G767" i="4"/>
  <c r="M767" i="4"/>
  <c r="C768" i="4"/>
  <c r="E768" i="4"/>
  <c r="G768" i="4"/>
  <c r="M768" i="4"/>
  <c r="C769" i="4"/>
  <c r="E769" i="4"/>
  <c r="G769" i="4"/>
  <c r="M769" i="4"/>
  <c r="C770" i="4"/>
  <c r="E770" i="4"/>
  <c r="G770" i="4"/>
  <c r="M770" i="4"/>
  <c r="C771" i="4"/>
  <c r="E771" i="4"/>
  <c r="G771" i="4"/>
  <c r="M771" i="4"/>
  <c r="C772" i="4"/>
  <c r="E772" i="4"/>
  <c r="G772" i="4"/>
  <c r="M772" i="4"/>
  <c r="C773" i="4"/>
  <c r="E773" i="4"/>
  <c r="G773" i="4"/>
  <c r="M773" i="4"/>
  <c r="C774" i="4"/>
  <c r="E774" i="4"/>
  <c r="G774" i="4"/>
  <c r="M774" i="4"/>
  <c r="C775" i="4"/>
  <c r="E775" i="4"/>
  <c r="G775" i="4"/>
  <c r="M775" i="4"/>
  <c r="C776" i="4"/>
  <c r="E776" i="4"/>
  <c r="G776" i="4"/>
  <c r="M776" i="4"/>
  <c r="C777" i="4"/>
  <c r="E777" i="4"/>
  <c r="G777" i="4"/>
  <c r="M777" i="4"/>
  <c r="C778" i="4"/>
  <c r="E778" i="4"/>
  <c r="G778" i="4"/>
  <c r="M778" i="4"/>
  <c r="C779" i="4"/>
  <c r="E779" i="4"/>
  <c r="G779" i="4"/>
  <c r="M779" i="4"/>
  <c r="C780" i="4"/>
  <c r="E780" i="4"/>
  <c r="G780" i="4"/>
  <c r="M780" i="4"/>
  <c r="C781" i="4"/>
  <c r="E781" i="4"/>
  <c r="G781" i="4"/>
  <c r="M781" i="4"/>
  <c r="C782" i="4"/>
  <c r="E782" i="4"/>
  <c r="G782" i="4"/>
  <c r="M782" i="4"/>
  <c r="C783" i="4"/>
  <c r="E783" i="4"/>
  <c r="G783" i="4"/>
  <c r="M783" i="4"/>
  <c r="C784" i="4"/>
  <c r="E784" i="4"/>
  <c r="G784" i="4"/>
  <c r="M784" i="4"/>
  <c r="C785" i="4"/>
  <c r="E785" i="4"/>
  <c r="G785" i="4"/>
  <c r="M785" i="4"/>
  <c r="C786" i="4"/>
  <c r="E786" i="4"/>
  <c r="G786" i="4"/>
  <c r="M786" i="4"/>
  <c r="C787" i="4"/>
  <c r="E787" i="4"/>
  <c r="G787" i="4"/>
  <c r="M787" i="4"/>
  <c r="C788" i="4"/>
  <c r="E788" i="4"/>
  <c r="G788" i="4"/>
  <c r="M788" i="4"/>
  <c r="C789" i="4"/>
  <c r="E789" i="4"/>
  <c r="G789" i="4"/>
  <c r="M789" i="4"/>
  <c r="C790" i="4"/>
  <c r="E790" i="4"/>
  <c r="G790" i="4"/>
  <c r="M790" i="4"/>
  <c r="C791" i="4"/>
  <c r="E791" i="4"/>
  <c r="G791" i="4"/>
  <c r="M791" i="4"/>
  <c r="C792" i="4"/>
  <c r="E792" i="4"/>
  <c r="G792" i="4"/>
  <c r="M792" i="4"/>
  <c r="C793" i="4"/>
  <c r="E793" i="4"/>
  <c r="G793" i="4"/>
  <c r="M793" i="4"/>
  <c r="C794" i="4"/>
  <c r="E794" i="4"/>
  <c r="G794" i="4"/>
  <c r="M794" i="4"/>
  <c r="C795" i="4"/>
  <c r="E795" i="4"/>
  <c r="G795" i="4"/>
  <c r="M795" i="4"/>
  <c r="C796" i="4"/>
  <c r="E796" i="4"/>
  <c r="G796" i="4"/>
  <c r="M796" i="4"/>
  <c r="C797" i="4"/>
  <c r="E797" i="4"/>
  <c r="G797" i="4"/>
  <c r="M797" i="4"/>
  <c r="C798" i="4"/>
  <c r="E798" i="4"/>
  <c r="G798" i="4"/>
  <c r="M798" i="4"/>
  <c r="C799" i="4"/>
  <c r="E799" i="4"/>
  <c r="G799" i="4"/>
  <c r="M799" i="4"/>
  <c r="C800" i="4"/>
  <c r="E800" i="4"/>
  <c r="G800" i="4"/>
  <c r="M800" i="4"/>
  <c r="C801" i="4"/>
  <c r="E801" i="4"/>
  <c r="G801" i="4"/>
  <c r="M801" i="4"/>
  <c r="C802" i="4"/>
  <c r="E802" i="4"/>
  <c r="G802" i="4"/>
  <c r="M802" i="4"/>
  <c r="C803" i="4"/>
  <c r="E803" i="4"/>
  <c r="G803" i="4"/>
  <c r="M803" i="4"/>
  <c r="C804" i="4"/>
  <c r="E804" i="4"/>
  <c r="G804" i="4"/>
  <c r="M804" i="4"/>
  <c r="C805" i="4"/>
  <c r="E805" i="4"/>
  <c r="G805" i="4"/>
  <c r="M805" i="4"/>
  <c r="C806" i="4"/>
  <c r="E806" i="4"/>
  <c r="G806" i="4"/>
  <c r="M806" i="4"/>
  <c r="C807" i="4"/>
  <c r="E807" i="4"/>
  <c r="G807" i="4"/>
  <c r="M807" i="4"/>
  <c r="C808" i="4"/>
  <c r="E808" i="4"/>
  <c r="G808" i="4"/>
  <c r="M808" i="4"/>
  <c r="C809" i="4"/>
  <c r="E809" i="4"/>
  <c r="G809" i="4"/>
  <c r="M809" i="4"/>
  <c r="C810" i="4"/>
  <c r="E810" i="4"/>
  <c r="G810" i="4"/>
  <c r="M810" i="4"/>
  <c r="C811" i="4"/>
  <c r="E811" i="4"/>
  <c r="G811" i="4"/>
  <c r="M811" i="4"/>
  <c r="C812" i="4"/>
  <c r="E812" i="4"/>
  <c r="G812" i="4"/>
  <c r="M812" i="4"/>
  <c r="C813" i="4"/>
  <c r="E813" i="4"/>
  <c r="G813" i="4"/>
  <c r="M813" i="4"/>
  <c r="C814" i="4"/>
  <c r="E814" i="4"/>
  <c r="G814" i="4"/>
  <c r="M814" i="4"/>
  <c r="C815" i="4"/>
  <c r="E815" i="4"/>
  <c r="G815" i="4"/>
  <c r="M815" i="4"/>
  <c r="C816" i="4"/>
  <c r="E816" i="4"/>
  <c r="G816" i="4"/>
  <c r="M816" i="4"/>
  <c r="C817" i="4"/>
  <c r="E817" i="4"/>
  <c r="G817" i="4"/>
  <c r="M817" i="4"/>
  <c r="C818" i="4"/>
  <c r="E818" i="4"/>
  <c r="G818" i="4"/>
  <c r="M818" i="4"/>
  <c r="C819" i="4"/>
  <c r="E819" i="4"/>
  <c r="G819" i="4"/>
  <c r="M819" i="4"/>
  <c r="C820" i="4"/>
  <c r="E820" i="4"/>
  <c r="G820" i="4"/>
  <c r="M820" i="4"/>
  <c r="C821" i="4"/>
  <c r="E821" i="4"/>
  <c r="G821" i="4"/>
  <c r="M821" i="4"/>
  <c r="C822" i="4"/>
  <c r="E822" i="4"/>
  <c r="G822" i="4"/>
  <c r="M822" i="4"/>
  <c r="C823" i="4"/>
  <c r="E823" i="4"/>
  <c r="G823" i="4"/>
  <c r="M823" i="4"/>
  <c r="C824" i="4"/>
  <c r="E824" i="4"/>
  <c r="G824" i="4"/>
  <c r="M824" i="4"/>
  <c r="C825" i="4"/>
  <c r="E825" i="4"/>
  <c r="G825" i="4"/>
  <c r="M825" i="4"/>
  <c r="C826" i="4"/>
  <c r="E826" i="4"/>
  <c r="G826" i="4"/>
  <c r="M826" i="4"/>
  <c r="C827" i="4"/>
  <c r="E827" i="4"/>
  <c r="G827" i="4"/>
  <c r="M827" i="4"/>
  <c r="C828" i="4"/>
  <c r="E828" i="4"/>
  <c r="G828" i="4"/>
  <c r="M828" i="4"/>
  <c r="C829" i="4"/>
  <c r="E829" i="4"/>
  <c r="G829" i="4"/>
  <c r="M829" i="4"/>
  <c r="C830" i="4"/>
  <c r="E830" i="4"/>
  <c r="G830" i="4"/>
  <c r="M830" i="4"/>
  <c r="C831" i="4"/>
  <c r="E831" i="4"/>
  <c r="G831" i="4"/>
  <c r="M831" i="4"/>
  <c r="C832" i="4"/>
  <c r="E832" i="4"/>
  <c r="G832" i="4"/>
  <c r="M832" i="4"/>
  <c r="C833" i="4"/>
  <c r="E833" i="4"/>
  <c r="G833" i="4"/>
  <c r="M833" i="4"/>
  <c r="C834" i="4"/>
  <c r="E834" i="4"/>
  <c r="G834" i="4"/>
  <c r="M834" i="4"/>
  <c r="C835" i="4"/>
  <c r="E835" i="4"/>
  <c r="G835" i="4"/>
  <c r="M835" i="4"/>
  <c r="C836" i="4"/>
  <c r="E836" i="4"/>
  <c r="G836" i="4"/>
  <c r="M836" i="4"/>
  <c r="C837" i="4"/>
  <c r="E837" i="4"/>
  <c r="G837" i="4"/>
  <c r="M837" i="4"/>
  <c r="C838" i="4"/>
  <c r="E838" i="4"/>
  <c r="G838" i="4"/>
  <c r="M838" i="4"/>
  <c r="C839" i="4"/>
  <c r="E839" i="4"/>
  <c r="G839" i="4"/>
  <c r="M839" i="4"/>
  <c r="C840" i="4"/>
  <c r="E840" i="4"/>
  <c r="G840" i="4"/>
  <c r="M840" i="4"/>
  <c r="C841" i="4"/>
  <c r="E841" i="4"/>
  <c r="G841" i="4"/>
  <c r="M841" i="4"/>
  <c r="C842" i="4"/>
  <c r="E842" i="4"/>
  <c r="G842" i="4"/>
  <c r="M842" i="4"/>
  <c r="C843" i="4"/>
  <c r="E843" i="4"/>
  <c r="G843" i="4"/>
  <c r="M843" i="4"/>
  <c r="C844" i="4"/>
  <c r="E844" i="4"/>
  <c r="G844" i="4"/>
  <c r="M844" i="4"/>
  <c r="C845" i="4"/>
  <c r="E845" i="4"/>
  <c r="G845" i="4"/>
  <c r="M845" i="4"/>
  <c r="C846" i="4"/>
  <c r="E846" i="4"/>
  <c r="G846" i="4"/>
  <c r="M846" i="4"/>
  <c r="C847" i="4"/>
  <c r="E847" i="4"/>
  <c r="G847" i="4"/>
  <c r="M847" i="4"/>
  <c r="C848" i="4"/>
  <c r="E848" i="4"/>
  <c r="G848" i="4"/>
  <c r="M848" i="4"/>
  <c r="C849" i="4"/>
  <c r="E849" i="4"/>
  <c r="G849" i="4"/>
  <c r="M849" i="4"/>
  <c r="C850" i="4"/>
  <c r="E850" i="4"/>
  <c r="G850" i="4"/>
  <c r="M850" i="4"/>
  <c r="C851" i="4"/>
  <c r="E851" i="4"/>
  <c r="G851" i="4"/>
  <c r="M851" i="4"/>
  <c r="C852" i="4"/>
  <c r="E852" i="4"/>
  <c r="G852" i="4"/>
  <c r="M852" i="4"/>
  <c r="C853" i="4"/>
  <c r="E853" i="4"/>
  <c r="G853" i="4"/>
  <c r="M853" i="4"/>
  <c r="C854" i="4"/>
  <c r="E854" i="4"/>
  <c r="G854" i="4"/>
  <c r="M854" i="4"/>
  <c r="C855" i="4"/>
  <c r="E855" i="4"/>
  <c r="G855" i="4"/>
  <c r="M855" i="4"/>
  <c r="C856" i="4"/>
  <c r="E856" i="4"/>
  <c r="G856" i="4"/>
  <c r="M856" i="4"/>
  <c r="C857" i="4"/>
  <c r="E857" i="4"/>
  <c r="G857" i="4"/>
  <c r="M857" i="4"/>
  <c r="C858" i="4"/>
  <c r="E858" i="4"/>
  <c r="G858" i="4"/>
  <c r="M858" i="4"/>
  <c r="C859" i="4"/>
  <c r="E859" i="4"/>
  <c r="G859" i="4"/>
  <c r="M859" i="4"/>
  <c r="C860" i="4"/>
  <c r="E860" i="4"/>
  <c r="G860" i="4"/>
  <c r="M860" i="4"/>
  <c r="C861" i="4"/>
  <c r="E861" i="4"/>
  <c r="G861" i="4"/>
  <c r="M861" i="4"/>
  <c r="C862" i="4"/>
  <c r="E862" i="4"/>
  <c r="G862" i="4"/>
  <c r="M862" i="4"/>
  <c r="C863" i="4"/>
  <c r="E863" i="4"/>
  <c r="G863" i="4"/>
  <c r="M863" i="4"/>
  <c r="C864" i="4"/>
  <c r="E864" i="4"/>
  <c r="G864" i="4"/>
  <c r="M864" i="4"/>
  <c r="C865" i="4"/>
  <c r="E865" i="4"/>
  <c r="G865" i="4"/>
  <c r="M865" i="4"/>
  <c r="C866" i="4"/>
  <c r="E866" i="4"/>
  <c r="G866" i="4"/>
  <c r="M866" i="4"/>
  <c r="C867" i="4"/>
  <c r="E867" i="4"/>
  <c r="G867" i="4"/>
  <c r="M867" i="4"/>
  <c r="C868" i="4"/>
  <c r="E868" i="4"/>
  <c r="G868" i="4"/>
  <c r="M868" i="4"/>
  <c r="C869" i="4"/>
  <c r="E869" i="4"/>
  <c r="G869" i="4"/>
  <c r="M869" i="4"/>
  <c r="C870" i="4"/>
  <c r="E870" i="4"/>
  <c r="G870" i="4"/>
  <c r="M870" i="4"/>
  <c r="C871" i="4"/>
  <c r="E871" i="4"/>
  <c r="G871" i="4"/>
  <c r="M871" i="4"/>
  <c r="C872" i="4"/>
  <c r="E872" i="4"/>
  <c r="G872" i="4"/>
  <c r="M872" i="4"/>
  <c r="C873" i="4"/>
  <c r="E873" i="4"/>
  <c r="G873" i="4"/>
  <c r="M873" i="4"/>
  <c r="C874" i="4"/>
  <c r="E874" i="4"/>
  <c r="G874" i="4"/>
  <c r="M874" i="4"/>
  <c r="C875" i="4"/>
  <c r="E875" i="4"/>
  <c r="G875" i="4"/>
  <c r="M875" i="4"/>
  <c r="C876" i="4"/>
  <c r="E876" i="4"/>
  <c r="G876" i="4"/>
  <c r="M876" i="4"/>
  <c r="C877" i="4"/>
  <c r="E877" i="4"/>
  <c r="G877" i="4"/>
  <c r="M877" i="4"/>
  <c r="C878" i="4"/>
  <c r="E878" i="4"/>
  <c r="G878" i="4"/>
  <c r="M878" i="4"/>
  <c r="C879" i="4"/>
  <c r="E879" i="4"/>
  <c r="G879" i="4"/>
  <c r="M879" i="4"/>
  <c r="C880" i="4"/>
  <c r="E880" i="4"/>
  <c r="G880" i="4"/>
  <c r="M880" i="4"/>
  <c r="C881" i="4"/>
  <c r="E881" i="4"/>
  <c r="G881" i="4"/>
  <c r="M881" i="4"/>
  <c r="C882" i="4"/>
  <c r="E882" i="4"/>
  <c r="G882" i="4"/>
  <c r="M882" i="4"/>
  <c r="C883" i="4"/>
  <c r="E883" i="4"/>
  <c r="G883" i="4"/>
  <c r="M883" i="4"/>
  <c r="C884" i="4"/>
  <c r="E884" i="4"/>
  <c r="G884" i="4"/>
  <c r="M884" i="4"/>
  <c r="C885" i="4"/>
  <c r="E885" i="4"/>
  <c r="G885" i="4"/>
  <c r="M885" i="4"/>
  <c r="C886" i="4"/>
  <c r="E886" i="4"/>
  <c r="G886" i="4"/>
  <c r="M886" i="4"/>
  <c r="C887" i="4"/>
  <c r="E887" i="4"/>
  <c r="G887" i="4"/>
  <c r="M887" i="4"/>
  <c r="C888" i="4"/>
  <c r="E888" i="4"/>
  <c r="G888" i="4"/>
  <c r="M888" i="4"/>
  <c r="C889" i="4"/>
  <c r="E889" i="4"/>
  <c r="G889" i="4"/>
  <c r="M889" i="4"/>
  <c r="C890" i="4"/>
  <c r="E890" i="4"/>
  <c r="G890" i="4"/>
  <c r="M890" i="4"/>
  <c r="C891" i="4"/>
  <c r="E891" i="4"/>
  <c r="G891" i="4"/>
  <c r="M891" i="4"/>
  <c r="C892" i="4"/>
  <c r="E892" i="4"/>
  <c r="G892" i="4"/>
  <c r="M892" i="4"/>
  <c r="C893" i="4"/>
  <c r="E893" i="4"/>
  <c r="G893" i="4"/>
  <c r="M893" i="4"/>
  <c r="C894" i="4"/>
  <c r="E894" i="4"/>
  <c r="G894" i="4"/>
  <c r="M894" i="4"/>
  <c r="C895" i="4"/>
  <c r="E895" i="4"/>
  <c r="G895" i="4"/>
  <c r="M895" i="4"/>
  <c r="C896" i="4"/>
  <c r="E896" i="4"/>
  <c r="G896" i="4"/>
  <c r="M896" i="4"/>
  <c r="C897" i="4"/>
  <c r="E897" i="4"/>
  <c r="G897" i="4"/>
  <c r="M897" i="4"/>
  <c r="C898" i="4"/>
  <c r="E898" i="4"/>
  <c r="G898" i="4"/>
  <c r="M898" i="4"/>
  <c r="C899" i="4"/>
  <c r="E899" i="4"/>
  <c r="G899" i="4"/>
  <c r="M899" i="4"/>
  <c r="C900" i="4"/>
  <c r="E900" i="4"/>
  <c r="G900" i="4"/>
  <c r="M900" i="4"/>
  <c r="C901" i="4"/>
  <c r="E901" i="4"/>
  <c r="G901" i="4"/>
  <c r="M901" i="4"/>
  <c r="C902" i="4"/>
  <c r="E902" i="4"/>
  <c r="G902" i="4"/>
  <c r="M902" i="4"/>
  <c r="C903" i="4"/>
  <c r="E903" i="4"/>
  <c r="G903" i="4"/>
  <c r="M903" i="4"/>
  <c r="C904" i="4"/>
  <c r="E904" i="4"/>
  <c r="G904" i="4"/>
  <c r="M904" i="4"/>
  <c r="C905" i="4"/>
  <c r="E905" i="4"/>
  <c r="G905" i="4"/>
  <c r="M905" i="4"/>
  <c r="C906" i="4"/>
  <c r="E906" i="4"/>
  <c r="G906" i="4"/>
  <c r="M906" i="4"/>
  <c r="C907" i="4"/>
  <c r="E907" i="4"/>
  <c r="G907" i="4"/>
  <c r="M907" i="4"/>
  <c r="C908" i="4"/>
  <c r="E908" i="4"/>
  <c r="G908" i="4"/>
  <c r="M908" i="4"/>
  <c r="C909" i="4"/>
  <c r="E909" i="4"/>
  <c r="G909" i="4"/>
  <c r="M909" i="4"/>
  <c r="C910" i="4"/>
  <c r="E910" i="4"/>
  <c r="G910" i="4"/>
  <c r="M910" i="4"/>
  <c r="C911" i="4"/>
  <c r="E911" i="4"/>
  <c r="G911" i="4"/>
  <c r="M911" i="4"/>
  <c r="C912" i="4"/>
  <c r="E912" i="4"/>
  <c r="G912" i="4"/>
  <c r="M912" i="4"/>
  <c r="C913" i="4"/>
  <c r="E913" i="4"/>
  <c r="G913" i="4"/>
  <c r="M913" i="4"/>
  <c r="C914" i="4"/>
  <c r="E914" i="4"/>
  <c r="G914" i="4"/>
  <c r="M914" i="4"/>
  <c r="C915" i="4"/>
  <c r="E915" i="4"/>
  <c r="G915" i="4"/>
  <c r="M915" i="4"/>
  <c r="C916" i="4"/>
  <c r="E916" i="4"/>
  <c r="G916" i="4"/>
  <c r="M916" i="4"/>
  <c r="C917" i="4"/>
  <c r="E917" i="4"/>
  <c r="G917" i="4"/>
  <c r="M917" i="4"/>
  <c r="C918" i="4"/>
  <c r="E918" i="4"/>
  <c r="G918" i="4"/>
  <c r="M918" i="4"/>
  <c r="C919" i="4"/>
  <c r="E919" i="4"/>
  <c r="G919" i="4"/>
  <c r="M919" i="4"/>
  <c r="C920" i="4"/>
  <c r="E920" i="4"/>
  <c r="G920" i="4"/>
  <c r="M920" i="4"/>
  <c r="C921" i="4"/>
  <c r="E921" i="4"/>
  <c r="G921" i="4"/>
  <c r="M921" i="4"/>
  <c r="C922" i="4"/>
  <c r="E922" i="4"/>
  <c r="G922" i="4"/>
  <c r="M922" i="4"/>
  <c r="C923" i="4"/>
  <c r="E923" i="4"/>
  <c r="G923" i="4"/>
  <c r="M923" i="4"/>
  <c r="C924" i="4"/>
  <c r="E924" i="4"/>
  <c r="G924" i="4"/>
  <c r="M924" i="4"/>
  <c r="C925" i="4"/>
  <c r="E925" i="4"/>
  <c r="G925" i="4"/>
  <c r="M925" i="4"/>
  <c r="C926" i="4"/>
  <c r="E926" i="4"/>
  <c r="G926" i="4"/>
  <c r="M926" i="4"/>
  <c r="C927" i="4"/>
  <c r="E927" i="4"/>
  <c r="G927" i="4"/>
  <c r="M927" i="4"/>
  <c r="C928" i="4"/>
  <c r="E928" i="4"/>
  <c r="G928" i="4"/>
  <c r="M928" i="4"/>
  <c r="C929" i="4"/>
  <c r="E929" i="4"/>
  <c r="G929" i="4"/>
  <c r="M929" i="4"/>
  <c r="C930" i="4"/>
  <c r="E930" i="4"/>
  <c r="G930" i="4"/>
  <c r="M930" i="4"/>
  <c r="C931" i="4"/>
  <c r="E931" i="4"/>
  <c r="G931" i="4"/>
  <c r="M931" i="4"/>
  <c r="C932" i="4"/>
  <c r="E932" i="4"/>
  <c r="G932" i="4"/>
  <c r="M932" i="4"/>
  <c r="C933" i="4"/>
  <c r="E933" i="4"/>
  <c r="G933" i="4"/>
  <c r="M933" i="4"/>
  <c r="C934" i="4"/>
  <c r="E934" i="4"/>
  <c r="G934" i="4"/>
  <c r="M934" i="4"/>
  <c r="C935" i="4"/>
  <c r="E935" i="4"/>
  <c r="G935" i="4"/>
  <c r="M935" i="4"/>
  <c r="C936" i="4"/>
  <c r="E936" i="4"/>
  <c r="G936" i="4"/>
  <c r="M936" i="4"/>
  <c r="C937" i="4"/>
  <c r="E937" i="4"/>
  <c r="G937" i="4"/>
  <c r="M937" i="4"/>
  <c r="C938" i="4"/>
  <c r="E938" i="4"/>
  <c r="G938" i="4"/>
  <c r="M938" i="4"/>
  <c r="C939" i="4"/>
  <c r="E939" i="4"/>
  <c r="G939" i="4"/>
  <c r="M939" i="4"/>
  <c r="C940" i="4"/>
  <c r="E940" i="4"/>
  <c r="G940" i="4"/>
  <c r="M940" i="4"/>
  <c r="C941" i="4"/>
  <c r="E941" i="4"/>
  <c r="G941" i="4"/>
  <c r="M941" i="4"/>
  <c r="C942" i="4"/>
  <c r="E942" i="4"/>
  <c r="G942" i="4"/>
  <c r="M942" i="4"/>
  <c r="C943" i="4"/>
  <c r="E943" i="4"/>
  <c r="G943" i="4"/>
  <c r="M943" i="4"/>
  <c r="C944" i="4"/>
  <c r="E944" i="4"/>
  <c r="G944" i="4"/>
  <c r="M944" i="4"/>
  <c r="C945" i="4"/>
  <c r="E945" i="4"/>
  <c r="G945" i="4"/>
  <c r="M945" i="4"/>
  <c r="C946" i="4"/>
  <c r="E946" i="4"/>
  <c r="G946" i="4"/>
  <c r="M946" i="4"/>
  <c r="C947" i="4"/>
  <c r="E947" i="4"/>
  <c r="G947" i="4"/>
  <c r="M947" i="4"/>
  <c r="C948" i="4"/>
  <c r="E948" i="4"/>
  <c r="G948" i="4"/>
  <c r="M948" i="4"/>
  <c r="C949" i="4"/>
  <c r="E949" i="4"/>
  <c r="G949" i="4"/>
  <c r="M949" i="4"/>
  <c r="C950" i="4"/>
  <c r="E950" i="4"/>
  <c r="G950" i="4"/>
  <c r="M950" i="4"/>
  <c r="C951" i="4"/>
  <c r="E951" i="4"/>
  <c r="G951" i="4"/>
  <c r="M951" i="4"/>
  <c r="C952" i="4"/>
  <c r="E952" i="4"/>
  <c r="G952" i="4"/>
  <c r="M952" i="4"/>
  <c r="C953" i="4"/>
  <c r="E953" i="4"/>
  <c r="G953" i="4"/>
  <c r="M953" i="4"/>
  <c r="C954" i="4"/>
  <c r="E954" i="4"/>
  <c r="G954" i="4"/>
  <c r="M954" i="4"/>
  <c r="C955" i="4"/>
  <c r="E955" i="4"/>
  <c r="G955" i="4"/>
  <c r="M955" i="4"/>
  <c r="C956" i="4"/>
  <c r="E956" i="4"/>
  <c r="G956" i="4"/>
  <c r="M956" i="4"/>
  <c r="C957" i="4"/>
  <c r="E957" i="4"/>
  <c r="G957" i="4"/>
  <c r="M957" i="4"/>
  <c r="C958" i="4"/>
  <c r="E958" i="4"/>
  <c r="G958" i="4"/>
  <c r="M958" i="4"/>
  <c r="C959" i="4"/>
  <c r="E959" i="4"/>
  <c r="G959" i="4"/>
  <c r="M959" i="4"/>
  <c r="C960" i="4"/>
  <c r="E960" i="4"/>
  <c r="G960" i="4"/>
  <c r="M960" i="4"/>
  <c r="C961" i="4"/>
  <c r="E961" i="4"/>
  <c r="G961" i="4"/>
  <c r="M961" i="4"/>
  <c r="C962" i="4"/>
  <c r="E962" i="4"/>
  <c r="G962" i="4"/>
  <c r="M962" i="4"/>
  <c r="C963" i="4"/>
  <c r="E963" i="4"/>
  <c r="G963" i="4"/>
  <c r="M963" i="4"/>
  <c r="C964" i="4"/>
  <c r="E964" i="4"/>
  <c r="G964" i="4"/>
  <c r="M964" i="4"/>
  <c r="C965" i="4"/>
  <c r="E965" i="4"/>
  <c r="G965" i="4"/>
  <c r="M965" i="4"/>
  <c r="C966" i="4"/>
  <c r="E966" i="4"/>
  <c r="G966" i="4"/>
  <c r="M966" i="4"/>
  <c r="C967" i="4"/>
  <c r="E967" i="4"/>
  <c r="G967" i="4"/>
  <c r="M967" i="4"/>
  <c r="C968" i="4"/>
  <c r="E968" i="4"/>
  <c r="G968" i="4"/>
  <c r="M968" i="4"/>
  <c r="C969" i="4"/>
  <c r="E969" i="4"/>
  <c r="G969" i="4"/>
  <c r="M969" i="4"/>
  <c r="C970" i="4"/>
  <c r="E970" i="4"/>
  <c r="G970" i="4"/>
  <c r="M970" i="4"/>
  <c r="C971" i="4"/>
  <c r="E971" i="4"/>
  <c r="G971" i="4"/>
  <c r="M971" i="4"/>
  <c r="C972" i="4"/>
  <c r="E972" i="4"/>
  <c r="G972" i="4"/>
  <c r="M972" i="4"/>
  <c r="C973" i="4"/>
  <c r="E973" i="4"/>
  <c r="G973" i="4"/>
  <c r="M973" i="4"/>
  <c r="C974" i="4"/>
  <c r="E974" i="4"/>
  <c r="G974" i="4"/>
  <c r="M974" i="4"/>
  <c r="C975" i="4"/>
  <c r="E975" i="4"/>
  <c r="G975" i="4"/>
  <c r="M975" i="4"/>
  <c r="C976" i="4"/>
  <c r="E976" i="4"/>
  <c r="G976" i="4"/>
  <c r="M976" i="4"/>
  <c r="C977" i="4"/>
  <c r="E977" i="4"/>
  <c r="G977" i="4"/>
  <c r="M977" i="4"/>
  <c r="C978" i="4"/>
  <c r="E978" i="4"/>
  <c r="G978" i="4"/>
  <c r="M978" i="4"/>
  <c r="C979" i="4"/>
  <c r="E979" i="4"/>
  <c r="G979" i="4"/>
  <c r="M979" i="4"/>
  <c r="C980" i="4"/>
  <c r="E980" i="4"/>
  <c r="G980" i="4"/>
  <c r="M980" i="4"/>
  <c r="C981" i="4"/>
  <c r="E981" i="4"/>
  <c r="G981" i="4"/>
  <c r="M981" i="4"/>
  <c r="C982" i="4"/>
  <c r="E982" i="4"/>
  <c r="G982" i="4"/>
  <c r="M982" i="4"/>
  <c r="C983" i="4"/>
  <c r="E983" i="4"/>
  <c r="G983" i="4"/>
  <c r="M983" i="4"/>
  <c r="C984" i="4"/>
  <c r="E984" i="4"/>
  <c r="G984" i="4"/>
  <c r="M984" i="4"/>
  <c r="C985" i="4"/>
  <c r="E985" i="4"/>
  <c r="G985" i="4"/>
  <c r="M985" i="4"/>
  <c r="C986" i="4"/>
  <c r="E986" i="4"/>
  <c r="G986" i="4"/>
  <c r="M986" i="4"/>
  <c r="C987" i="4"/>
  <c r="E987" i="4"/>
  <c r="G987" i="4"/>
  <c r="M987" i="4"/>
  <c r="C988" i="4"/>
  <c r="E988" i="4"/>
  <c r="G988" i="4"/>
  <c r="M988" i="4"/>
  <c r="C989" i="4"/>
  <c r="E989" i="4"/>
  <c r="G989" i="4"/>
  <c r="M989" i="4"/>
  <c r="C990" i="4"/>
  <c r="E990" i="4"/>
  <c r="G990" i="4"/>
  <c r="M990" i="4"/>
  <c r="C991" i="4"/>
  <c r="E991" i="4"/>
  <c r="G991" i="4"/>
  <c r="M991" i="4"/>
  <c r="C992" i="4"/>
  <c r="E992" i="4"/>
  <c r="G992" i="4"/>
  <c r="M992" i="4"/>
  <c r="C993" i="4"/>
  <c r="E993" i="4"/>
  <c r="G993" i="4"/>
  <c r="M993" i="4"/>
  <c r="C994" i="4"/>
  <c r="E994" i="4"/>
  <c r="G994" i="4"/>
  <c r="M994" i="4"/>
  <c r="C995" i="4"/>
  <c r="E995" i="4"/>
  <c r="G995" i="4"/>
  <c r="M995" i="4"/>
  <c r="C996" i="4"/>
  <c r="E996" i="4"/>
  <c r="G996" i="4"/>
  <c r="M996" i="4"/>
  <c r="C997" i="4"/>
  <c r="E997" i="4"/>
  <c r="G997" i="4"/>
  <c r="M997" i="4"/>
  <c r="C998" i="4"/>
  <c r="E998" i="4"/>
  <c r="G998" i="4"/>
  <c r="M998" i="4"/>
  <c r="C999" i="4"/>
  <c r="E999" i="4"/>
  <c r="G999" i="4"/>
  <c r="M999" i="4"/>
  <c r="C1000" i="4"/>
  <c r="E1000" i="4"/>
  <c r="G1000" i="4"/>
  <c r="M1000" i="4"/>
  <c r="C1001" i="4"/>
  <c r="E1001" i="4"/>
  <c r="G1001" i="4"/>
  <c r="M1001" i="4"/>
  <c r="C1002" i="4"/>
  <c r="E1002" i="4"/>
  <c r="G1002" i="4"/>
  <c r="M1002" i="4"/>
  <c r="C1003" i="4"/>
  <c r="E1003" i="4"/>
  <c r="G1003" i="4"/>
  <c r="M1003" i="4"/>
  <c r="C1004" i="4"/>
  <c r="E1004" i="4"/>
  <c r="G1004" i="4"/>
  <c r="M1004" i="4"/>
  <c r="C1005" i="4"/>
  <c r="E1005" i="4"/>
  <c r="G1005" i="4"/>
  <c r="M1005" i="4"/>
  <c r="C1006" i="4"/>
  <c r="E1006" i="4"/>
  <c r="G1006" i="4"/>
  <c r="M1006" i="4"/>
  <c r="C1007" i="4"/>
  <c r="E1007" i="4"/>
  <c r="G1007" i="4"/>
  <c r="M1007" i="4"/>
  <c r="C1008" i="4"/>
  <c r="E1008" i="4"/>
  <c r="G1008" i="4"/>
  <c r="M1008" i="4"/>
  <c r="C1009" i="4"/>
  <c r="E1009" i="4"/>
  <c r="G1009" i="4"/>
  <c r="M1009" i="4"/>
  <c r="C1010" i="4"/>
  <c r="E1010" i="4"/>
  <c r="G1010" i="4"/>
  <c r="M1010" i="4"/>
  <c r="C1011" i="4"/>
  <c r="E1011" i="4"/>
  <c r="G1011" i="4"/>
  <c r="M1011" i="4"/>
  <c r="C1012" i="4"/>
  <c r="E1012" i="4"/>
  <c r="G1012" i="4"/>
  <c r="M1012" i="4"/>
  <c r="C1013" i="4"/>
  <c r="E1013" i="4"/>
  <c r="G1013" i="4"/>
  <c r="M1013" i="4"/>
  <c r="C1014" i="4"/>
  <c r="E1014" i="4"/>
  <c r="G1014" i="4"/>
  <c r="M1014" i="4"/>
  <c r="C1015" i="4"/>
  <c r="E1015" i="4"/>
  <c r="G1015" i="4"/>
  <c r="M1015" i="4"/>
  <c r="C1016" i="4"/>
  <c r="E1016" i="4"/>
  <c r="G1016" i="4"/>
  <c r="M1016" i="4"/>
  <c r="C1017" i="4"/>
  <c r="E1017" i="4"/>
  <c r="G1017" i="4"/>
  <c r="M1017" i="4"/>
  <c r="C1018" i="4"/>
  <c r="E1018" i="4"/>
  <c r="G1018" i="4"/>
  <c r="M1018" i="4"/>
  <c r="C1019" i="4"/>
  <c r="E1019" i="4"/>
  <c r="G1019" i="4"/>
  <c r="M1019" i="4"/>
  <c r="C1020" i="4"/>
  <c r="E1020" i="4"/>
  <c r="G1020" i="4"/>
  <c r="M1020" i="4"/>
  <c r="C1021" i="4"/>
  <c r="E1021" i="4"/>
  <c r="G1021" i="4"/>
  <c r="M1021" i="4"/>
  <c r="C1022" i="4"/>
  <c r="E1022" i="4"/>
  <c r="G1022" i="4"/>
  <c r="M1022" i="4"/>
  <c r="C1023" i="4"/>
  <c r="E1023" i="4"/>
  <c r="G1023" i="4"/>
  <c r="M1023" i="4"/>
  <c r="C1024" i="4"/>
  <c r="E1024" i="4"/>
  <c r="G1024" i="4"/>
  <c r="M1024" i="4"/>
  <c r="C1025" i="4"/>
  <c r="E1025" i="4"/>
  <c r="G1025" i="4"/>
  <c r="M1025" i="4"/>
  <c r="C1026" i="4"/>
  <c r="E1026" i="4"/>
  <c r="G1026" i="4"/>
  <c r="M1026" i="4"/>
  <c r="C1027" i="4"/>
  <c r="E1027" i="4"/>
  <c r="G1027" i="4"/>
  <c r="M1027" i="4"/>
  <c r="C1028" i="4"/>
  <c r="E1028" i="4"/>
  <c r="G1028" i="4"/>
  <c r="M1028" i="4"/>
  <c r="C1029" i="4"/>
  <c r="E1029" i="4"/>
  <c r="G1029" i="4"/>
  <c r="M1029" i="4"/>
  <c r="C1030" i="4"/>
  <c r="E1030" i="4"/>
  <c r="G1030" i="4"/>
  <c r="M1030" i="4"/>
  <c r="C1031" i="4"/>
  <c r="E1031" i="4"/>
  <c r="G1031" i="4"/>
  <c r="M1031" i="4"/>
  <c r="C1032" i="4"/>
  <c r="E1032" i="4"/>
  <c r="G1032" i="4"/>
  <c r="M1032" i="4"/>
  <c r="C1033" i="4"/>
  <c r="E1033" i="4"/>
  <c r="G1033" i="4"/>
  <c r="M1033" i="4"/>
  <c r="C1034" i="4"/>
  <c r="E1034" i="4"/>
  <c r="G1034" i="4"/>
  <c r="M1034" i="4"/>
  <c r="C1035" i="4"/>
  <c r="E1035" i="4"/>
  <c r="G1035" i="4"/>
  <c r="M1035" i="4"/>
  <c r="C1036" i="4"/>
  <c r="E1036" i="4"/>
  <c r="G1036" i="4"/>
  <c r="M1036" i="4"/>
  <c r="C1037" i="4"/>
  <c r="E1037" i="4"/>
  <c r="G1037" i="4"/>
  <c r="M1037" i="4"/>
  <c r="C1038" i="4"/>
  <c r="E1038" i="4"/>
  <c r="G1038" i="4"/>
  <c r="M1038" i="4"/>
  <c r="C1039" i="4"/>
  <c r="E1039" i="4"/>
  <c r="G1039" i="4"/>
  <c r="M1039" i="4"/>
  <c r="C1040" i="4"/>
  <c r="E1040" i="4"/>
  <c r="G1040" i="4"/>
  <c r="M1040" i="4"/>
  <c r="C1041" i="4"/>
  <c r="E1041" i="4"/>
  <c r="G1041" i="4"/>
  <c r="M1041" i="4"/>
  <c r="C1042" i="4"/>
  <c r="E1042" i="4"/>
  <c r="G1042" i="4"/>
  <c r="M1042" i="4"/>
  <c r="C1043" i="4"/>
  <c r="E1043" i="4"/>
  <c r="G1043" i="4"/>
  <c r="M1043" i="4"/>
  <c r="C1044" i="4"/>
  <c r="E1044" i="4"/>
  <c r="G1044" i="4"/>
  <c r="M1044" i="4"/>
  <c r="C1045" i="4"/>
  <c r="E1045" i="4"/>
  <c r="G1045" i="4"/>
  <c r="M1045" i="4"/>
  <c r="C1046" i="4"/>
  <c r="E1046" i="4"/>
  <c r="G1046" i="4"/>
  <c r="M1046" i="4"/>
  <c r="C1047" i="4"/>
  <c r="E1047" i="4"/>
  <c r="G1047" i="4"/>
  <c r="M1047" i="4"/>
  <c r="C1048" i="4"/>
  <c r="E1048" i="4"/>
  <c r="G1048" i="4"/>
  <c r="M1048" i="4"/>
  <c r="C1049" i="4"/>
  <c r="E1049" i="4"/>
  <c r="G1049" i="4"/>
  <c r="M1049" i="4"/>
  <c r="C1050" i="4"/>
  <c r="E1050" i="4"/>
  <c r="G1050" i="4"/>
  <c r="M1050" i="4"/>
  <c r="C1051" i="4"/>
  <c r="E1051" i="4"/>
  <c r="G1051" i="4"/>
  <c r="M1051" i="4"/>
  <c r="C1052" i="4"/>
  <c r="E1052" i="4"/>
  <c r="G1052" i="4"/>
  <c r="M1052" i="4"/>
  <c r="C1053" i="4"/>
  <c r="E1053" i="4"/>
  <c r="G1053" i="4"/>
  <c r="M1053" i="4"/>
  <c r="C1054" i="4"/>
  <c r="E1054" i="4"/>
  <c r="G1054" i="4"/>
  <c r="M1054" i="4"/>
  <c r="C1055" i="4"/>
  <c r="E1055" i="4"/>
  <c r="G1055" i="4"/>
  <c r="M1055" i="4"/>
  <c r="C1056" i="4"/>
  <c r="E1056" i="4"/>
  <c r="G1056" i="4"/>
  <c r="M1056" i="4"/>
  <c r="C1057" i="4"/>
  <c r="E1057" i="4"/>
  <c r="G1057" i="4"/>
  <c r="M1057" i="4"/>
  <c r="C1058" i="4"/>
  <c r="E1058" i="4"/>
  <c r="G1058" i="4"/>
  <c r="M1058" i="4"/>
  <c r="C1059" i="4"/>
  <c r="E1059" i="4"/>
  <c r="G1059" i="4"/>
  <c r="M1059" i="4"/>
  <c r="C1060" i="4"/>
  <c r="E1060" i="4"/>
  <c r="G1060" i="4"/>
  <c r="M1060" i="4"/>
  <c r="C1061" i="4"/>
  <c r="E1061" i="4"/>
  <c r="G1061" i="4"/>
  <c r="M1061" i="4"/>
  <c r="C1062" i="4"/>
  <c r="E1062" i="4"/>
  <c r="G1062" i="4"/>
  <c r="M1062" i="4"/>
  <c r="C1063" i="4"/>
  <c r="E1063" i="4"/>
  <c r="G1063" i="4"/>
  <c r="M1063" i="4"/>
  <c r="C1064" i="4"/>
  <c r="E1064" i="4"/>
  <c r="G1064" i="4"/>
  <c r="M1064" i="4"/>
  <c r="C1065" i="4"/>
  <c r="E1065" i="4"/>
  <c r="G1065" i="4"/>
  <c r="M1065" i="4"/>
  <c r="C1066" i="4"/>
  <c r="E1066" i="4"/>
  <c r="G1066" i="4"/>
  <c r="M1066" i="4"/>
  <c r="C1067" i="4"/>
  <c r="E1067" i="4"/>
  <c r="G1067" i="4"/>
  <c r="M1067" i="4"/>
  <c r="C1068" i="4"/>
  <c r="E1068" i="4"/>
  <c r="G1068" i="4"/>
  <c r="M1068" i="4"/>
  <c r="C1069" i="4"/>
  <c r="E1069" i="4"/>
  <c r="G1069" i="4"/>
  <c r="M1069" i="4"/>
  <c r="C1070" i="4"/>
  <c r="E1070" i="4"/>
  <c r="G1070" i="4"/>
  <c r="M1070" i="4"/>
  <c r="C1071" i="4"/>
  <c r="E1071" i="4"/>
  <c r="G1071" i="4"/>
  <c r="M1071" i="4"/>
  <c r="C1072" i="4"/>
  <c r="E1072" i="4"/>
  <c r="G1072" i="4"/>
  <c r="M1072" i="4"/>
  <c r="C1073" i="4"/>
  <c r="E1073" i="4"/>
  <c r="G1073" i="4"/>
  <c r="M1073" i="4"/>
  <c r="C1074" i="4"/>
  <c r="E1074" i="4"/>
  <c r="G1074" i="4"/>
  <c r="M1074" i="4"/>
  <c r="C1075" i="4"/>
  <c r="E1075" i="4"/>
  <c r="G1075" i="4"/>
  <c r="M1075" i="4"/>
  <c r="C1076" i="4"/>
  <c r="E1076" i="4"/>
  <c r="G1076" i="4"/>
  <c r="M1076" i="4"/>
  <c r="C1077" i="4"/>
  <c r="E1077" i="4"/>
  <c r="G1077" i="4"/>
  <c r="M1077" i="4"/>
  <c r="C1078" i="4"/>
  <c r="E1078" i="4"/>
  <c r="G1078" i="4"/>
  <c r="M1078" i="4"/>
  <c r="C1079" i="4"/>
  <c r="E1079" i="4"/>
  <c r="G1079" i="4"/>
  <c r="M1079" i="4"/>
  <c r="C1080" i="4"/>
  <c r="E1080" i="4"/>
  <c r="G1080" i="4"/>
  <c r="M1080" i="4"/>
  <c r="C1081" i="4"/>
  <c r="E1081" i="4"/>
  <c r="G1081" i="4"/>
  <c r="M1081" i="4"/>
  <c r="C1082" i="4"/>
  <c r="E1082" i="4"/>
  <c r="G1082" i="4"/>
  <c r="M1082" i="4"/>
  <c r="C1083" i="4"/>
  <c r="E1083" i="4"/>
  <c r="G1083" i="4"/>
  <c r="M1083" i="4"/>
  <c r="C1084" i="4"/>
  <c r="E1084" i="4"/>
  <c r="G1084" i="4"/>
  <c r="M1084" i="4"/>
  <c r="C1085" i="4"/>
  <c r="E1085" i="4"/>
  <c r="G1085" i="4"/>
  <c r="M1085" i="4"/>
  <c r="C1086" i="4"/>
  <c r="E1086" i="4"/>
  <c r="G1086" i="4"/>
  <c r="M1086" i="4"/>
  <c r="C1087" i="4"/>
  <c r="E1087" i="4"/>
  <c r="G1087" i="4"/>
  <c r="M1087" i="4"/>
  <c r="C1088" i="4"/>
  <c r="E1088" i="4"/>
  <c r="G1088" i="4"/>
  <c r="M1088" i="4"/>
  <c r="C1089" i="4"/>
  <c r="E1089" i="4"/>
  <c r="G1089" i="4"/>
  <c r="M1089" i="4"/>
  <c r="C1090" i="4"/>
  <c r="E1090" i="4"/>
  <c r="G1090" i="4"/>
  <c r="M1090" i="4"/>
  <c r="C1091" i="4"/>
  <c r="E1091" i="4"/>
  <c r="G1091" i="4"/>
  <c r="M1091" i="4"/>
  <c r="C1092" i="4"/>
  <c r="E1092" i="4"/>
  <c r="G1092" i="4"/>
  <c r="M1092" i="4"/>
  <c r="C1093" i="4"/>
  <c r="E1093" i="4"/>
  <c r="G1093" i="4"/>
  <c r="M1093" i="4"/>
  <c r="C1094" i="4"/>
  <c r="E1094" i="4"/>
  <c r="G1094" i="4"/>
  <c r="M1094" i="4"/>
  <c r="C1095" i="4"/>
  <c r="E1095" i="4"/>
  <c r="G1095" i="4"/>
  <c r="M1095" i="4"/>
  <c r="C1096" i="4"/>
  <c r="E1096" i="4"/>
  <c r="G1096" i="4"/>
  <c r="M1096" i="4"/>
  <c r="C1097" i="4"/>
  <c r="E1097" i="4"/>
  <c r="G1097" i="4"/>
  <c r="M1097" i="4"/>
  <c r="C1098" i="4"/>
  <c r="E1098" i="4"/>
  <c r="G1098" i="4"/>
  <c r="M1098" i="4"/>
  <c r="C1099" i="4"/>
  <c r="E1099" i="4"/>
  <c r="G1099" i="4"/>
  <c r="M1099" i="4"/>
  <c r="C1100" i="4"/>
  <c r="E1100" i="4"/>
  <c r="G1100" i="4"/>
  <c r="M1100" i="4"/>
  <c r="C1101" i="4"/>
  <c r="E1101" i="4"/>
  <c r="G1101" i="4"/>
  <c r="M1101" i="4"/>
  <c r="C1102" i="4"/>
  <c r="E1102" i="4"/>
  <c r="G1102" i="4"/>
  <c r="M1102" i="4"/>
  <c r="C1103" i="4"/>
  <c r="E1103" i="4"/>
  <c r="G1103" i="4"/>
  <c r="M1103" i="4"/>
  <c r="C1104" i="4"/>
  <c r="E1104" i="4"/>
  <c r="G1104" i="4"/>
  <c r="M1104" i="4"/>
  <c r="C1105" i="4"/>
  <c r="E1105" i="4"/>
  <c r="G1105" i="4"/>
  <c r="M1105" i="4"/>
  <c r="C1106" i="4"/>
  <c r="E1106" i="4"/>
  <c r="G1106" i="4"/>
  <c r="M1106" i="4"/>
  <c r="C1107" i="4"/>
  <c r="E1107" i="4"/>
  <c r="G1107" i="4"/>
  <c r="M1107" i="4"/>
  <c r="C1108" i="4"/>
  <c r="E1108" i="4"/>
  <c r="G1108" i="4"/>
  <c r="M1108" i="4"/>
  <c r="C1109" i="4"/>
  <c r="E1109" i="4"/>
  <c r="G1109" i="4"/>
  <c r="M1109" i="4"/>
  <c r="C1110" i="4"/>
  <c r="E1110" i="4"/>
  <c r="G1110" i="4"/>
  <c r="M1110" i="4"/>
  <c r="C1111" i="4"/>
  <c r="E1111" i="4"/>
  <c r="G1111" i="4"/>
  <c r="M1111" i="4"/>
  <c r="C1112" i="4"/>
  <c r="E1112" i="4"/>
  <c r="G1112" i="4"/>
  <c r="M1112" i="4"/>
  <c r="C1113" i="4"/>
  <c r="E1113" i="4"/>
  <c r="G1113" i="4"/>
  <c r="M1113" i="4"/>
  <c r="C1114" i="4"/>
  <c r="E1114" i="4"/>
  <c r="G1114" i="4"/>
  <c r="M1114" i="4"/>
  <c r="C1115" i="4"/>
  <c r="E1115" i="4"/>
  <c r="G1115" i="4"/>
  <c r="M1115" i="4"/>
  <c r="C1116" i="4"/>
  <c r="E1116" i="4"/>
  <c r="G1116" i="4"/>
  <c r="M1116" i="4"/>
  <c r="C1117" i="4"/>
  <c r="E1117" i="4"/>
  <c r="G1117" i="4"/>
  <c r="M1117" i="4"/>
  <c r="C1118" i="4"/>
  <c r="E1118" i="4"/>
  <c r="G1118" i="4"/>
  <c r="M1118" i="4"/>
  <c r="C1119" i="4"/>
  <c r="E1119" i="4"/>
  <c r="G1119" i="4"/>
  <c r="M1119" i="4"/>
  <c r="C1120" i="4"/>
  <c r="E1120" i="4"/>
  <c r="G1120" i="4"/>
  <c r="M1120" i="4"/>
  <c r="C1121" i="4"/>
  <c r="E1121" i="4"/>
  <c r="G1121" i="4"/>
  <c r="M1121" i="4"/>
  <c r="C1122" i="4"/>
  <c r="E1122" i="4"/>
  <c r="G1122" i="4"/>
  <c r="M1122" i="4"/>
  <c r="C1123" i="4"/>
  <c r="E1123" i="4"/>
  <c r="G1123" i="4"/>
  <c r="M1123" i="4"/>
  <c r="C1124" i="4"/>
  <c r="E1124" i="4"/>
  <c r="G1124" i="4"/>
  <c r="M1124" i="4"/>
  <c r="C1125" i="4"/>
  <c r="E1125" i="4"/>
  <c r="G1125" i="4"/>
  <c r="M1125" i="4"/>
  <c r="C1126" i="4"/>
  <c r="E1126" i="4"/>
  <c r="G1126" i="4"/>
  <c r="M1126" i="4"/>
  <c r="C1127" i="4"/>
  <c r="E1127" i="4"/>
  <c r="G1127" i="4"/>
  <c r="M1127" i="4"/>
  <c r="C1128" i="4"/>
  <c r="E1128" i="4"/>
  <c r="G1128" i="4"/>
  <c r="M1128" i="4"/>
  <c r="C1129" i="4"/>
  <c r="E1129" i="4"/>
  <c r="G1129" i="4"/>
  <c r="M1129" i="4"/>
  <c r="C1130" i="4"/>
  <c r="E1130" i="4"/>
  <c r="G1130" i="4"/>
  <c r="M1130" i="4"/>
  <c r="C1131" i="4"/>
  <c r="E1131" i="4"/>
  <c r="G1131" i="4"/>
  <c r="M1131" i="4"/>
  <c r="C1132" i="4"/>
  <c r="E1132" i="4"/>
  <c r="G1132" i="4"/>
  <c r="M1132" i="4"/>
  <c r="C1133" i="4"/>
  <c r="E1133" i="4"/>
  <c r="G1133" i="4"/>
  <c r="M1133" i="4"/>
  <c r="C1134" i="4"/>
  <c r="E1134" i="4"/>
  <c r="G1134" i="4"/>
  <c r="M1134" i="4"/>
  <c r="C1135" i="4"/>
  <c r="E1135" i="4"/>
  <c r="G1135" i="4"/>
  <c r="M1135" i="4"/>
  <c r="C1136" i="4"/>
  <c r="E1136" i="4"/>
  <c r="G1136" i="4"/>
  <c r="M1136" i="4"/>
  <c r="C1137" i="4"/>
  <c r="E1137" i="4"/>
  <c r="G1137" i="4"/>
  <c r="M1137" i="4"/>
  <c r="C1138" i="4"/>
  <c r="E1138" i="4"/>
  <c r="G1138" i="4"/>
  <c r="M1138" i="4"/>
  <c r="C1139" i="4"/>
  <c r="E1139" i="4"/>
  <c r="G1139" i="4"/>
  <c r="M1139" i="4"/>
  <c r="C1140" i="4"/>
  <c r="E1140" i="4"/>
  <c r="G1140" i="4"/>
  <c r="M1140" i="4"/>
  <c r="C1141" i="4"/>
  <c r="E1141" i="4"/>
  <c r="G1141" i="4"/>
  <c r="M1141" i="4"/>
  <c r="C1142" i="4"/>
  <c r="E1142" i="4"/>
  <c r="G1142" i="4"/>
  <c r="M1142" i="4"/>
  <c r="C1143" i="4"/>
  <c r="E1143" i="4"/>
  <c r="G1143" i="4"/>
  <c r="M1143" i="4"/>
  <c r="C1144" i="4"/>
  <c r="E1144" i="4"/>
  <c r="G1144" i="4"/>
  <c r="M1144" i="4"/>
  <c r="C1145" i="4"/>
  <c r="E1145" i="4"/>
  <c r="G1145" i="4"/>
  <c r="M1145" i="4"/>
  <c r="C1146" i="4"/>
  <c r="E1146" i="4"/>
  <c r="G1146" i="4"/>
  <c r="M1146" i="4"/>
  <c r="C1147" i="4"/>
  <c r="E1147" i="4"/>
  <c r="G1147" i="4"/>
  <c r="M1147" i="4"/>
  <c r="C1148" i="4"/>
  <c r="E1148" i="4"/>
  <c r="G1148" i="4"/>
  <c r="M1148" i="4"/>
  <c r="C1149" i="4"/>
  <c r="E1149" i="4"/>
  <c r="G1149" i="4"/>
  <c r="M1149" i="4"/>
  <c r="C1150" i="4"/>
  <c r="E1150" i="4"/>
  <c r="G1150" i="4"/>
  <c r="M1150" i="4"/>
  <c r="C1151" i="4"/>
  <c r="E1151" i="4"/>
  <c r="G1151" i="4"/>
  <c r="M1151" i="4"/>
  <c r="C1152" i="4"/>
  <c r="E1152" i="4"/>
  <c r="G1152" i="4"/>
  <c r="M1152" i="4"/>
  <c r="C1153" i="4"/>
  <c r="E1153" i="4"/>
  <c r="G1153" i="4"/>
  <c r="M1153" i="4"/>
  <c r="C1154" i="4"/>
  <c r="E1154" i="4"/>
  <c r="G1154" i="4"/>
  <c r="M1154" i="4"/>
  <c r="C1155" i="4"/>
  <c r="E1155" i="4"/>
  <c r="G1155" i="4"/>
  <c r="M1155" i="4"/>
  <c r="C1156" i="4"/>
  <c r="E1156" i="4"/>
  <c r="G1156" i="4"/>
  <c r="M1156" i="4"/>
  <c r="C1157" i="4"/>
  <c r="E1157" i="4"/>
  <c r="G1157" i="4"/>
  <c r="M1157" i="4"/>
  <c r="C1158" i="4"/>
  <c r="E1158" i="4"/>
  <c r="G1158" i="4"/>
  <c r="M1158" i="4"/>
  <c r="C1159" i="4"/>
  <c r="E1159" i="4"/>
  <c r="G1159" i="4"/>
  <c r="M1159" i="4"/>
  <c r="C1160" i="4"/>
  <c r="E1160" i="4"/>
  <c r="G1160" i="4"/>
  <c r="M1160" i="4"/>
  <c r="C1161" i="4"/>
  <c r="E1161" i="4"/>
  <c r="G1161" i="4"/>
  <c r="M1161" i="4"/>
  <c r="C1162" i="4"/>
  <c r="E1162" i="4"/>
  <c r="G1162" i="4"/>
  <c r="M1162" i="4"/>
  <c r="C1163" i="4"/>
  <c r="E1163" i="4"/>
  <c r="G1163" i="4"/>
  <c r="M1163" i="4"/>
  <c r="C1164" i="4"/>
  <c r="E1164" i="4"/>
  <c r="G1164" i="4"/>
  <c r="M1164" i="4"/>
  <c r="C1165" i="4"/>
  <c r="E1165" i="4"/>
  <c r="G1165" i="4"/>
  <c r="M1165" i="4"/>
  <c r="C1166" i="4"/>
  <c r="E1166" i="4"/>
  <c r="G1166" i="4"/>
  <c r="M1166" i="4"/>
  <c r="C1167" i="4"/>
  <c r="E1167" i="4"/>
  <c r="G1167" i="4"/>
  <c r="M1167" i="4"/>
  <c r="C1168" i="4"/>
  <c r="E1168" i="4"/>
  <c r="G1168" i="4"/>
  <c r="M1168" i="4"/>
  <c r="C1169" i="4"/>
  <c r="E1169" i="4"/>
  <c r="G1169" i="4"/>
  <c r="M1169" i="4"/>
  <c r="C1170" i="4"/>
  <c r="E1170" i="4"/>
  <c r="G1170" i="4"/>
  <c r="M1170" i="4"/>
  <c r="C1171" i="4"/>
  <c r="E1171" i="4"/>
  <c r="G1171" i="4"/>
  <c r="M1171" i="4"/>
  <c r="C1172" i="4"/>
  <c r="E1172" i="4"/>
  <c r="G1172" i="4"/>
  <c r="M1172" i="4"/>
  <c r="C1173" i="4"/>
  <c r="E1173" i="4"/>
  <c r="G1173" i="4"/>
  <c r="M1173" i="4"/>
  <c r="C1174" i="4"/>
  <c r="E1174" i="4"/>
  <c r="G1174" i="4"/>
  <c r="M1174" i="4"/>
  <c r="C1175" i="4"/>
  <c r="E1175" i="4"/>
  <c r="G1175" i="4"/>
  <c r="M1175" i="4"/>
  <c r="C1176" i="4"/>
  <c r="E1176" i="4"/>
  <c r="G1176" i="4"/>
  <c r="M1176" i="4"/>
  <c r="C1177" i="4"/>
  <c r="E1177" i="4"/>
  <c r="G1177" i="4"/>
  <c r="M1177" i="4"/>
  <c r="C1178" i="4"/>
  <c r="E1178" i="4"/>
  <c r="G1178" i="4"/>
  <c r="M1178" i="4"/>
  <c r="C1179" i="4"/>
  <c r="E1179" i="4"/>
  <c r="G1179" i="4"/>
  <c r="M1179" i="4"/>
  <c r="C1180" i="4"/>
  <c r="E1180" i="4"/>
  <c r="G1180" i="4"/>
  <c r="M1180" i="4"/>
  <c r="C1181" i="4"/>
  <c r="E1181" i="4"/>
  <c r="G1181" i="4"/>
  <c r="M1181" i="4"/>
  <c r="C1182" i="4"/>
  <c r="E1182" i="4"/>
  <c r="G1182" i="4"/>
  <c r="M1182" i="4"/>
  <c r="C1183" i="4"/>
  <c r="E1183" i="4"/>
  <c r="G1183" i="4"/>
  <c r="M1183" i="4"/>
  <c r="C1184" i="4"/>
  <c r="E1184" i="4"/>
  <c r="G1184" i="4"/>
  <c r="M1184" i="4"/>
  <c r="C1185" i="4"/>
  <c r="E1185" i="4"/>
  <c r="G1185" i="4"/>
  <c r="M1185" i="4"/>
  <c r="C1186" i="4"/>
  <c r="E1186" i="4"/>
  <c r="G1186" i="4"/>
  <c r="M1186" i="4"/>
  <c r="C1187" i="4"/>
  <c r="E1187" i="4"/>
  <c r="G1187" i="4"/>
  <c r="M1187" i="4"/>
  <c r="C1188" i="4"/>
  <c r="E1188" i="4"/>
  <c r="G1188" i="4"/>
  <c r="M1188" i="4"/>
  <c r="C1189" i="4"/>
  <c r="E1189" i="4"/>
  <c r="G1189" i="4"/>
  <c r="M1189" i="4"/>
  <c r="C1190" i="4"/>
  <c r="E1190" i="4"/>
  <c r="G1190" i="4"/>
  <c r="M1190" i="4"/>
  <c r="C1191" i="4"/>
  <c r="E1191" i="4"/>
  <c r="G1191" i="4"/>
  <c r="M1191" i="4"/>
  <c r="C1192" i="4"/>
  <c r="E1192" i="4"/>
  <c r="G1192" i="4"/>
  <c r="M1192" i="4"/>
  <c r="C1193" i="4"/>
  <c r="E1193" i="4"/>
  <c r="G1193" i="4"/>
  <c r="M1193" i="4"/>
  <c r="C1194" i="4"/>
  <c r="E1194" i="4"/>
  <c r="G1194" i="4"/>
  <c r="M1194" i="4"/>
  <c r="C1195" i="4"/>
  <c r="E1195" i="4"/>
  <c r="G1195" i="4"/>
  <c r="M1195" i="4"/>
  <c r="C1196" i="4"/>
  <c r="E1196" i="4"/>
  <c r="G1196" i="4"/>
  <c r="M1196" i="4"/>
  <c r="C1197" i="4"/>
  <c r="E1197" i="4"/>
  <c r="G1197" i="4"/>
  <c r="M1197" i="4"/>
  <c r="C1198" i="4"/>
  <c r="E1198" i="4"/>
  <c r="G1198" i="4"/>
  <c r="M1198" i="4"/>
  <c r="C1199" i="4"/>
  <c r="E1199" i="4"/>
  <c r="G1199" i="4"/>
  <c r="M1199" i="4"/>
  <c r="C1200" i="4"/>
  <c r="E1200" i="4"/>
  <c r="G1200" i="4"/>
  <c r="M1200" i="4"/>
  <c r="C1201" i="4"/>
  <c r="E1201" i="4"/>
  <c r="G1201" i="4"/>
  <c r="M1201" i="4"/>
  <c r="C1202" i="4"/>
  <c r="E1202" i="4"/>
  <c r="G1202" i="4"/>
  <c r="M1202" i="4"/>
  <c r="C1203" i="4"/>
  <c r="E1203" i="4"/>
  <c r="G1203" i="4"/>
  <c r="M1203" i="4"/>
  <c r="C1204" i="4"/>
  <c r="E1204" i="4"/>
  <c r="G1204" i="4"/>
  <c r="M1204" i="4"/>
  <c r="C1205" i="4"/>
  <c r="E1205" i="4"/>
  <c r="G1205" i="4"/>
  <c r="M1205" i="4"/>
  <c r="C1206" i="4"/>
  <c r="E1206" i="4"/>
  <c r="G1206" i="4"/>
  <c r="M1206" i="4"/>
  <c r="C1207" i="4"/>
  <c r="E1207" i="4"/>
  <c r="G1207" i="4"/>
  <c r="M1207" i="4"/>
  <c r="C1208" i="4"/>
  <c r="E1208" i="4"/>
  <c r="G1208" i="4"/>
  <c r="M1208" i="4"/>
  <c r="C1209" i="4"/>
  <c r="E1209" i="4"/>
  <c r="G1209" i="4"/>
  <c r="M1209" i="4"/>
  <c r="C1210" i="4"/>
  <c r="E1210" i="4"/>
  <c r="G1210" i="4"/>
  <c r="M1210" i="4"/>
  <c r="C1211" i="4"/>
  <c r="E1211" i="4"/>
  <c r="G1211" i="4"/>
  <c r="M1211" i="4"/>
  <c r="C1212" i="4"/>
  <c r="E1212" i="4"/>
  <c r="G1212" i="4"/>
  <c r="M1212" i="4"/>
  <c r="C1213" i="4"/>
  <c r="E1213" i="4"/>
  <c r="G1213" i="4"/>
  <c r="M1213" i="4"/>
  <c r="C1214" i="4"/>
  <c r="E1214" i="4"/>
  <c r="G1214" i="4"/>
  <c r="M1214" i="4"/>
  <c r="C1215" i="4"/>
  <c r="E1215" i="4"/>
  <c r="G1215" i="4"/>
  <c r="M1215" i="4"/>
  <c r="C1216" i="4"/>
  <c r="E1216" i="4"/>
  <c r="G1216" i="4"/>
  <c r="M1216" i="4"/>
  <c r="C1217" i="4"/>
  <c r="E1217" i="4"/>
  <c r="G1217" i="4"/>
  <c r="M1217" i="4"/>
  <c r="C1218" i="4"/>
  <c r="E1218" i="4"/>
  <c r="G1218" i="4"/>
  <c r="M1218" i="4"/>
  <c r="C1219" i="4"/>
  <c r="E1219" i="4"/>
  <c r="G1219" i="4"/>
  <c r="M1219" i="4"/>
  <c r="C1220" i="4"/>
  <c r="E1220" i="4"/>
  <c r="G1220" i="4"/>
  <c r="M1220" i="4"/>
  <c r="C1221" i="4"/>
  <c r="E1221" i="4"/>
  <c r="G1221" i="4"/>
  <c r="M1221" i="4"/>
  <c r="C1222" i="4"/>
  <c r="E1222" i="4"/>
  <c r="G1222" i="4"/>
  <c r="M1222" i="4"/>
  <c r="C1223" i="4"/>
  <c r="E1223" i="4"/>
  <c r="G1223" i="4"/>
  <c r="M1223" i="4"/>
  <c r="C1224" i="4"/>
  <c r="E1224" i="4"/>
  <c r="G1224" i="4"/>
  <c r="M1224" i="4"/>
  <c r="C1225" i="4"/>
  <c r="E1225" i="4"/>
  <c r="G1225" i="4"/>
  <c r="M1225" i="4"/>
  <c r="C1226" i="4"/>
  <c r="E1226" i="4"/>
  <c r="G1226" i="4"/>
  <c r="M1226" i="4"/>
  <c r="C1227" i="4"/>
  <c r="E1227" i="4"/>
  <c r="G1227" i="4"/>
  <c r="M1227" i="4"/>
  <c r="C1228" i="4"/>
  <c r="E1228" i="4"/>
  <c r="G1228" i="4"/>
  <c r="M1228" i="4"/>
  <c r="C1229" i="4"/>
  <c r="E1229" i="4"/>
  <c r="G1229" i="4"/>
  <c r="M1229" i="4"/>
  <c r="C1230" i="4"/>
  <c r="E1230" i="4"/>
  <c r="G1230" i="4"/>
  <c r="M1230" i="4"/>
  <c r="C1231" i="4"/>
  <c r="E1231" i="4"/>
  <c r="G1231" i="4"/>
  <c r="M1231" i="4"/>
  <c r="C1232" i="4"/>
  <c r="E1232" i="4"/>
  <c r="G1232" i="4"/>
  <c r="M1232" i="4"/>
  <c r="C1233" i="4"/>
  <c r="E1233" i="4"/>
  <c r="G1233" i="4"/>
  <c r="M1233" i="4"/>
  <c r="C1234" i="4"/>
  <c r="E1234" i="4"/>
  <c r="G1234" i="4"/>
  <c r="M1234" i="4"/>
  <c r="C1235" i="4"/>
  <c r="E1235" i="4"/>
  <c r="G1235" i="4"/>
  <c r="M1235" i="4"/>
  <c r="C1236" i="4"/>
  <c r="E1236" i="4"/>
  <c r="G1236" i="4"/>
  <c r="M1236" i="4"/>
  <c r="C1237" i="4"/>
  <c r="E1237" i="4"/>
  <c r="G1237" i="4"/>
  <c r="M1237" i="4"/>
  <c r="C1238" i="4"/>
  <c r="E1238" i="4"/>
  <c r="G1238" i="4"/>
  <c r="M1238" i="4"/>
  <c r="C1239" i="4"/>
  <c r="E1239" i="4"/>
  <c r="G1239" i="4"/>
  <c r="M1239" i="4"/>
  <c r="C1240" i="4"/>
  <c r="E1240" i="4"/>
  <c r="G1240" i="4"/>
  <c r="M1240" i="4"/>
  <c r="C1241" i="4"/>
  <c r="E1241" i="4"/>
  <c r="G1241" i="4"/>
  <c r="M1241" i="4"/>
  <c r="C1242" i="4"/>
  <c r="E1242" i="4"/>
  <c r="G1242" i="4"/>
  <c r="M1242" i="4"/>
  <c r="C1243" i="4"/>
  <c r="E1243" i="4"/>
  <c r="G1243" i="4"/>
  <c r="M1243" i="4"/>
  <c r="C1244" i="4"/>
  <c r="E1244" i="4"/>
  <c r="G1244" i="4"/>
  <c r="M1244" i="4"/>
  <c r="C1245" i="4"/>
  <c r="E1245" i="4"/>
  <c r="G1245" i="4"/>
  <c r="M1245" i="4"/>
  <c r="C1246" i="4"/>
  <c r="E1246" i="4"/>
  <c r="G1246" i="4"/>
  <c r="M1246" i="4"/>
  <c r="C1247" i="4"/>
  <c r="E1247" i="4"/>
  <c r="G1247" i="4"/>
  <c r="M1247" i="4"/>
  <c r="C1248" i="4"/>
  <c r="E1248" i="4"/>
  <c r="G1248" i="4"/>
  <c r="M1248" i="4"/>
  <c r="C1249" i="4"/>
  <c r="E1249" i="4"/>
  <c r="G1249" i="4"/>
  <c r="M1249" i="4"/>
  <c r="C1250" i="4"/>
  <c r="E1250" i="4"/>
  <c r="G1250" i="4"/>
  <c r="M1250" i="4"/>
  <c r="C1251" i="4"/>
  <c r="E1251" i="4"/>
  <c r="G1251" i="4"/>
  <c r="M1251" i="4"/>
  <c r="C1252" i="4"/>
  <c r="E1252" i="4"/>
  <c r="G1252" i="4"/>
  <c r="M1252" i="4"/>
  <c r="C1253" i="4"/>
  <c r="E1253" i="4"/>
  <c r="G1253" i="4"/>
  <c r="M1253" i="4"/>
  <c r="C1254" i="4"/>
  <c r="E1254" i="4"/>
  <c r="G1254" i="4"/>
  <c r="M1254" i="4"/>
  <c r="C1255" i="4"/>
  <c r="E1255" i="4"/>
  <c r="G1255" i="4"/>
  <c r="M1255" i="4"/>
  <c r="C1256" i="4"/>
  <c r="E1256" i="4"/>
  <c r="G1256" i="4"/>
  <c r="M1256" i="4"/>
  <c r="C1257" i="4"/>
  <c r="E1257" i="4"/>
  <c r="G1257" i="4"/>
  <c r="M1257" i="4"/>
  <c r="C3" i="4"/>
  <c r="M3" i="4"/>
  <c r="M2" i="4"/>
  <c r="G2" i="4"/>
  <c r="E3" i="4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1" i="2"/>
  <c r="J340" i="2"/>
  <c r="J339" i="2"/>
  <c r="J338" i="2"/>
  <c r="J337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7" i="2"/>
  <c r="J196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B16" i="11" l="1"/>
  <c r="B13" i="11"/>
  <c r="B15" i="14"/>
  <c r="B12" i="14"/>
  <c r="B27" i="10"/>
  <c r="B24" i="10"/>
  <c r="B19" i="8"/>
  <c r="B16" i="8"/>
</calcChain>
</file>

<file path=xl/sharedStrings.xml><?xml version="1.0" encoding="utf-8"?>
<sst xmlns="http://schemas.openxmlformats.org/spreadsheetml/2006/main" count="32988" uniqueCount="1750">
  <si>
    <t>Nomes Inconsistentes</t>
  </si>
  <si>
    <t>Pedido</t>
  </si>
  <si>
    <t>Cliente</t>
  </si>
  <si>
    <t>Data</t>
  </si>
  <si>
    <t>Vendedor</t>
  </si>
  <si>
    <t>Categoria</t>
  </si>
  <si>
    <t>Produto</t>
  </si>
  <si>
    <t>Quantidade</t>
  </si>
  <si>
    <t>Valor Unitário</t>
  </si>
  <si>
    <t>Desconto</t>
  </si>
  <si>
    <t>Total</t>
  </si>
  <si>
    <t>Cidade</t>
  </si>
  <si>
    <t>REQ-10001</t>
  </si>
  <si>
    <t>Lucas Almeida</t>
  </si>
  <si>
    <t>2025-09-18</t>
  </si>
  <si>
    <t>Larissa Dias</t>
  </si>
  <si>
    <t>Livros</t>
  </si>
  <si>
    <t>Mindset Vencedor</t>
  </si>
  <si>
    <t>Rio de Janeiro</t>
  </si>
  <si>
    <t>REQ-10002</t>
  </si>
  <si>
    <t>Beatriz Ribeiro</t>
  </si>
  <si>
    <t>2025-11-24</t>
  </si>
  <si>
    <t>Amanda Costa</t>
  </si>
  <si>
    <t>Eletrodomésticos</t>
  </si>
  <si>
    <t>Liquidificador Turbo</t>
  </si>
  <si>
    <t>Recife</t>
  </si>
  <si>
    <t>REQ-10003</t>
  </si>
  <si>
    <t>Roberto Santos</t>
  </si>
  <si>
    <t>2025-09-01</t>
  </si>
  <si>
    <t>Camila Rocha</t>
  </si>
  <si>
    <t>Eletrônicos</t>
  </si>
  <si>
    <t>Smartphone X</t>
  </si>
  <si>
    <t>São Paulo</t>
  </si>
  <si>
    <t>REQ-10004</t>
  </si>
  <si>
    <t>Carlos Silva</t>
  </si>
  <si>
    <t>2025-06-01</t>
  </si>
  <si>
    <t>REQ-10005</t>
  </si>
  <si>
    <t>Patricia Gomes</t>
  </si>
  <si>
    <t>2025-01-05</t>
  </si>
  <si>
    <t>Rodrigo Mello</t>
  </si>
  <si>
    <t>REQ-10006</t>
  </si>
  <si>
    <t>João Pereira</t>
  </si>
  <si>
    <t>2025-12-13</t>
  </si>
  <si>
    <t>Cafeteira Espresso</t>
  </si>
  <si>
    <t>Curitiba</t>
  </si>
  <si>
    <t>REQ-10007</t>
  </si>
  <si>
    <t>2025-03-07</t>
  </si>
  <si>
    <t>Bruno Martins</t>
  </si>
  <si>
    <t>Air Fryer Max</t>
  </si>
  <si>
    <t>Porto Alegre</t>
  </si>
  <si>
    <t>REQ-10008</t>
  </si>
  <si>
    <t>2025-01-02</t>
  </si>
  <si>
    <t>Moda</t>
  </si>
  <si>
    <t>Calça Jeans Slim</t>
  </si>
  <si>
    <t>REQ-10009</t>
  </si>
  <si>
    <t>Ricardo Carvalho</t>
  </si>
  <si>
    <t>2025-11-04</t>
  </si>
  <si>
    <t>REQ-10010</t>
  </si>
  <si>
    <t>2025-09-20</t>
  </si>
  <si>
    <t>REQ-10011</t>
  </si>
  <si>
    <t>2025-04-16</t>
  </si>
  <si>
    <t>Jaqueta Corta-Vento</t>
  </si>
  <si>
    <t>REQ-10012</t>
  </si>
  <si>
    <t>Marcos Rodrigues</t>
  </si>
  <si>
    <t>2025-07-09</t>
  </si>
  <si>
    <t>Salvador</t>
  </si>
  <si>
    <t>REQ-10013</t>
  </si>
  <si>
    <t>2025-09-05</t>
  </si>
  <si>
    <t>Smartwatch Sync</t>
  </si>
  <si>
    <t>Brasília</t>
  </si>
  <si>
    <t>REQ-10014</t>
  </si>
  <si>
    <t>Juliana Costa</t>
  </si>
  <si>
    <t>2025-04-18</t>
  </si>
  <si>
    <t>REQ-10015</t>
  </si>
  <si>
    <t>2025-10-12</t>
  </si>
  <si>
    <t>Tênis Casual</t>
  </si>
  <si>
    <t>REQ-10016</t>
  </si>
  <si>
    <t>2025-02-20</t>
  </si>
  <si>
    <t>O Império da IA</t>
  </si>
  <si>
    <t>REQ-10017</t>
  </si>
  <si>
    <t>2025-06-05</t>
  </si>
  <si>
    <t>REQ-10018</t>
  </si>
  <si>
    <t>REQ-10019</t>
  </si>
  <si>
    <t>2025-04-01</t>
  </si>
  <si>
    <t>REQ-10020</t>
  </si>
  <si>
    <t>2025-02-27</t>
  </si>
  <si>
    <t>REQ-10021</t>
  </si>
  <si>
    <t>2025-12-05</t>
  </si>
  <si>
    <t>Micro-ondas 30L</t>
  </si>
  <si>
    <t>Belo Horizonte</t>
  </si>
  <si>
    <t>REQ-10022</t>
  </si>
  <si>
    <t>2025-07-22</t>
  </si>
  <si>
    <t>REQ-10023</t>
  </si>
  <si>
    <t>1900-01-01</t>
  </si>
  <si>
    <t>REQ-10024</t>
  </si>
  <si>
    <t>Maria Oliveira</t>
  </si>
  <si>
    <t>2025-08-10</t>
  </si>
  <si>
    <t>REQ-10025</t>
  </si>
  <si>
    <t>2025-01-09</t>
  </si>
  <si>
    <t>Camiseta Algodão</t>
  </si>
  <si>
    <t>REQ-10026</t>
  </si>
  <si>
    <t>Ana Souza</t>
  </si>
  <si>
    <t>2026-02-02</t>
  </si>
  <si>
    <t>Gestão Ágil de Projetos</t>
  </si>
  <si>
    <t>REQ-10027</t>
  </si>
  <si>
    <t>2025-09-02</t>
  </si>
  <si>
    <t>Fone Bluetooth</t>
  </si>
  <si>
    <t>REQ-10028</t>
  </si>
  <si>
    <t>2025-12-12</t>
  </si>
  <si>
    <t>REQ-10029</t>
  </si>
  <si>
    <t>Fernanda Lima</t>
  </si>
  <si>
    <t>2025-11-15</t>
  </si>
  <si>
    <t>REQ-10030</t>
  </si>
  <si>
    <t>2025-06-06</t>
  </si>
  <si>
    <t>REQ-10031</t>
  </si>
  <si>
    <t>2025-03-11</t>
  </si>
  <si>
    <t>Ficção: O Amanhã</t>
  </si>
  <si>
    <t>REQ-10032</t>
  </si>
  <si>
    <t>2025-03-20</t>
  </si>
  <si>
    <t>REQ-10033</t>
  </si>
  <si>
    <t>2025-03-14</t>
  </si>
  <si>
    <t>REQ-10034</t>
  </si>
  <si>
    <t>2025-06-09</t>
  </si>
  <si>
    <t>REQ-10035</t>
  </si>
  <si>
    <t>2025-08-19</t>
  </si>
  <si>
    <t>REQ-10036</t>
  </si>
  <si>
    <t>2025-07-23</t>
  </si>
  <si>
    <t>REQ-10037</t>
  </si>
  <si>
    <t>2025-06-18</t>
  </si>
  <si>
    <t>REQ-10038</t>
  </si>
  <si>
    <t>2025-08-18</t>
  </si>
  <si>
    <t>REQ-10039</t>
  </si>
  <si>
    <t>2025-03-31</t>
  </si>
  <si>
    <t>REQ-10040</t>
  </si>
  <si>
    <t>Ana de souza</t>
  </si>
  <si>
    <t>REQ-10041</t>
  </si>
  <si>
    <t>2025-02-07</t>
  </si>
  <si>
    <t>REQ-10042</t>
  </si>
  <si>
    <t>REQ-10043</t>
  </si>
  <si>
    <t>REQ-10044</t>
  </si>
  <si>
    <t>2025-07-14</t>
  </si>
  <si>
    <t>REQ-10045</t>
  </si>
  <si>
    <t>2025-05-19</t>
  </si>
  <si>
    <t>REQ-10046</t>
  </si>
  <si>
    <t>2025-09-23</t>
  </si>
  <si>
    <t>REQ-10047</t>
  </si>
  <si>
    <t>2025-07-19</t>
  </si>
  <si>
    <t>REQ-10048</t>
  </si>
  <si>
    <t>2025-05-21</t>
  </si>
  <si>
    <t>Camila R.</t>
  </si>
  <si>
    <t>REQ-10049</t>
  </si>
  <si>
    <t>2025-07-05</t>
  </si>
  <si>
    <t>Notebook Pro</t>
  </si>
  <si>
    <t>REQ-10050</t>
  </si>
  <si>
    <t>REQ-10051</t>
  </si>
  <si>
    <t>2025-01-11</t>
  </si>
  <si>
    <t>REQ-10052</t>
  </si>
  <si>
    <t>2025-07-24</t>
  </si>
  <si>
    <t>REQ-10053</t>
  </si>
  <si>
    <t>2025-09-17</t>
  </si>
  <si>
    <t>REQ-10054</t>
  </si>
  <si>
    <t>2025-02-28</t>
  </si>
  <si>
    <t>REQ-10055</t>
  </si>
  <si>
    <t>REQ-10056</t>
  </si>
  <si>
    <t>2026-01-09</t>
  </si>
  <si>
    <t>REQ-10057</t>
  </si>
  <si>
    <t>2025-06-22</t>
  </si>
  <si>
    <t>REQ-10058</t>
  </si>
  <si>
    <t>2025-08-05</t>
  </si>
  <si>
    <t>REQ-10059</t>
  </si>
  <si>
    <t>2025-10-06</t>
  </si>
  <si>
    <t>REQ-10060</t>
  </si>
  <si>
    <t>2025-06-15</t>
  </si>
  <si>
    <t>REQ-10061</t>
  </si>
  <si>
    <t>2026-01-07</t>
  </si>
  <si>
    <t>REQ-10062</t>
  </si>
  <si>
    <t>2025-07-01</t>
  </si>
  <si>
    <t>REQ-10063</t>
  </si>
  <si>
    <t>2025-10-11</t>
  </si>
  <si>
    <t>REQ-10064</t>
  </si>
  <si>
    <t>2025-04-06</t>
  </si>
  <si>
    <t>REQ-10065</t>
  </si>
  <si>
    <t>REQ-10066</t>
  </si>
  <si>
    <t>2025-05-25</t>
  </si>
  <si>
    <t>REQ-10067</t>
  </si>
  <si>
    <t>REQ-10068</t>
  </si>
  <si>
    <t>2025-05-15</t>
  </si>
  <si>
    <t>REQ-10069</t>
  </si>
  <si>
    <t>2025-11-11</t>
  </si>
  <si>
    <t>REQ-10070</t>
  </si>
  <si>
    <t>2025-09-28</t>
  </si>
  <si>
    <t>REQ-10071</t>
  </si>
  <si>
    <t>2025-04-29</t>
  </si>
  <si>
    <t>REQ-10072</t>
  </si>
  <si>
    <t>2025-11-26</t>
  </si>
  <si>
    <t>REQ-10073</t>
  </si>
  <si>
    <t>2025-03-27</t>
  </si>
  <si>
    <t>REQ-10074</t>
  </si>
  <si>
    <t>2025-02-14</t>
  </si>
  <si>
    <t>REQ-10075</t>
  </si>
  <si>
    <t>2025-08-01</t>
  </si>
  <si>
    <t>REQ-10076</t>
  </si>
  <si>
    <t>2026-01-16</t>
  </si>
  <si>
    <t>REQ-10077</t>
  </si>
  <si>
    <t>2026-01-26</t>
  </si>
  <si>
    <t>REQ-10078</t>
  </si>
  <si>
    <t>2025-09-06</t>
  </si>
  <si>
    <t>REQ-10079</t>
  </si>
  <si>
    <t>REQ-10080</t>
  </si>
  <si>
    <t>2025-12-27</t>
  </si>
  <si>
    <t>REQ-10081</t>
  </si>
  <si>
    <t>2025-09-19</t>
  </si>
  <si>
    <t>REQ-10082</t>
  </si>
  <si>
    <t>REQ-10083</t>
  </si>
  <si>
    <t>REQ-10084</t>
  </si>
  <si>
    <t>2025-11-28</t>
  </si>
  <si>
    <t>REQ-10085</t>
  </si>
  <si>
    <t>REQ-10086</t>
  </si>
  <si>
    <t>2025-03-19</t>
  </si>
  <si>
    <t>REQ-10087</t>
  </si>
  <si>
    <t>2025-04-13</t>
  </si>
  <si>
    <t>REQ-10088</t>
  </si>
  <si>
    <t>REQ-10089</t>
  </si>
  <si>
    <t>2025-12-30</t>
  </si>
  <si>
    <t>REQ-10090</t>
  </si>
  <si>
    <t>2026-01-17</t>
  </si>
  <si>
    <t>REQ-10091</t>
  </si>
  <si>
    <t>2025-07-15</t>
  </si>
  <si>
    <t>REQ-10092</t>
  </si>
  <si>
    <t>REQ-10093</t>
  </si>
  <si>
    <t>2026-02-01</t>
  </si>
  <si>
    <t>REQ-10094</t>
  </si>
  <si>
    <t>2025-02-12</t>
  </si>
  <si>
    <t>REQ-10095</t>
  </si>
  <si>
    <t>2025-01-26</t>
  </si>
  <si>
    <t>REQ-10096</t>
  </si>
  <si>
    <t>REQ-10097</t>
  </si>
  <si>
    <t>2025-04-02</t>
  </si>
  <si>
    <t>REQ-10098</t>
  </si>
  <si>
    <t>2025-06-10</t>
  </si>
  <si>
    <t>REQ-10099</t>
  </si>
  <si>
    <t>2025-03-08</t>
  </si>
  <si>
    <t>REQ-10100</t>
  </si>
  <si>
    <t>2025-08-11</t>
  </si>
  <si>
    <t>REQ-10101</t>
  </si>
  <si>
    <t>REQ-10102</t>
  </si>
  <si>
    <t>2026-01-27</t>
  </si>
  <si>
    <t>REQ-10103</t>
  </si>
  <si>
    <t>2025-11-01</t>
  </si>
  <si>
    <t>REQ-10104</t>
  </si>
  <si>
    <t>2025-01-29</t>
  </si>
  <si>
    <t>REQ-10105</t>
  </si>
  <si>
    <t>REQ-10106</t>
  </si>
  <si>
    <t>2025-05-28</t>
  </si>
  <si>
    <t>REQ-10107</t>
  </si>
  <si>
    <t>2026-01-13</t>
  </si>
  <si>
    <t>REQ-10108</t>
  </si>
  <si>
    <t>2025-06-08</t>
  </si>
  <si>
    <t>REQ-10109</t>
  </si>
  <si>
    <t>REQ-10110</t>
  </si>
  <si>
    <t>2025-03-06</t>
  </si>
  <si>
    <t>REQ-10111</t>
  </si>
  <si>
    <t>REQ-10112</t>
  </si>
  <si>
    <t>2025-01-27</t>
  </si>
  <si>
    <t>REQ-10113</t>
  </si>
  <si>
    <t>2025-02-15</t>
  </si>
  <si>
    <t>REQ-10114</t>
  </si>
  <si>
    <t>2025-01-25</t>
  </si>
  <si>
    <t>REQ-10115</t>
  </si>
  <si>
    <t>2025-08-02</t>
  </si>
  <si>
    <t>REQ-10116</t>
  </si>
  <si>
    <t>2025-08-22</t>
  </si>
  <si>
    <t>REQ-10117</t>
  </si>
  <si>
    <t>2025-04-30</t>
  </si>
  <si>
    <t>REQ-10118</t>
  </si>
  <si>
    <t>2025-05-18</t>
  </si>
  <si>
    <t>REQ-10119</t>
  </si>
  <si>
    <t>Carlos da Silva</t>
  </si>
  <si>
    <t>2025-09-16</t>
  </si>
  <si>
    <t>REQ-10120</t>
  </si>
  <si>
    <t>2025-08-24</t>
  </si>
  <si>
    <t>REQ-10121</t>
  </si>
  <si>
    <t>2025-11-23</t>
  </si>
  <si>
    <t>REQ-10122</t>
  </si>
  <si>
    <t>2026-01-10</t>
  </si>
  <si>
    <t>REQ-10123</t>
  </si>
  <si>
    <t>2025-02-24</t>
  </si>
  <si>
    <t>REQ-10124</t>
  </si>
  <si>
    <t>2025-03-28</t>
  </si>
  <si>
    <t>REQ-10125</t>
  </si>
  <si>
    <t>2025-08-15</t>
  </si>
  <si>
    <t>REQ-10126</t>
  </si>
  <si>
    <t>2025-05-08</t>
  </si>
  <si>
    <t>REQ-10127</t>
  </si>
  <si>
    <t>2025-12-08</t>
  </si>
  <si>
    <t>REQ-10128</t>
  </si>
  <si>
    <t>2026-01-19</t>
  </si>
  <si>
    <t>REQ-10129</t>
  </si>
  <si>
    <t>2025-02-09</t>
  </si>
  <si>
    <t>REQ-10130</t>
  </si>
  <si>
    <t>REQ-10131</t>
  </si>
  <si>
    <t>2025-03-16</t>
  </si>
  <si>
    <t>REQ-10132</t>
  </si>
  <si>
    <t>REQ-10133</t>
  </si>
  <si>
    <t>2025-12-25</t>
  </si>
  <si>
    <t>REQ-10134</t>
  </si>
  <si>
    <t>REQ-10135</t>
  </si>
  <si>
    <t>2025-06-14</t>
  </si>
  <si>
    <t>REQ-10136</t>
  </si>
  <si>
    <t>2025-07-30</t>
  </si>
  <si>
    <t>REQ-10137</t>
  </si>
  <si>
    <t>2025-12-11</t>
  </si>
  <si>
    <t>REQ-10138</t>
  </si>
  <si>
    <t>REQ-10139</t>
  </si>
  <si>
    <t>2025-05-26</t>
  </si>
  <si>
    <t>REQ-10140</t>
  </si>
  <si>
    <t>2026-01-21</t>
  </si>
  <si>
    <t>REQ-10141</t>
  </si>
  <si>
    <t>2025-03-01</t>
  </si>
  <si>
    <t>REQ-10142</t>
  </si>
  <si>
    <t>2026-02-03</t>
  </si>
  <si>
    <t>REQ-10143</t>
  </si>
  <si>
    <t>REQ-10144</t>
  </si>
  <si>
    <t>2025-07-20</t>
  </si>
  <si>
    <t>REQ-10145</t>
  </si>
  <si>
    <t>2026-01-12</t>
  </si>
  <si>
    <t>REQ-10146</t>
  </si>
  <si>
    <t>2025-10-25</t>
  </si>
  <si>
    <t>REQ-10147</t>
  </si>
  <si>
    <t>2026-01-14</t>
  </si>
  <si>
    <t>REQ-10148</t>
  </si>
  <si>
    <t>2025-07-16</t>
  </si>
  <si>
    <t>REQ-10149</t>
  </si>
  <si>
    <t>REQ-10150</t>
  </si>
  <si>
    <t>REQ-10151</t>
  </si>
  <si>
    <t>REQ-10152</t>
  </si>
  <si>
    <t>2025-02-08</t>
  </si>
  <si>
    <t>REQ-10153</t>
  </si>
  <si>
    <t>2025-01-04</t>
  </si>
  <si>
    <t>REQ-10154</t>
  </si>
  <si>
    <t>2025-02-02</t>
  </si>
  <si>
    <t>REQ-10155</t>
  </si>
  <si>
    <t>2025-11-12</t>
  </si>
  <si>
    <t>REQ-10156</t>
  </si>
  <si>
    <t>2025-05-24</t>
  </si>
  <si>
    <t>REQ-10157</t>
  </si>
  <si>
    <t>2032-12-25</t>
  </si>
  <si>
    <t>REQ-10158</t>
  </si>
  <si>
    <t>REQ-10159</t>
  </si>
  <si>
    <t>2025-10-09</t>
  </si>
  <si>
    <t>REQ-10160</t>
  </si>
  <si>
    <t>REQ-10161</t>
  </si>
  <si>
    <t>REQ-10162</t>
  </si>
  <si>
    <t>2025-04-27</t>
  </si>
  <si>
    <t>REQ-10163</t>
  </si>
  <si>
    <t>2025-08-26</t>
  </si>
  <si>
    <t>REQ-10164</t>
  </si>
  <si>
    <t>REQ-10165</t>
  </si>
  <si>
    <t>REQ-10166</t>
  </si>
  <si>
    <t>REQ-10167</t>
  </si>
  <si>
    <t>2025-05-01</t>
  </si>
  <si>
    <t>REQ-10168</t>
  </si>
  <si>
    <t>2025-11-19</t>
  </si>
  <si>
    <t>REQ-10169</t>
  </si>
  <si>
    <t>2025-06-30</t>
  </si>
  <si>
    <t>REQ-10170</t>
  </si>
  <si>
    <t>2025-05-29</t>
  </si>
  <si>
    <t>REQ-10171</t>
  </si>
  <si>
    <t>2025-01-16</t>
  </si>
  <si>
    <t>REQ-10172</t>
  </si>
  <si>
    <t>REQ-10173</t>
  </si>
  <si>
    <t>2025-12-16</t>
  </si>
  <si>
    <t>REQ-10174</t>
  </si>
  <si>
    <t>2026-01-02</t>
  </si>
  <si>
    <t>REQ-10175</t>
  </si>
  <si>
    <t>REQ-10176</t>
  </si>
  <si>
    <t>REQ-10177</t>
  </si>
  <si>
    <t>2025-11-14</t>
  </si>
  <si>
    <t>REQ-10178</t>
  </si>
  <si>
    <t>2025-05-20</t>
  </si>
  <si>
    <t>REQ-10179</t>
  </si>
  <si>
    <t>2026-01-15</t>
  </si>
  <si>
    <t>REQ-10180</t>
  </si>
  <si>
    <t>REQ-10181</t>
  </si>
  <si>
    <t>2026-02-05</t>
  </si>
  <si>
    <t>REQ-10182</t>
  </si>
  <si>
    <t>2025-08-14</t>
  </si>
  <si>
    <t>REQ-10183</t>
  </si>
  <si>
    <t>2025-05-13</t>
  </si>
  <si>
    <t>REQ-10184</t>
  </si>
  <si>
    <t>2025-01-13</t>
  </si>
  <si>
    <t>REQ-10185</t>
  </si>
  <si>
    <t>2025-07-29</t>
  </si>
  <si>
    <t>REQ-10186</t>
  </si>
  <si>
    <t>2025-10-24</t>
  </si>
  <si>
    <t>REQ-10187</t>
  </si>
  <si>
    <t>REQ-10188</t>
  </si>
  <si>
    <t>2025-08-07</t>
  </si>
  <si>
    <t>REQ-10189</t>
  </si>
  <si>
    <t>2025-10-21</t>
  </si>
  <si>
    <t>REQ-10190</t>
  </si>
  <si>
    <t>2025-04-25</t>
  </si>
  <si>
    <t>REQ-10191</t>
  </si>
  <si>
    <t>2025-10-19</t>
  </si>
  <si>
    <t>REQ-10192</t>
  </si>
  <si>
    <t>2025-12-28</t>
  </si>
  <si>
    <t>REQ-10193</t>
  </si>
  <si>
    <t>2025-11-08</t>
  </si>
  <si>
    <t>REQ-10194</t>
  </si>
  <si>
    <t>2025-08-16</t>
  </si>
  <si>
    <t>REQ-10195</t>
  </si>
  <si>
    <t>REQ-10196</t>
  </si>
  <si>
    <t>2025-11-30</t>
  </si>
  <si>
    <t>REQ-10197</t>
  </si>
  <si>
    <t>REQ-10198</t>
  </si>
  <si>
    <t>2025-07-04</t>
  </si>
  <si>
    <t>REQ-10199</t>
  </si>
  <si>
    <t>2025-09-21</t>
  </si>
  <si>
    <t>REQ-10200</t>
  </si>
  <si>
    <t>REQ-10201</t>
  </si>
  <si>
    <t>REQ-10202</t>
  </si>
  <si>
    <t>2025-09-26</t>
  </si>
  <si>
    <t>REQ-10203</t>
  </si>
  <si>
    <t>2025-04-24</t>
  </si>
  <si>
    <t>REQ-10204</t>
  </si>
  <si>
    <t>2025-04-04</t>
  </si>
  <si>
    <t>REQ-10205</t>
  </si>
  <si>
    <t>2025-06-12</t>
  </si>
  <si>
    <t>REQ-10206</t>
  </si>
  <si>
    <t>2025-01-01</t>
  </si>
  <si>
    <t>REQ-10207</t>
  </si>
  <si>
    <t>2025-02-13</t>
  </si>
  <si>
    <t>REQ-10208</t>
  </si>
  <si>
    <t>2025-03-22</t>
  </si>
  <si>
    <t>REQ-10209</t>
  </si>
  <si>
    <t>2026-01-25</t>
  </si>
  <si>
    <t>REQ-10210</t>
  </si>
  <si>
    <t>2025-09-14</t>
  </si>
  <si>
    <t>REQ-10211</t>
  </si>
  <si>
    <t>2025-12-09</t>
  </si>
  <si>
    <t>REQ-10212</t>
  </si>
  <si>
    <t>2025-10-29</t>
  </si>
  <si>
    <t>REQ-10213</t>
  </si>
  <si>
    <t>2025-10-04</t>
  </si>
  <si>
    <t>REQ-10214</t>
  </si>
  <si>
    <t>REQ-10215</t>
  </si>
  <si>
    <t>2025-10-16</t>
  </si>
  <si>
    <t>REQ-10216</t>
  </si>
  <si>
    <t>REQ-10217</t>
  </si>
  <si>
    <t>2025-09-12</t>
  </si>
  <si>
    <t>REQ-10218</t>
  </si>
  <si>
    <t>REQ-10219</t>
  </si>
  <si>
    <t>2025-01-28</t>
  </si>
  <si>
    <t>REQ-10220</t>
  </si>
  <si>
    <t>2025-12-02</t>
  </si>
  <si>
    <t>REQ-10221</t>
  </si>
  <si>
    <t>2025-11-22</t>
  </si>
  <si>
    <t>REQ-10222</t>
  </si>
  <si>
    <t>2025-02-19</t>
  </si>
  <si>
    <t>REQ-10223</t>
  </si>
  <si>
    <t>REQ-10224</t>
  </si>
  <si>
    <t>2025-01-07</t>
  </si>
  <si>
    <t>REQ-10225</t>
  </si>
  <si>
    <t>REQ-10226</t>
  </si>
  <si>
    <t>2025-02-06</t>
  </si>
  <si>
    <t>REQ-10227</t>
  </si>
  <si>
    <t>2025-07-25</t>
  </si>
  <si>
    <t>REQ-10228</t>
  </si>
  <si>
    <t>REQ-10229</t>
  </si>
  <si>
    <t>2026-02-04</t>
  </si>
  <si>
    <t>REQ-10230</t>
  </si>
  <si>
    <t>2025-12-10</t>
  </si>
  <si>
    <t>REQ-10231</t>
  </si>
  <si>
    <t>2025-04-23</t>
  </si>
  <si>
    <t>REQ-10232</t>
  </si>
  <si>
    <t>REQ-10233</t>
  </si>
  <si>
    <t>2025-10-22</t>
  </si>
  <si>
    <t>REQ-10234</t>
  </si>
  <si>
    <t>REQ-10235</t>
  </si>
  <si>
    <t>REQ-10236</t>
  </si>
  <si>
    <t>2025-10-26</t>
  </si>
  <si>
    <t>REQ-10237</t>
  </si>
  <si>
    <t>2025-11-20</t>
  </si>
  <si>
    <t>REQ-10238</t>
  </si>
  <si>
    <t>2025-09-22</t>
  </si>
  <si>
    <t>REQ-10239</t>
  </si>
  <si>
    <t>2025-02-04</t>
  </si>
  <si>
    <t>REQ-10240</t>
  </si>
  <si>
    <t>2025-08-27</t>
  </si>
  <si>
    <t>REQ-10241</t>
  </si>
  <si>
    <t>REQ-10242</t>
  </si>
  <si>
    <t>REQ-10243</t>
  </si>
  <si>
    <t>2025-10-27</t>
  </si>
  <si>
    <t>REQ-10244</t>
  </si>
  <si>
    <t>REQ-10245</t>
  </si>
  <si>
    <t>REQ-10246</t>
  </si>
  <si>
    <t>REQ-10247</t>
  </si>
  <si>
    <t>2025-01-22</t>
  </si>
  <si>
    <t>REQ-10248</t>
  </si>
  <si>
    <t>2025-10-08</t>
  </si>
  <si>
    <t>REQ-10249</t>
  </si>
  <si>
    <t>2025-01-14</t>
  </si>
  <si>
    <t>REQ-10250</t>
  </si>
  <si>
    <t>2025-05-16</t>
  </si>
  <si>
    <t>REQ-10251</t>
  </si>
  <si>
    <t>2025-12-04</t>
  </si>
  <si>
    <t>REQ-10252</t>
  </si>
  <si>
    <t>REQ-10253</t>
  </si>
  <si>
    <t>2025-11-06</t>
  </si>
  <si>
    <t>REQ-10254</t>
  </si>
  <si>
    <t>2025-01-21</t>
  </si>
  <si>
    <t>REQ-10255</t>
  </si>
  <si>
    <t>REQ-10256</t>
  </si>
  <si>
    <t>2025-06-17</t>
  </si>
  <si>
    <t>REQ-10257</t>
  </si>
  <si>
    <t>REQ-10258</t>
  </si>
  <si>
    <t>2025-02-18</t>
  </si>
  <si>
    <t>REQ-10259</t>
  </si>
  <si>
    <t>2025-05-23</t>
  </si>
  <si>
    <t>REQ-10260</t>
  </si>
  <si>
    <t>REQ-10261</t>
  </si>
  <si>
    <t>REQ-10262</t>
  </si>
  <si>
    <t>REQ-10263</t>
  </si>
  <si>
    <t>2025-11-18</t>
  </si>
  <si>
    <t>REQ-10264</t>
  </si>
  <si>
    <t>2025-10-15</t>
  </si>
  <si>
    <t>REQ-10265</t>
  </si>
  <si>
    <t>2025-04-20</t>
  </si>
  <si>
    <t>REQ-10266</t>
  </si>
  <si>
    <t>2025-11-29</t>
  </si>
  <si>
    <t>REQ-10267</t>
  </si>
  <si>
    <t>2025-04-07</t>
  </si>
  <si>
    <t>REQ-10268</t>
  </si>
  <si>
    <t>2025-10-02</t>
  </si>
  <si>
    <t>REQ-10269</t>
  </si>
  <si>
    <t>2025-07-08</t>
  </si>
  <si>
    <t>REQ-10270</t>
  </si>
  <si>
    <t>2025-09-24</t>
  </si>
  <si>
    <t>REQ-10271</t>
  </si>
  <si>
    <t>2025-12-20</t>
  </si>
  <si>
    <t>REQ-10272</t>
  </si>
  <si>
    <t>REQ-10273</t>
  </si>
  <si>
    <t>2025-01-18</t>
  </si>
  <si>
    <t>REQ-10274</t>
  </si>
  <si>
    <t>REQ-10275</t>
  </si>
  <si>
    <t>2025-09-11</t>
  </si>
  <si>
    <t>REQ-10276</t>
  </si>
  <si>
    <t>2025-04-21</t>
  </si>
  <si>
    <t>REQ-10277</t>
  </si>
  <si>
    <t>2025-10-20</t>
  </si>
  <si>
    <t>REQ-10278</t>
  </si>
  <si>
    <t>REQ-10279</t>
  </si>
  <si>
    <t>REQ-10280</t>
  </si>
  <si>
    <t>REQ-10281</t>
  </si>
  <si>
    <t>2025-07-10</t>
  </si>
  <si>
    <t>REQ-10282</t>
  </si>
  <si>
    <t>REQ-10283</t>
  </si>
  <si>
    <t>REQ-10284</t>
  </si>
  <si>
    <t>REQ-10285</t>
  </si>
  <si>
    <t>REQ-10286</t>
  </si>
  <si>
    <t>2025-02-05</t>
  </si>
  <si>
    <t>REQ-10287</t>
  </si>
  <si>
    <t>REQ-10288</t>
  </si>
  <si>
    <t>REQ-10289</t>
  </si>
  <si>
    <t>2025-06-24</t>
  </si>
  <si>
    <t>REQ-10290</t>
  </si>
  <si>
    <t>2025-08-25</t>
  </si>
  <si>
    <t>REQ-10291</t>
  </si>
  <si>
    <t>REQ-10292</t>
  </si>
  <si>
    <t>REQ-10293</t>
  </si>
  <si>
    <t>REQ-10294</t>
  </si>
  <si>
    <t>REQ-10295</t>
  </si>
  <si>
    <t>REQ-10296</t>
  </si>
  <si>
    <t>REQ-10297</t>
  </si>
  <si>
    <t>REQ-10298</t>
  </si>
  <si>
    <t>REQ-10299</t>
  </si>
  <si>
    <t>REQ-10300</t>
  </si>
  <si>
    <t>REQ-10301</t>
  </si>
  <si>
    <t>REQ-10302</t>
  </si>
  <si>
    <t>2025-09-09</t>
  </si>
  <si>
    <t>REQ-10303</t>
  </si>
  <si>
    <t>REQ-10304</t>
  </si>
  <si>
    <t>REQ-10305</t>
  </si>
  <si>
    <t>REQ-10306</t>
  </si>
  <si>
    <t>REQ-10307</t>
  </si>
  <si>
    <t>REQ-10308</t>
  </si>
  <si>
    <t>2025-06-13</t>
  </si>
  <si>
    <t>REQ-10309</t>
  </si>
  <si>
    <t>REQ-10310</t>
  </si>
  <si>
    <t>REQ-10311</t>
  </si>
  <si>
    <t>REQ-10312</t>
  </si>
  <si>
    <t>2025-10-17</t>
  </si>
  <si>
    <t>REQ-10313</t>
  </si>
  <si>
    <t>REQ-10314</t>
  </si>
  <si>
    <t>REQ-10315</t>
  </si>
  <si>
    <t>REQ-10316</t>
  </si>
  <si>
    <t>2025-02-17</t>
  </si>
  <si>
    <t>REQ-10317</t>
  </si>
  <si>
    <t>REQ-10318</t>
  </si>
  <si>
    <t>2025-10-14</t>
  </si>
  <si>
    <t>REQ-10319</t>
  </si>
  <si>
    <t>2025-06-23</t>
  </si>
  <si>
    <t>REQ-10320</t>
  </si>
  <si>
    <t>2025-12-01</t>
  </si>
  <si>
    <t>REQ-10321</t>
  </si>
  <si>
    <t>REQ-10322</t>
  </si>
  <si>
    <t>REQ-10323</t>
  </si>
  <si>
    <t>REQ-10324</t>
  </si>
  <si>
    <t>REQ-10325</t>
  </si>
  <si>
    <t>REQ-10326</t>
  </si>
  <si>
    <t>REQ-10327</t>
  </si>
  <si>
    <t>REQ-10328</t>
  </si>
  <si>
    <t>2025-09-08</t>
  </si>
  <si>
    <t>REQ-10329</t>
  </si>
  <si>
    <t>2025-02-03</t>
  </si>
  <si>
    <t>REQ-10330</t>
  </si>
  <si>
    <t>2025-04-22</t>
  </si>
  <si>
    <t>REQ-10331</t>
  </si>
  <si>
    <t>2025-04-10</t>
  </si>
  <si>
    <t>REQ-10332</t>
  </si>
  <si>
    <t>REQ-10333</t>
  </si>
  <si>
    <t>REQ-10334</t>
  </si>
  <si>
    <t>2026-01-01</t>
  </si>
  <si>
    <t>REQ-10335</t>
  </si>
  <si>
    <t>REQ-10336</t>
  </si>
  <si>
    <t>REQ-10337</t>
  </si>
  <si>
    <t>REQ-10338</t>
  </si>
  <si>
    <t>2025-07-02</t>
  </si>
  <si>
    <t>REQ-10339</t>
  </si>
  <si>
    <t>REQ-10340</t>
  </si>
  <si>
    <t>2025-12-14</t>
  </si>
  <si>
    <t>REQ-10341</t>
  </si>
  <si>
    <t>2025-12-17</t>
  </si>
  <si>
    <t>REQ-10342</t>
  </si>
  <si>
    <t>2025-12-18</t>
  </si>
  <si>
    <t>REQ-10343</t>
  </si>
  <si>
    <t>REQ-10344</t>
  </si>
  <si>
    <t>REQ-10345</t>
  </si>
  <si>
    <t>2025-04-05</t>
  </si>
  <si>
    <t>REQ-10346</t>
  </si>
  <si>
    <t>REQ-10347</t>
  </si>
  <si>
    <t>REQ-10348</t>
  </si>
  <si>
    <t>REQ-10349</t>
  </si>
  <si>
    <t>REQ-10350</t>
  </si>
  <si>
    <t>REQ-10351</t>
  </si>
  <si>
    <t>REQ-10352</t>
  </si>
  <si>
    <t>REQ-10353</t>
  </si>
  <si>
    <t>REQ-10354</t>
  </si>
  <si>
    <t>REQ-10355</t>
  </si>
  <si>
    <t>REQ-10356</t>
  </si>
  <si>
    <t>2025-11-13</t>
  </si>
  <si>
    <t>REQ-10357</t>
  </si>
  <si>
    <t>2025-10-05</t>
  </si>
  <si>
    <t>REQ-10358</t>
  </si>
  <si>
    <t>REQ-10359</t>
  </si>
  <si>
    <t>2025-08-23</t>
  </si>
  <si>
    <t>REQ-10360</t>
  </si>
  <si>
    <t>REQ-10361</t>
  </si>
  <si>
    <t>REQ-10362</t>
  </si>
  <si>
    <t>REQ-10363</t>
  </si>
  <si>
    <t>REQ-10364</t>
  </si>
  <si>
    <t>REQ-10365</t>
  </si>
  <si>
    <t>REQ-10366</t>
  </si>
  <si>
    <t>REQ-10367</t>
  </si>
  <si>
    <t>2025-05-06</t>
  </si>
  <si>
    <t>REQ-10368</t>
  </si>
  <si>
    <t>REQ-10369</t>
  </si>
  <si>
    <t>REQ-10370</t>
  </si>
  <si>
    <t>REQ-10371</t>
  </si>
  <si>
    <t>REQ-10372</t>
  </si>
  <si>
    <t>REQ-10373</t>
  </si>
  <si>
    <t>2026-01-20</t>
  </si>
  <si>
    <t>REQ-10374</t>
  </si>
  <si>
    <t>2025-09-04</t>
  </si>
  <si>
    <t>REQ-10375</t>
  </si>
  <si>
    <t>REQ-10376</t>
  </si>
  <si>
    <t>REQ-10377</t>
  </si>
  <si>
    <t>REQ-10378</t>
  </si>
  <si>
    <t>REQ-10379</t>
  </si>
  <si>
    <t>REQ-10380</t>
  </si>
  <si>
    <t>REQ-10381</t>
  </si>
  <si>
    <t>REQ-10382</t>
  </si>
  <si>
    <t>REQ-10383</t>
  </si>
  <si>
    <t>REQ-10384</t>
  </si>
  <si>
    <t>2025-04-09</t>
  </si>
  <si>
    <t>REQ-10385</t>
  </si>
  <si>
    <t>REQ-10386</t>
  </si>
  <si>
    <t>REQ-10387</t>
  </si>
  <si>
    <t>2025-10-13</t>
  </si>
  <si>
    <t>REQ-10388</t>
  </si>
  <si>
    <t>2025-05-17</t>
  </si>
  <si>
    <t>REQ-10389</t>
  </si>
  <si>
    <t>REQ-10390</t>
  </si>
  <si>
    <t>2025-05-14</t>
  </si>
  <si>
    <t>REQ-10391</t>
  </si>
  <si>
    <t>2025-08-08</t>
  </si>
  <si>
    <t>REQ-10392</t>
  </si>
  <si>
    <t>2025-09-27</t>
  </si>
  <si>
    <t>REQ-10393</t>
  </si>
  <si>
    <t>REQ-10394</t>
  </si>
  <si>
    <t>2025-12-22</t>
  </si>
  <si>
    <t>REQ-10395</t>
  </si>
  <si>
    <t>REQ-10396</t>
  </si>
  <si>
    <t>REQ-10397</t>
  </si>
  <si>
    <t>REQ-10398</t>
  </si>
  <si>
    <t>2025-08-17</t>
  </si>
  <si>
    <t>REQ-10399</t>
  </si>
  <si>
    <t>REQ-10400</t>
  </si>
  <si>
    <t>2025-11-16</t>
  </si>
  <si>
    <t>REQ-10401</t>
  </si>
  <si>
    <t>REQ-10402</t>
  </si>
  <si>
    <t>2025-03-10</t>
  </si>
  <si>
    <t>REQ-10403</t>
  </si>
  <si>
    <t>REQ-10404</t>
  </si>
  <si>
    <t>2025-11-05</t>
  </si>
  <si>
    <t>REQ-10405</t>
  </si>
  <si>
    <t>2025-05-04</t>
  </si>
  <si>
    <t>REQ-10406</t>
  </si>
  <si>
    <t>REQ-10407</t>
  </si>
  <si>
    <t>REQ-10408</t>
  </si>
  <si>
    <t>2025-09-03</t>
  </si>
  <si>
    <t>REQ-10409</t>
  </si>
  <si>
    <t>REQ-10410</t>
  </si>
  <si>
    <t>REQ-10411</t>
  </si>
  <si>
    <t>2025-05-07</t>
  </si>
  <si>
    <t>REQ-10412</t>
  </si>
  <si>
    <t>02/Fevereiro/2025</t>
  </si>
  <si>
    <t>REQ-10413</t>
  </si>
  <si>
    <t>2025-01-17</t>
  </si>
  <si>
    <t>REQ-10414</t>
  </si>
  <si>
    <t>REQ-10415</t>
  </si>
  <si>
    <t>REQ-10416</t>
  </si>
  <si>
    <t>REQ-10417</t>
  </si>
  <si>
    <t>REQ-10418</t>
  </si>
  <si>
    <t>REQ-10419</t>
  </si>
  <si>
    <t>REQ-10420</t>
  </si>
  <si>
    <t>REQ-10421</t>
  </si>
  <si>
    <t>REQ-10422</t>
  </si>
  <si>
    <t>2025-04-12</t>
  </si>
  <si>
    <t>REQ-10423</t>
  </si>
  <si>
    <t>2026-01-03</t>
  </si>
  <si>
    <t>REQ-10424</t>
  </si>
  <si>
    <t>2025-06-20</t>
  </si>
  <si>
    <t>REQ-10425</t>
  </si>
  <si>
    <t>REQ-10426</t>
  </si>
  <si>
    <t>REQ-10427</t>
  </si>
  <si>
    <t>REQ-10428</t>
  </si>
  <si>
    <t>REQ-10429</t>
  </si>
  <si>
    <t>2025-08-31</t>
  </si>
  <si>
    <t>REQ-10430</t>
  </si>
  <si>
    <t>2025-04-08</t>
  </si>
  <si>
    <t>REQ-10431</t>
  </si>
  <si>
    <t>2025-07-12</t>
  </si>
  <si>
    <t>REQ-10432</t>
  </si>
  <si>
    <t>REQ-10433</t>
  </si>
  <si>
    <t>REQ-10434</t>
  </si>
  <si>
    <t>2025-03-15</t>
  </si>
  <si>
    <t>REQ-10435</t>
  </si>
  <si>
    <t>REQ-10436</t>
  </si>
  <si>
    <t>2025-03-04</t>
  </si>
  <si>
    <t>REQ-10437</t>
  </si>
  <si>
    <t>2025-04-14</t>
  </si>
  <si>
    <t>REQ-10438</t>
  </si>
  <si>
    <t>REQ-10439</t>
  </si>
  <si>
    <t>2025-04-28</t>
  </si>
  <si>
    <t>REQ-10440</t>
  </si>
  <si>
    <t>REQ-10441</t>
  </si>
  <si>
    <t>REQ-10442</t>
  </si>
  <si>
    <t>2025-07-17</t>
  </si>
  <si>
    <t>REQ-10443</t>
  </si>
  <si>
    <t>REQ-10444</t>
  </si>
  <si>
    <t>REQ-10445</t>
  </si>
  <si>
    <t>REQ-10446</t>
  </si>
  <si>
    <t>2025-06-07</t>
  </si>
  <si>
    <t>REQ-10447</t>
  </si>
  <si>
    <t>REQ-10448</t>
  </si>
  <si>
    <t>REQ-10449</t>
  </si>
  <si>
    <t>REQ-10450</t>
  </si>
  <si>
    <t>REQ-10451</t>
  </si>
  <si>
    <t>2025-09-15</t>
  </si>
  <si>
    <t>REQ-10452</t>
  </si>
  <si>
    <t>REQ-10453</t>
  </si>
  <si>
    <t>2025-07-13</t>
  </si>
  <si>
    <t>REQ-10454</t>
  </si>
  <si>
    <t>2025-05-10</t>
  </si>
  <si>
    <t>REQ-10455</t>
  </si>
  <si>
    <t>REQ-10456</t>
  </si>
  <si>
    <t>2025-06-11</t>
  </si>
  <si>
    <t>REQ-10457</t>
  </si>
  <si>
    <t>2025-04-26</t>
  </si>
  <si>
    <t>REQ-10458</t>
  </si>
  <si>
    <t>REQ-10459</t>
  </si>
  <si>
    <t>2025-03-23</t>
  </si>
  <si>
    <t>REQ-10460</t>
  </si>
  <si>
    <t>REQ-10461</t>
  </si>
  <si>
    <t>REQ-10462</t>
  </si>
  <si>
    <t>2025-09-07</t>
  </si>
  <si>
    <t>REQ-10463</t>
  </si>
  <si>
    <t>REQ-10464</t>
  </si>
  <si>
    <t>REQ-10465</t>
  </si>
  <si>
    <t>REQ-10466</t>
  </si>
  <si>
    <t>REQ-10467</t>
  </si>
  <si>
    <t>2025-07-11</t>
  </si>
  <si>
    <t>REQ-10468</t>
  </si>
  <si>
    <t>REQ-10469</t>
  </si>
  <si>
    <t>2025-07-31</t>
  </si>
  <si>
    <t>REQ-10470</t>
  </si>
  <si>
    <t>REQ-10471</t>
  </si>
  <si>
    <t>REQ-10472</t>
  </si>
  <si>
    <t>2025-12-03</t>
  </si>
  <si>
    <t>REQ-10473</t>
  </si>
  <si>
    <t>REQ-10474</t>
  </si>
  <si>
    <t>REQ-10475</t>
  </si>
  <si>
    <t>2025-01-03</t>
  </si>
  <si>
    <t>REQ-10476</t>
  </si>
  <si>
    <t>REQ-10477</t>
  </si>
  <si>
    <t>REQ-10478</t>
  </si>
  <si>
    <t>REQ-10479</t>
  </si>
  <si>
    <t>REQ-10480</t>
  </si>
  <si>
    <t>REQ-10481</t>
  </si>
  <si>
    <t>REQ-10482</t>
  </si>
  <si>
    <t>REQ-10483</t>
  </si>
  <si>
    <t>REQ-10484</t>
  </si>
  <si>
    <t>REQ-10485</t>
  </si>
  <si>
    <t>REQ-10486</t>
  </si>
  <si>
    <t>2025-11-07</t>
  </si>
  <si>
    <t>REQ-10487</t>
  </si>
  <si>
    <t>REQ-10488</t>
  </si>
  <si>
    <t>2025-08-09</t>
  </si>
  <si>
    <t>REQ-10489</t>
  </si>
  <si>
    <t>REQ-10490</t>
  </si>
  <si>
    <t>REQ-10491</t>
  </si>
  <si>
    <t>2025-11-10</t>
  </si>
  <si>
    <t>REQ-10492</t>
  </si>
  <si>
    <t>REQ-10493</t>
  </si>
  <si>
    <t>2025-04-03</t>
  </si>
  <si>
    <t>REQ-10494</t>
  </si>
  <si>
    <t>REQ-10495</t>
  </si>
  <si>
    <t>REQ-10496</t>
  </si>
  <si>
    <t>REQ-10497</t>
  </si>
  <si>
    <t>REQ-10498</t>
  </si>
  <si>
    <t>REQ-10499</t>
  </si>
  <si>
    <t>REQ-10500</t>
  </si>
  <si>
    <t>REQ-10501</t>
  </si>
  <si>
    <t>REQ-10502</t>
  </si>
  <si>
    <t>REQ-10503</t>
  </si>
  <si>
    <t>REQ-10504</t>
  </si>
  <si>
    <t>REQ-10505</t>
  </si>
  <si>
    <t>REQ-10506</t>
  </si>
  <si>
    <t>REQ-10507</t>
  </si>
  <si>
    <t>REQ-10508</t>
  </si>
  <si>
    <t>2025-10-07</t>
  </si>
  <si>
    <t>REQ-10509</t>
  </si>
  <si>
    <t>REQ-10510</t>
  </si>
  <si>
    <t>REQ-10511</t>
  </si>
  <si>
    <t>2026-01-30</t>
  </si>
  <si>
    <t>REQ-10512</t>
  </si>
  <si>
    <t>2025-06-29</t>
  </si>
  <si>
    <t>REQ-10513</t>
  </si>
  <si>
    <t>REQ-10514</t>
  </si>
  <si>
    <t>2025-01-15</t>
  </si>
  <si>
    <t>REQ-10515</t>
  </si>
  <si>
    <t>REQ-10516</t>
  </si>
  <si>
    <t>REQ-10517</t>
  </si>
  <si>
    <t>REQ-10518</t>
  </si>
  <si>
    <t>2025-08-30</t>
  </si>
  <si>
    <t>REQ-10519</t>
  </si>
  <si>
    <t>REQ-10520</t>
  </si>
  <si>
    <t>2025-12-23</t>
  </si>
  <si>
    <t>REQ-10521</t>
  </si>
  <si>
    <t>REQ-10522</t>
  </si>
  <si>
    <t>REQ-10523</t>
  </si>
  <si>
    <t>REQ-10524</t>
  </si>
  <si>
    <t>REQ-10525</t>
  </si>
  <si>
    <t>REQ-10526</t>
  </si>
  <si>
    <t>2025-10-01</t>
  </si>
  <si>
    <t>REQ-10527</t>
  </si>
  <si>
    <t>REQ-10528</t>
  </si>
  <si>
    <t>REQ-10529</t>
  </si>
  <si>
    <t>REQ-10530</t>
  </si>
  <si>
    <t>2026-01-24</t>
  </si>
  <si>
    <t>REQ-10531</t>
  </si>
  <si>
    <t>REQ-10532</t>
  </si>
  <si>
    <t>REQ-10533</t>
  </si>
  <si>
    <t>2025-03-05</t>
  </si>
  <si>
    <t>REQ-10534</t>
  </si>
  <si>
    <t>REQ-10535</t>
  </si>
  <si>
    <t>REQ-10536</t>
  </si>
  <si>
    <t>REQ-10537</t>
  </si>
  <si>
    <t>REQ-10538</t>
  </si>
  <si>
    <t>REQ-10539</t>
  </si>
  <si>
    <t>REQ-10540</t>
  </si>
  <si>
    <t>REQ-10541</t>
  </si>
  <si>
    <t>REQ-10542</t>
  </si>
  <si>
    <t>REQ-10543</t>
  </si>
  <si>
    <t>REQ-10544</t>
  </si>
  <si>
    <t>REQ-10545</t>
  </si>
  <si>
    <t>REQ-10546</t>
  </si>
  <si>
    <t>REQ-10547</t>
  </si>
  <si>
    <t>REQ-10548</t>
  </si>
  <si>
    <t>2026-01-31</t>
  </si>
  <si>
    <t>REQ-10549</t>
  </si>
  <si>
    <t>2025-08-06</t>
  </si>
  <si>
    <t>REQ-10550</t>
  </si>
  <si>
    <t>2025-05-27</t>
  </si>
  <si>
    <t>REQ-10551</t>
  </si>
  <si>
    <t>2025-08-28</t>
  </si>
  <si>
    <t>REQ-10552</t>
  </si>
  <si>
    <t>REQ-10553</t>
  </si>
  <si>
    <t>2025-07-26</t>
  </si>
  <si>
    <t>REQ-10554</t>
  </si>
  <si>
    <t>REQ-10555</t>
  </si>
  <si>
    <t>REQ-10556</t>
  </si>
  <si>
    <t>2025-12-26</t>
  </si>
  <si>
    <t>REQ-10557</t>
  </si>
  <si>
    <t>REQ-10558</t>
  </si>
  <si>
    <t>REQ-10559</t>
  </si>
  <si>
    <t>2025-01-20</t>
  </si>
  <si>
    <t>REQ-10560</t>
  </si>
  <si>
    <t>2025-06-04</t>
  </si>
  <si>
    <t>REQ-10561</t>
  </si>
  <si>
    <t>REQ-10562</t>
  </si>
  <si>
    <t>REQ-10563</t>
  </si>
  <si>
    <t>REQ-10564</t>
  </si>
  <si>
    <t>REQ-10565</t>
  </si>
  <si>
    <t>REQ-10566</t>
  </si>
  <si>
    <t>REQ-10567</t>
  </si>
  <si>
    <t>2025-05-02</t>
  </si>
  <si>
    <t>REQ-10568</t>
  </si>
  <si>
    <t>REQ-10569</t>
  </si>
  <si>
    <t>REQ-10570</t>
  </si>
  <si>
    <t>2025-06-26</t>
  </si>
  <si>
    <t>REQ-10571</t>
  </si>
  <si>
    <t>REQ-10572</t>
  </si>
  <si>
    <t>REQ-10573</t>
  </si>
  <si>
    <t>REQ-10574</t>
  </si>
  <si>
    <t>REQ-10575</t>
  </si>
  <si>
    <t>REQ-10576</t>
  </si>
  <si>
    <t>2025-07-07</t>
  </si>
  <si>
    <t>REQ-10577</t>
  </si>
  <si>
    <t>REQ-10578</t>
  </si>
  <si>
    <t>REQ-10579</t>
  </si>
  <si>
    <t>REQ-10580</t>
  </si>
  <si>
    <t>REQ-10581</t>
  </si>
  <si>
    <t>REQ-10582</t>
  </si>
  <si>
    <t>REQ-10583</t>
  </si>
  <si>
    <t>REQ-10584</t>
  </si>
  <si>
    <t>REQ-10585</t>
  </si>
  <si>
    <t>REQ-10586</t>
  </si>
  <si>
    <t>REQ-10587</t>
  </si>
  <si>
    <t>REQ-10588</t>
  </si>
  <si>
    <t>REQ-10589</t>
  </si>
  <si>
    <t>REQ-10590</t>
  </si>
  <si>
    <t>REQ-10591</t>
  </si>
  <si>
    <t>2025-10-23</t>
  </si>
  <si>
    <t>REQ-10592</t>
  </si>
  <si>
    <t>REQ-10593</t>
  </si>
  <si>
    <t>REQ-10594</t>
  </si>
  <si>
    <t>REQ-10595</t>
  </si>
  <si>
    <t>REQ-10596</t>
  </si>
  <si>
    <t>REQ-10597</t>
  </si>
  <si>
    <t>REQ-10598</t>
  </si>
  <si>
    <t>2025-03-12</t>
  </si>
  <si>
    <t>REQ-10599</t>
  </si>
  <si>
    <t>REQ-10600</t>
  </si>
  <si>
    <t>2025-07-27</t>
  </si>
  <si>
    <t>REQ-10601</t>
  </si>
  <si>
    <t>REQ-10602</t>
  </si>
  <si>
    <t>REQ-10603</t>
  </si>
  <si>
    <t>2025-02-26</t>
  </si>
  <si>
    <t>REQ-10604</t>
  </si>
  <si>
    <t>REQ-10605</t>
  </si>
  <si>
    <t>REQ-10606</t>
  </si>
  <si>
    <t>REQ-10607</t>
  </si>
  <si>
    <t>REQ-10608</t>
  </si>
  <si>
    <t>2025-12-31</t>
  </si>
  <si>
    <t>REQ-10609</t>
  </si>
  <si>
    <t>REQ-10610</t>
  </si>
  <si>
    <t>REQ-10611</t>
  </si>
  <si>
    <t>REQ-10612</t>
  </si>
  <si>
    <t>REQ-10613</t>
  </si>
  <si>
    <t>REQ-10614</t>
  </si>
  <si>
    <t>REQ-10615</t>
  </si>
  <si>
    <t>REQ-10616</t>
  </si>
  <si>
    <t>REQ-10617</t>
  </si>
  <si>
    <t>2025-08-04</t>
  </si>
  <si>
    <t>REQ-10618</t>
  </si>
  <si>
    <t>REQ-10619</t>
  </si>
  <si>
    <t>REQ-10620</t>
  </si>
  <si>
    <t>2025-03-18</t>
  </si>
  <si>
    <t>REQ-10621</t>
  </si>
  <si>
    <t>REQ-10622</t>
  </si>
  <si>
    <t>REQ-10623</t>
  </si>
  <si>
    <t>REQ-10624</t>
  </si>
  <si>
    <t>REQ-10625</t>
  </si>
  <si>
    <t>REQ-10626</t>
  </si>
  <si>
    <t>2025-10-30</t>
  </si>
  <si>
    <t>REQ-10627</t>
  </si>
  <si>
    <t>2025-08-12</t>
  </si>
  <si>
    <t>REQ-10628</t>
  </si>
  <si>
    <t>REQ-10629</t>
  </si>
  <si>
    <t>REQ-10630</t>
  </si>
  <si>
    <t>REQ-10631</t>
  </si>
  <si>
    <t>REQ-10632</t>
  </si>
  <si>
    <t>2025-03-09</t>
  </si>
  <si>
    <t>REQ-10633</t>
  </si>
  <si>
    <t>REQ-10634</t>
  </si>
  <si>
    <t>REQ-10635</t>
  </si>
  <si>
    <t>2025-02-16</t>
  </si>
  <si>
    <t>REQ-10636</t>
  </si>
  <si>
    <t>2025-04-19</t>
  </si>
  <si>
    <t>REQ-10637</t>
  </si>
  <si>
    <t>REQ-10638</t>
  </si>
  <si>
    <t>2025-09-25</t>
  </si>
  <si>
    <t>REQ-10639</t>
  </si>
  <si>
    <t>REQ-10640</t>
  </si>
  <si>
    <t>REQ-10641</t>
  </si>
  <si>
    <t>REQ-10642</t>
  </si>
  <si>
    <t>2025-06-28</t>
  </si>
  <si>
    <t>REQ-10643</t>
  </si>
  <si>
    <t>REQ-10644</t>
  </si>
  <si>
    <t>2025-12-07</t>
  </si>
  <si>
    <t>REQ-10645</t>
  </si>
  <si>
    <t>REQ-10646</t>
  </si>
  <si>
    <t>REQ-10647</t>
  </si>
  <si>
    <t>REQ-10648</t>
  </si>
  <si>
    <t>REQ-10649</t>
  </si>
  <si>
    <t>2025-05-31</t>
  </si>
  <si>
    <t>REQ-10650</t>
  </si>
  <si>
    <t>2025-12-15</t>
  </si>
  <si>
    <t>REQ-10651</t>
  </si>
  <si>
    <t>REQ-10652</t>
  </si>
  <si>
    <t>REQ-10653</t>
  </si>
  <si>
    <t>REQ-10654</t>
  </si>
  <si>
    <t>2025-05-22</t>
  </si>
  <si>
    <t>REQ-10655</t>
  </si>
  <si>
    <t>REQ-10656</t>
  </si>
  <si>
    <t>2025-10-10</t>
  </si>
  <si>
    <t>REQ-10657</t>
  </si>
  <si>
    <t>REQ-10658</t>
  </si>
  <si>
    <t>REQ-10659</t>
  </si>
  <si>
    <t>REQ-10660</t>
  </si>
  <si>
    <t>REQ-10661</t>
  </si>
  <si>
    <t>REQ-10662</t>
  </si>
  <si>
    <t>REQ-10663</t>
  </si>
  <si>
    <t>REQ-10664</t>
  </si>
  <si>
    <t>REQ-10665</t>
  </si>
  <si>
    <t>REQ-10666</t>
  </si>
  <si>
    <t>REQ-10667</t>
  </si>
  <si>
    <t>REQ-10668</t>
  </si>
  <si>
    <t>2025-01-24</t>
  </si>
  <si>
    <t>REQ-10669</t>
  </si>
  <si>
    <t>REQ-10670</t>
  </si>
  <si>
    <t>REQ-10671</t>
  </si>
  <si>
    <t>2026-01-18</t>
  </si>
  <si>
    <t>REQ-10672</t>
  </si>
  <si>
    <t>2025-11-09</t>
  </si>
  <si>
    <t>REQ-10673</t>
  </si>
  <si>
    <t>2025-06-16</t>
  </si>
  <si>
    <t>REQ-10674</t>
  </si>
  <si>
    <t>2025-08-20</t>
  </si>
  <si>
    <t>REQ-10675</t>
  </si>
  <si>
    <t>REQ-10676</t>
  </si>
  <si>
    <t>REQ-10677</t>
  </si>
  <si>
    <t>REQ-10678</t>
  </si>
  <si>
    <t>REQ-10679</t>
  </si>
  <si>
    <t>2025-01-30</t>
  </si>
  <si>
    <t>REQ-10680</t>
  </si>
  <si>
    <t>REQ-10681</t>
  </si>
  <si>
    <t>REQ-10682</t>
  </si>
  <si>
    <t>REQ-10683</t>
  </si>
  <si>
    <t>REQ-10684</t>
  </si>
  <si>
    <t>2025-03-17</t>
  </si>
  <si>
    <t>REQ-10685</t>
  </si>
  <si>
    <t>2025-11-17</t>
  </si>
  <si>
    <t>REQ-10686</t>
  </si>
  <si>
    <t>2025-09-29</t>
  </si>
  <si>
    <t>REQ-10687</t>
  </si>
  <si>
    <t>REQ-10688</t>
  </si>
  <si>
    <t>REQ-10689</t>
  </si>
  <si>
    <t>REQ-10690</t>
  </si>
  <si>
    <t>2025-05-12</t>
  </si>
  <si>
    <t>REQ-10691</t>
  </si>
  <si>
    <t>REQ-10692</t>
  </si>
  <si>
    <t>2025-11-27</t>
  </si>
  <si>
    <t>REQ-10693</t>
  </si>
  <si>
    <t>REQ-10694</t>
  </si>
  <si>
    <t>REQ-10695</t>
  </si>
  <si>
    <t>REQ-10696</t>
  </si>
  <si>
    <t>REQ-10697</t>
  </si>
  <si>
    <t>2025-07-28</t>
  </si>
  <si>
    <t>REQ-10698</t>
  </si>
  <si>
    <t>REQ-10699</t>
  </si>
  <si>
    <t>REQ-10700</t>
  </si>
  <si>
    <t>2025-10-28</t>
  </si>
  <si>
    <t>REQ-10701</t>
  </si>
  <si>
    <t>REQ-10702</t>
  </si>
  <si>
    <t>REQ-10703</t>
  </si>
  <si>
    <t>REQ-10704</t>
  </si>
  <si>
    <t>REQ-10705</t>
  </si>
  <si>
    <t>REQ-10706</t>
  </si>
  <si>
    <t>2025-02-23</t>
  </si>
  <si>
    <t>REQ-10707</t>
  </si>
  <si>
    <t>REQ-10708</t>
  </si>
  <si>
    <t>REQ-10709</t>
  </si>
  <si>
    <t>REQ-10710</t>
  </si>
  <si>
    <t>REQ-10711</t>
  </si>
  <si>
    <t>REQ-10712</t>
  </si>
  <si>
    <t>REQ-10713</t>
  </si>
  <si>
    <t>REQ-10714</t>
  </si>
  <si>
    <t>REQ-10715</t>
  </si>
  <si>
    <t>REQ-10716</t>
  </si>
  <si>
    <t>2025-12-24</t>
  </si>
  <si>
    <t>REQ-10717</t>
  </si>
  <si>
    <t>REQ-10718</t>
  </si>
  <si>
    <t>REQ-10719</t>
  </si>
  <si>
    <t>2025-12-29</t>
  </si>
  <si>
    <t>REQ-10720</t>
  </si>
  <si>
    <t>REQ-10721</t>
  </si>
  <si>
    <t>2025-05-03</t>
  </si>
  <si>
    <t>REQ-10722</t>
  </si>
  <si>
    <t>REQ-10723</t>
  </si>
  <si>
    <t>2025-04-11</t>
  </si>
  <si>
    <t>REQ-10724</t>
  </si>
  <si>
    <t>REQ-10725</t>
  </si>
  <si>
    <t>REQ-10726</t>
  </si>
  <si>
    <t>REQ-10727</t>
  </si>
  <si>
    <t>REQ-10728</t>
  </si>
  <si>
    <t>REQ-10729</t>
  </si>
  <si>
    <t>REQ-10730</t>
  </si>
  <si>
    <t>REQ-10731</t>
  </si>
  <si>
    <t>REQ-10732</t>
  </si>
  <si>
    <t>2025-10-03</t>
  </si>
  <si>
    <t>REQ-10733</t>
  </si>
  <si>
    <t>REQ-10734</t>
  </si>
  <si>
    <t>REQ-10735</t>
  </si>
  <si>
    <t>REQ-10736</t>
  </si>
  <si>
    <t>REQ-10737</t>
  </si>
  <si>
    <t>REQ-10738</t>
  </si>
  <si>
    <t>2025-02-25</t>
  </si>
  <si>
    <t>REQ-10739</t>
  </si>
  <si>
    <t>2026-01-23</t>
  </si>
  <si>
    <t>REQ-10740</t>
  </si>
  <si>
    <t>REQ-10741</t>
  </si>
  <si>
    <t>2025-03-13</t>
  </si>
  <si>
    <t>REQ-10742</t>
  </si>
  <si>
    <t>REQ-10743</t>
  </si>
  <si>
    <t>2025-05-11</t>
  </si>
  <si>
    <t>REQ-10744</t>
  </si>
  <si>
    <t>REQ-10745</t>
  </si>
  <si>
    <t>REQ-10746</t>
  </si>
  <si>
    <t>2026-01-28</t>
  </si>
  <si>
    <t>REQ-10747</t>
  </si>
  <si>
    <t>2025-12-21</t>
  </si>
  <si>
    <t>REQ-10748</t>
  </si>
  <si>
    <t>REQ-10749</t>
  </si>
  <si>
    <t>REQ-10750</t>
  </si>
  <si>
    <t>REQ-10751</t>
  </si>
  <si>
    <t>REQ-10752</t>
  </si>
  <si>
    <t>REQ-10753</t>
  </si>
  <si>
    <t>REQ-10754</t>
  </si>
  <si>
    <t>REQ-10755</t>
  </si>
  <si>
    <t>REQ-10756</t>
  </si>
  <si>
    <t>REQ-10757</t>
  </si>
  <si>
    <t>REQ-10758</t>
  </si>
  <si>
    <t>REQ-10759</t>
  </si>
  <si>
    <t>REQ-10760</t>
  </si>
  <si>
    <t>REQ-10761</t>
  </si>
  <si>
    <t>REQ-10762</t>
  </si>
  <si>
    <t>REQ-10763</t>
  </si>
  <si>
    <t>2025-06-25</t>
  </si>
  <si>
    <t>REQ-10764</t>
  </si>
  <si>
    <t>REQ-10765</t>
  </si>
  <si>
    <t>REQ-10766</t>
  </si>
  <si>
    <t>REQ-10767</t>
  </si>
  <si>
    <t>REQ-10768</t>
  </si>
  <si>
    <t>REQ-10769</t>
  </si>
  <si>
    <t>REQ-10770</t>
  </si>
  <si>
    <t>REQ-10771</t>
  </si>
  <si>
    <t>REQ-10772</t>
  </si>
  <si>
    <t>REQ-10773</t>
  </si>
  <si>
    <t>REQ-10774</t>
  </si>
  <si>
    <t>REQ-10775</t>
  </si>
  <si>
    <t>REQ-10776</t>
  </si>
  <si>
    <t>REQ-10777</t>
  </si>
  <si>
    <t>REQ-10778</t>
  </si>
  <si>
    <t>REQ-10779</t>
  </si>
  <si>
    <t>REQ-10780</t>
  </si>
  <si>
    <t>REQ-10781</t>
  </si>
  <si>
    <t>REQ-10782</t>
  </si>
  <si>
    <t>REQ-10783</t>
  </si>
  <si>
    <t>REQ-10784</t>
  </si>
  <si>
    <t>REQ-10785</t>
  </si>
  <si>
    <t>REQ-10786</t>
  </si>
  <si>
    <t>REQ-10787</t>
  </si>
  <si>
    <t>REQ-10788</t>
  </si>
  <si>
    <t>REQ-10789</t>
  </si>
  <si>
    <t>REQ-10790</t>
  </si>
  <si>
    <t>REQ-10791</t>
  </si>
  <si>
    <t>REQ-10792</t>
  </si>
  <si>
    <t>REQ-10793</t>
  </si>
  <si>
    <t>REQ-10794</t>
  </si>
  <si>
    <t>REQ-10795</t>
  </si>
  <si>
    <t>REQ-10796</t>
  </si>
  <si>
    <t>REQ-10797</t>
  </si>
  <si>
    <t>REQ-10798</t>
  </si>
  <si>
    <t>REQ-10799</t>
  </si>
  <si>
    <t>REQ-10800</t>
  </si>
  <si>
    <t>REQ-10801</t>
  </si>
  <si>
    <t>REQ-10802</t>
  </si>
  <si>
    <t>REQ-10803</t>
  </si>
  <si>
    <t>REQ-10804</t>
  </si>
  <si>
    <t>REQ-10805</t>
  </si>
  <si>
    <t>REQ-10806</t>
  </si>
  <si>
    <t>REQ-10807</t>
  </si>
  <si>
    <t>REQ-10808</t>
  </si>
  <si>
    <t>REQ-10809</t>
  </si>
  <si>
    <t>REQ-10810</t>
  </si>
  <si>
    <t>REQ-10811</t>
  </si>
  <si>
    <t>REQ-10812</t>
  </si>
  <si>
    <t>REQ-10813</t>
  </si>
  <si>
    <t>REQ-10814</t>
  </si>
  <si>
    <t>REQ-10815</t>
  </si>
  <si>
    <t>REQ-10816</t>
  </si>
  <si>
    <t>REQ-10817</t>
  </si>
  <si>
    <t>REQ-10818</t>
  </si>
  <si>
    <t>REQ-10819</t>
  </si>
  <si>
    <t>REQ-10820</t>
  </si>
  <si>
    <t>REQ-10821</t>
  </si>
  <si>
    <t>2025-12-06</t>
  </si>
  <si>
    <t>REQ-10822</t>
  </si>
  <si>
    <t>REQ-10823</t>
  </si>
  <si>
    <t>REQ-10824</t>
  </si>
  <si>
    <t>REQ-10825</t>
  </si>
  <si>
    <t>REQ-10826</t>
  </si>
  <si>
    <t>REQ-10827</t>
  </si>
  <si>
    <t>REQ-10828</t>
  </si>
  <si>
    <t>REQ-10829</t>
  </si>
  <si>
    <t>2025-01-10</t>
  </si>
  <si>
    <t>REQ-10830</t>
  </si>
  <si>
    <t>REQ-10831</t>
  </si>
  <si>
    <t>REQ-10832</t>
  </si>
  <si>
    <t>REQ-10833</t>
  </si>
  <si>
    <t>REQ-10834</t>
  </si>
  <si>
    <t>REQ-10835</t>
  </si>
  <si>
    <t>REQ-10836</t>
  </si>
  <si>
    <t>REQ-10837</t>
  </si>
  <si>
    <t>REQ-10838</t>
  </si>
  <si>
    <t>REQ-10839</t>
  </si>
  <si>
    <t>REQ-10840</t>
  </si>
  <si>
    <t>REQ-10841</t>
  </si>
  <si>
    <t>REQ-10842</t>
  </si>
  <si>
    <t>REQ-10843</t>
  </si>
  <si>
    <t>REQ-10844</t>
  </si>
  <si>
    <t>REQ-10845</t>
  </si>
  <si>
    <t>REQ-10846</t>
  </si>
  <si>
    <t>REQ-10847</t>
  </si>
  <si>
    <t>REQ-10848</t>
  </si>
  <si>
    <t>REQ-10849</t>
  </si>
  <si>
    <t>REQ-10850</t>
  </si>
  <si>
    <t>REQ-10851</t>
  </si>
  <si>
    <t>2025-03-24</t>
  </si>
  <si>
    <t>REQ-10852</t>
  </si>
  <si>
    <t>2025-11-21</t>
  </si>
  <si>
    <t>REQ-10853</t>
  </si>
  <si>
    <t>2025-10-18</t>
  </si>
  <si>
    <t>REQ-10854</t>
  </si>
  <si>
    <t>REQ-10855</t>
  </si>
  <si>
    <t>REQ-10856</t>
  </si>
  <si>
    <t>REQ-10857</t>
  </si>
  <si>
    <t>REQ-10858</t>
  </si>
  <si>
    <t>REQ-10859</t>
  </si>
  <si>
    <t>REQ-10860</t>
  </si>
  <si>
    <t>REQ-10861</t>
  </si>
  <si>
    <t>REQ-10862</t>
  </si>
  <si>
    <t>REQ-10863</t>
  </si>
  <si>
    <t>REQ-10864</t>
  </si>
  <si>
    <t>REQ-10865</t>
  </si>
  <si>
    <t>REQ-10866</t>
  </si>
  <si>
    <t>REQ-10867</t>
  </si>
  <si>
    <t>REQ-10868</t>
  </si>
  <si>
    <t>2025-06-21</t>
  </si>
  <si>
    <t>REQ-10869</t>
  </si>
  <si>
    <t>REQ-10870</t>
  </si>
  <si>
    <t>REQ-10871</t>
  </si>
  <si>
    <t>2025-07-06</t>
  </si>
  <si>
    <t>REQ-10872</t>
  </si>
  <si>
    <t>REQ-10873</t>
  </si>
  <si>
    <t>REQ-10874</t>
  </si>
  <si>
    <t>REQ-10875</t>
  </si>
  <si>
    <t>REQ-10876</t>
  </si>
  <si>
    <t>REQ-10877</t>
  </si>
  <si>
    <t>REQ-10878</t>
  </si>
  <si>
    <t>REQ-10879</t>
  </si>
  <si>
    <t>REQ-10880</t>
  </si>
  <si>
    <t>REQ-10881</t>
  </si>
  <si>
    <t>REQ-10882</t>
  </si>
  <si>
    <t>REQ-10883</t>
  </si>
  <si>
    <t>REQ-10884</t>
  </si>
  <si>
    <t>REQ-10885</t>
  </si>
  <si>
    <t>2025-04-15</t>
  </si>
  <si>
    <t>REQ-10886</t>
  </si>
  <si>
    <t>REQ-10887</t>
  </si>
  <si>
    <t>REQ-10888</t>
  </si>
  <si>
    <t>REQ-10889</t>
  </si>
  <si>
    <t>REQ-10890</t>
  </si>
  <si>
    <t>REQ-10891</t>
  </si>
  <si>
    <t>REQ-10892</t>
  </si>
  <si>
    <t>REQ-10893</t>
  </si>
  <si>
    <t>REQ-10894</t>
  </si>
  <si>
    <t>REQ-10895</t>
  </si>
  <si>
    <t>REQ-10896</t>
  </si>
  <si>
    <t>REQ-10897</t>
  </si>
  <si>
    <t>REQ-10898</t>
  </si>
  <si>
    <t>REQ-10899</t>
  </si>
  <si>
    <t>REQ-10900</t>
  </si>
  <si>
    <t>REQ-10901</t>
  </si>
  <si>
    <t>REQ-10902</t>
  </si>
  <si>
    <t>2025-07-21</t>
  </si>
  <si>
    <t>REQ-10903</t>
  </si>
  <si>
    <t>REQ-10904</t>
  </si>
  <si>
    <t>REQ-10905</t>
  </si>
  <si>
    <t>REQ-10906</t>
  </si>
  <si>
    <t>REQ-10907</t>
  </si>
  <si>
    <t>REQ-10908</t>
  </si>
  <si>
    <t>REQ-10909</t>
  </si>
  <si>
    <t>REQ-10910</t>
  </si>
  <si>
    <t>REQ-10911</t>
  </si>
  <si>
    <t>REQ-10912</t>
  </si>
  <si>
    <t>REQ-10913</t>
  </si>
  <si>
    <t>REQ-10914</t>
  </si>
  <si>
    <t>2025-02-10</t>
  </si>
  <si>
    <t>REQ-10915</t>
  </si>
  <si>
    <t>REQ-10916</t>
  </si>
  <si>
    <t>REQ-10917</t>
  </si>
  <si>
    <t>REQ-10918</t>
  </si>
  <si>
    <t>REQ-10919</t>
  </si>
  <si>
    <t>REQ-10920</t>
  </si>
  <si>
    <t>REQ-10921</t>
  </si>
  <si>
    <t>REQ-10922</t>
  </si>
  <si>
    <t>2025-01-23</t>
  </si>
  <si>
    <t>REQ-10923</t>
  </si>
  <si>
    <t>REQ-10924</t>
  </si>
  <si>
    <t>REQ-10925</t>
  </si>
  <si>
    <t>REQ-10926</t>
  </si>
  <si>
    <t>REQ-10927</t>
  </si>
  <si>
    <t>REQ-10928</t>
  </si>
  <si>
    <t>REQ-10929</t>
  </si>
  <si>
    <t>REQ-10930</t>
  </si>
  <si>
    <t>REQ-10931</t>
  </si>
  <si>
    <t>2025-06-27</t>
  </si>
  <si>
    <t>REQ-10932</t>
  </si>
  <si>
    <t>2025-05-09</t>
  </si>
  <si>
    <t>REQ-10933</t>
  </si>
  <si>
    <t>REQ-10934</t>
  </si>
  <si>
    <t>REQ-10935</t>
  </si>
  <si>
    <t>REQ-10936</t>
  </si>
  <si>
    <t>REQ-10937</t>
  </si>
  <si>
    <t>REQ-10938</t>
  </si>
  <si>
    <t>REQ-10939</t>
  </si>
  <si>
    <t>REQ-10940</t>
  </si>
  <si>
    <t>REQ-10941</t>
  </si>
  <si>
    <t>REQ-10942</t>
  </si>
  <si>
    <t>REQ-10943</t>
  </si>
  <si>
    <t>REQ-10944</t>
  </si>
  <si>
    <t>2025-07-18</t>
  </si>
  <si>
    <t>REQ-10945</t>
  </si>
  <si>
    <t>REQ-10946</t>
  </si>
  <si>
    <t>REQ-10947</t>
  </si>
  <si>
    <t>2025-11-03</t>
  </si>
  <si>
    <t>REQ-10948</t>
  </si>
  <si>
    <t>2025-03-02</t>
  </si>
  <si>
    <t>REQ-10949</t>
  </si>
  <si>
    <t>REQ-10950</t>
  </si>
  <si>
    <t>REQ-10951</t>
  </si>
  <si>
    <t>REQ-10952</t>
  </si>
  <si>
    <t>REQ-10953</t>
  </si>
  <si>
    <t>REQ-10954</t>
  </si>
  <si>
    <t>REQ-10955</t>
  </si>
  <si>
    <t>REQ-10956</t>
  </si>
  <si>
    <t>REQ-10957</t>
  </si>
  <si>
    <t>REQ-10958</t>
  </si>
  <si>
    <t>REQ-10959</t>
  </si>
  <si>
    <t>REQ-10960</t>
  </si>
  <si>
    <t>REQ-10961</t>
  </si>
  <si>
    <t>REQ-10962</t>
  </si>
  <si>
    <t>REQ-10963</t>
  </si>
  <si>
    <t>REQ-10964</t>
  </si>
  <si>
    <t>REQ-10965</t>
  </si>
  <si>
    <t>REQ-10966</t>
  </si>
  <si>
    <t>REQ-10967</t>
  </si>
  <si>
    <t>REQ-10968</t>
  </si>
  <si>
    <t>REQ-10969</t>
  </si>
  <si>
    <t>REQ-10970</t>
  </si>
  <si>
    <t>REQ-10971</t>
  </si>
  <si>
    <t>REQ-10972</t>
  </si>
  <si>
    <t>REQ-10973</t>
  </si>
  <si>
    <t>REQ-10974</t>
  </si>
  <si>
    <t>REQ-10975</t>
  </si>
  <si>
    <t>REQ-10976</t>
  </si>
  <si>
    <t>2025-03-03</t>
  </si>
  <si>
    <t>REQ-10977</t>
  </si>
  <si>
    <t>REQ-10978</t>
  </si>
  <si>
    <t>REQ-10979</t>
  </si>
  <si>
    <t>REQ-10980</t>
  </si>
  <si>
    <t>REQ-10981</t>
  </si>
  <si>
    <t>REQ-10982</t>
  </si>
  <si>
    <t>REQ-10983</t>
  </si>
  <si>
    <t>REQ-10984</t>
  </si>
  <si>
    <t>REQ-10985</t>
  </si>
  <si>
    <t>REQ-10986</t>
  </si>
  <si>
    <t>REQ-10987</t>
  </si>
  <si>
    <t>REQ-10988</t>
  </si>
  <si>
    <t>REQ-10989</t>
  </si>
  <si>
    <t>REQ-10990</t>
  </si>
  <si>
    <t>REQ-10991</t>
  </si>
  <si>
    <t>REQ-10992</t>
  </si>
  <si>
    <t>REQ-10993</t>
  </si>
  <si>
    <t>REQ-10994</t>
  </si>
  <si>
    <t>REQ-10995</t>
  </si>
  <si>
    <t>REQ-10996</t>
  </si>
  <si>
    <t>REQ-10997</t>
  </si>
  <si>
    <t>REQ-10998</t>
  </si>
  <si>
    <t>REQ-10999</t>
  </si>
  <si>
    <t>REQ-11000</t>
  </si>
  <si>
    <t>REQ-11001</t>
  </si>
  <si>
    <t>REQ-11002</t>
  </si>
  <si>
    <t>REQ-11003</t>
  </si>
  <si>
    <t>REQ-11004</t>
  </si>
  <si>
    <t>2025-02-01</t>
  </si>
  <si>
    <t>REQ-11005</t>
  </si>
  <si>
    <t>REQ-11006</t>
  </si>
  <si>
    <t>REQ-11007</t>
  </si>
  <si>
    <t>REQ-11008</t>
  </si>
  <si>
    <t>REQ-11009</t>
  </si>
  <si>
    <t>REQ-11010</t>
  </si>
  <si>
    <t>REQ-11011</t>
  </si>
  <si>
    <t>REQ-11012</t>
  </si>
  <si>
    <t>REQ-11013</t>
  </si>
  <si>
    <t>REQ-11014</t>
  </si>
  <si>
    <t>REQ-11015</t>
  </si>
  <si>
    <t>REQ-11016</t>
  </si>
  <si>
    <t>REQ-11017</t>
  </si>
  <si>
    <t>REQ-11018</t>
  </si>
  <si>
    <t>REQ-11019</t>
  </si>
  <si>
    <t>REQ-11020</t>
  </si>
  <si>
    <t>REQ-11021</t>
  </si>
  <si>
    <t>REQ-11022</t>
  </si>
  <si>
    <t>REQ-11023</t>
  </si>
  <si>
    <t>REQ-11024</t>
  </si>
  <si>
    <t>REQ-11025</t>
  </si>
  <si>
    <t>REQ-11026</t>
  </si>
  <si>
    <t>REQ-11027</t>
  </si>
  <si>
    <t>REQ-11028</t>
  </si>
  <si>
    <t>REQ-11029</t>
  </si>
  <si>
    <t>REQ-11030</t>
  </si>
  <si>
    <t>REQ-11031</t>
  </si>
  <si>
    <t>REQ-11032</t>
  </si>
  <si>
    <t>REQ-11033</t>
  </si>
  <si>
    <t>REQ-11034</t>
  </si>
  <si>
    <t>REQ-11035</t>
  </si>
  <si>
    <t>REQ-11036</t>
  </si>
  <si>
    <t>REQ-11037</t>
  </si>
  <si>
    <t>REQ-11038</t>
  </si>
  <si>
    <t>REQ-11039</t>
  </si>
  <si>
    <t>REQ-11040</t>
  </si>
  <si>
    <t>REQ-11041</t>
  </si>
  <si>
    <t>REQ-11042</t>
  </si>
  <si>
    <t>REQ-11043</t>
  </si>
  <si>
    <t>REQ-11044</t>
  </si>
  <si>
    <t>REQ-11045</t>
  </si>
  <si>
    <t>REQ-11046</t>
  </si>
  <si>
    <t>REQ-11047</t>
  </si>
  <si>
    <t>REQ-11048</t>
  </si>
  <si>
    <t>REQ-11049</t>
  </si>
  <si>
    <t>REQ-11050</t>
  </si>
  <si>
    <t>REQ-11051</t>
  </si>
  <si>
    <t>REQ-11052</t>
  </si>
  <si>
    <t>REQ-11053</t>
  </si>
  <si>
    <t>REQ-11054</t>
  </si>
  <si>
    <t>REQ-11055</t>
  </si>
  <si>
    <t>REQ-11056</t>
  </si>
  <si>
    <t>REQ-11057</t>
  </si>
  <si>
    <t>REQ-11058</t>
  </si>
  <si>
    <t>REQ-11059</t>
  </si>
  <si>
    <t>REQ-11060</t>
  </si>
  <si>
    <t>2025-02-21</t>
  </si>
  <si>
    <t>REQ-11061</t>
  </si>
  <si>
    <t>REQ-11062</t>
  </si>
  <si>
    <t>REQ-11063</t>
  </si>
  <si>
    <t>REQ-11064</t>
  </si>
  <si>
    <t>REQ-11065</t>
  </si>
  <si>
    <t>REQ-11066</t>
  </si>
  <si>
    <t>REQ-11067</t>
  </si>
  <si>
    <t>REQ-11068</t>
  </si>
  <si>
    <t>REQ-11069</t>
  </si>
  <si>
    <t>REQ-11070</t>
  </si>
  <si>
    <t>REQ-11071</t>
  </si>
  <si>
    <t>REQ-11072</t>
  </si>
  <si>
    <t>REQ-11073</t>
  </si>
  <si>
    <t>REQ-11074</t>
  </si>
  <si>
    <t>REQ-11075</t>
  </si>
  <si>
    <t>REQ-11076</t>
  </si>
  <si>
    <t>REQ-11077</t>
  </si>
  <si>
    <t>REQ-11078</t>
  </si>
  <si>
    <t>REQ-11079</t>
  </si>
  <si>
    <t>REQ-11080</t>
  </si>
  <si>
    <t>REQ-11081</t>
  </si>
  <si>
    <t>REQ-11082</t>
  </si>
  <si>
    <t>REQ-11083</t>
  </si>
  <si>
    <t>REQ-11084</t>
  </si>
  <si>
    <t>REQ-11085</t>
  </si>
  <si>
    <t>REQ-11086</t>
  </si>
  <si>
    <t>REQ-11087</t>
  </si>
  <si>
    <t>REQ-11088</t>
  </si>
  <si>
    <t>REQ-11089</t>
  </si>
  <si>
    <t>2025-09-10</t>
  </si>
  <si>
    <t>REQ-11090</t>
  </si>
  <si>
    <t>REQ-11091</t>
  </si>
  <si>
    <t>REQ-11092</t>
  </si>
  <si>
    <t>REQ-11093</t>
  </si>
  <si>
    <t>REQ-11094</t>
  </si>
  <si>
    <t>REQ-11095</t>
  </si>
  <si>
    <t>REQ-11096</t>
  </si>
  <si>
    <t>REQ-11097</t>
  </si>
  <si>
    <t>REQ-11098</t>
  </si>
  <si>
    <t>REQ-11099</t>
  </si>
  <si>
    <t>REQ-11100</t>
  </si>
  <si>
    <t>REQ-11101</t>
  </si>
  <si>
    <t>REQ-11102</t>
  </si>
  <si>
    <t>REQ-11103</t>
  </si>
  <si>
    <t>REQ-11104</t>
  </si>
  <si>
    <t>REQ-11105</t>
  </si>
  <si>
    <t>REQ-11106</t>
  </si>
  <si>
    <t>REQ-11107</t>
  </si>
  <si>
    <t>REQ-11108</t>
  </si>
  <si>
    <t>REQ-11109</t>
  </si>
  <si>
    <t>REQ-11110</t>
  </si>
  <si>
    <t>REQ-11111</t>
  </si>
  <si>
    <t>REQ-11112</t>
  </si>
  <si>
    <t>REQ-11113</t>
  </si>
  <si>
    <t>REQ-11114</t>
  </si>
  <si>
    <t>2025-03-21</t>
  </si>
  <si>
    <t>REQ-11115</t>
  </si>
  <si>
    <t>REQ-11116</t>
  </si>
  <si>
    <t>REQ-11117</t>
  </si>
  <si>
    <t>REQ-11118</t>
  </si>
  <si>
    <t>REQ-11119</t>
  </si>
  <si>
    <t>REQ-11120</t>
  </si>
  <si>
    <t>REQ-11121</t>
  </si>
  <si>
    <t>REQ-11122</t>
  </si>
  <si>
    <t>REQ-11123</t>
  </si>
  <si>
    <t>REQ-11124</t>
  </si>
  <si>
    <t>2025-12-19</t>
  </si>
  <si>
    <t>REQ-11125</t>
  </si>
  <si>
    <t>2025-09-30</t>
  </si>
  <si>
    <t>REQ-11126</t>
  </si>
  <si>
    <t>REQ-11127</t>
  </si>
  <si>
    <t>REQ-11128</t>
  </si>
  <si>
    <t>REQ-11129</t>
  </si>
  <si>
    <t>REQ-11130</t>
  </si>
  <si>
    <t>REQ-11131</t>
  </si>
  <si>
    <t>REQ-11132</t>
  </si>
  <si>
    <t>REQ-11133</t>
  </si>
  <si>
    <t>REQ-11134</t>
  </si>
  <si>
    <t>REQ-11135</t>
  </si>
  <si>
    <t>REQ-11136</t>
  </si>
  <si>
    <t>REQ-11137</t>
  </si>
  <si>
    <t>REQ-11138</t>
  </si>
  <si>
    <t>REQ-11139</t>
  </si>
  <si>
    <t>REQ-11140</t>
  </si>
  <si>
    <t>REQ-11141</t>
  </si>
  <si>
    <t>REQ-11142</t>
  </si>
  <si>
    <t>REQ-11143</t>
  </si>
  <si>
    <t>REQ-11144</t>
  </si>
  <si>
    <t>REQ-11145</t>
  </si>
  <si>
    <t>REQ-11146</t>
  </si>
  <si>
    <t>REQ-11147</t>
  </si>
  <si>
    <t>2025-07-03</t>
  </si>
  <si>
    <t>REQ-11148</t>
  </si>
  <si>
    <t>REQ-11149</t>
  </si>
  <si>
    <t>REQ-11150</t>
  </si>
  <si>
    <t>REQ-11151</t>
  </si>
  <si>
    <t>2026-01-05</t>
  </si>
  <si>
    <t>REQ-11152</t>
  </si>
  <si>
    <t>REQ-11153</t>
  </si>
  <si>
    <t>REQ-11154</t>
  </si>
  <si>
    <t>REQ-11155</t>
  </si>
  <si>
    <t>REQ-11156</t>
  </si>
  <si>
    <t>2026-01-06</t>
  </si>
  <si>
    <t>REQ-11157</t>
  </si>
  <si>
    <t>REQ-11158</t>
  </si>
  <si>
    <t>REQ-11159</t>
  </si>
  <si>
    <t>REQ-11160</t>
  </si>
  <si>
    <t>REQ-11161</t>
  </si>
  <si>
    <t>REQ-11162</t>
  </si>
  <si>
    <t>REQ-11163</t>
  </si>
  <si>
    <t>REQ-11164</t>
  </si>
  <si>
    <t>REQ-11165</t>
  </si>
  <si>
    <t>REQ-11166</t>
  </si>
  <si>
    <t>REQ-11167</t>
  </si>
  <si>
    <t>REQ-11168</t>
  </si>
  <si>
    <t>REQ-11169</t>
  </si>
  <si>
    <t>REQ-11170</t>
  </si>
  <si>
    <t>REQ-11171</t>
  </si>
  <si>
    <t>REQ-11172</t>
  </si>
  <si>
    <t>2025-04-17</t>
  </si>
  <si>
    <t>REQ-11173</t>
  </si>
  <si>
    <t>REQ-11174</t>
  </si>
  <si>
    <t>REQ-11175</t>
  </si>
  <si>
    <t>REQ-11176</t>
  </si>
  <si>
    <t>REQ-11177</t>
  </si>
  <si>
    <t>REQ-11178</t>
  </si>
  <si>
    <t>REQ-11179</t>
  </si>
  <si>
    <t>REQ-11180</t>
  </si>
  <si>
    <t>REQ-11181</t>
  </si>
  <si>
    <t>REQ-11182</t>
  </si>
  <si>
    <t>REQ-11183</t>
  </si>
  <si>
    <t>REQ-11184</t>
  </si>
  <si>
    <t>REQ-11185</t>
  </si>
  <si>
    <t>REQ-11186</t>
  </si>
  <si>
    <t>REQ-11187</t>
  </si>
  <si>
    <t>REQ-11188</t>
  </si>
  <si>
    <t>2026-01-29</t>
  </si>
  <si>
    <t>REQ-11189</t>
  </si>
  <si>
    <t>REQ-11190</t>
  </si>
  <si>
    <t>REQ-11191</t>
  </si>
  <si>
    <t>REQ-11192</t>
  </si>
  <si>
    <t>REQ-11193</t>
  </si>
  <si>
    <t>REQ-11194</t>
  </si>
  <si>
    <t>REQ-11195</t>
  </si>
  <si>
    <t>REQ-11196</t>
  </si>
  <si>
    <t>2025-08-29</t>
  </si>
  <si>
    <t>REQ-11197</t>
  </si>
  <si>
    <t>REQ-11198</t>
  </si>
  <si>
    <t>REQ-11199</t>
  </si>
  <si>
    <t>REQ-11200</t>
  </si>
  <si>
    <t>REQ-11201</t>
  </si>
  <si>
    <t>REQ-11202</t>
  </si>
  <si>
    <t>REQ-11203</t>
  </si>
  <si>
    <t>REQ-11204</t>
  </si>
  <si>
    <t>REQ-11205</t>
  </si>
  <si>
    <t>REQ-11206</t>
  </si>
  <si>
    <t>REQ-11207</t>
  </si>
  <si>
    <t>REQ-11208</t>
  </si>
  <si>
    <t>REQ-11209</t>
  </si>
  <si>
    <t>REQ-11210</t>
  </si>
  <si>
    <t>REQ-11211</t>
  </si>
  <si>
    <t>REQ-11212</t>
  </si>
  <si>
    <t>REQ-11213</t>
  </si>
  <si>
    <t>REQ-11214</t>
  </si>
  <si>
    <t>REQ-11215</t>
  </si>
  <si>
    <t>REQ-11216</t>
  </si>
  <si>
    <t>REQ-11217</t>
  </si>
  <si>
    <t>REQ-11218</t>
  </si>
  <si>
    <t>REQ-11219</t>
  </si>
  <si>
    <t>REQ-11220</t>
  </si>
  <si>
    <t>REQ-11221</t>
  </si>
  <si>
    <t>REQ-11222</t>
  </si>
  <si>
    <t>REQ-11223</t>
  </si>
  <si>
    <t>REQ-11224</t>
  </si>
  <si>
    <t>REQ-11225</t>
  </si>
  <si>
    <t>REQ-11226</t>
  </si>
  <si>
    <t>REQ-11227</t>
  </si>
  <si>
    <t>REQ-11228</t>
  </si>
  <si>
    <t>REQ-11229</t>
  </si>
  <si>
    <t>REQ-11230</t>
  </si>
  <si>
    <t>REQ-11231</t>
  </si>
  <si>
    <t>REQ-11232</t>
  </si>
  <si>
    <t>REQ-11233</t>
  </si>
  <si>
    <t>REQ-11234</t>
  </si>
  <si>
    <t>REQ-11235</t>
  </si>
  <si>
    <t>REQ-11236</t>
  </si>
  <si>
    <t>2025-11-02</t>
  </si>
  <si>
    <t>REQ-11237</t>
  </si>
  <si>
    <t>REQ-11238</t>
  </si>
  <si>
    <t>REQ-11239</t>
  </si>
  <si>
    <t>REQ-11240</t>
  </si>
  <si>
    <t>REQ-11241</t>
  </si>
  <si>
    <t>REQ-11242</t>
  </si>
  <si>
    <t>REQ-11243</t>
  </si>
  <si>
    <t>REQ-11244</t>
  </si>
  <si>
    <t>REQ-11245</t>
  </si>
  <si>
    <t>REQ-11246</t>
  </si>
  <si>
    <t>REQ-11247</t>
  </si>
  <si>
    <t>2025-06-02</t>
  </si>
  <si>
    <t>REQ-11248</t>
  </si>
  <si>
    <t>REQ-11249</t>
  </si>
  <si>
    <t>REQ-11250</t>
  </si>
  <si>
    <t>Sem Dados</t>
  </si>
  <si>
    <t>25/12/2025</t>
  </si>
  <si>
    <t>01/01/2026</t>
  </si>
  <si>
    <t>Valor Total</t>
  </si>
  <si>
    <t>Métrica</t>
  </si>
  <si>
    <t>Antes</t>
  </si>
  <si>
    <t>Total de Registros</t>
  </si>
  <si>
    <t>Registros Duplicados</t>
  </si>
  <si>
    <t>Campos Vazios</t>
  </si>
  <si>
    <t>40+</t>
  </si>
  <si>
    <t>Datas Inválidas</t>
  </si>
  <si>
    <t>Taxa de Qualidade dos Dados</t>
  </si>
  <si>
    <t>INDICADORES DE QUALIDADE DOS DADOS:</t>
  </si>
  <si>
    <t>Depois</t>
  </si>
  <si>
    <t>Projeto de Limpeza e Tratamento de Dados - MegaShop</t>
  </si>
  <si>
    <t>Objetivo: tratar uma base de vendas com inconsistências.</t>
  </si>
  <si>
    <t>Etapas: remoção de duplicados, tratamento de nulos, padronização e validação.</t>
  </si>
  <si>
    <t>Resultado: base pronta para análises, dashboards e Power BI.</t>
  </si>
  <si>
    <t>Etapa</t>
  </si>
  <si>
    <t>Problema Encontrado</t>
  </si>
  <si>
    <t>Ação Executada</t>
  </si>
  <si>
    <t>Quantidade/Resultado</t>
  </si>
  <si>
    <t>Registros duplicados</t>
  </si>
  <si>
    <t>Removidos da base</t>
  </si>
  <si>
    <t>29 registros</t>
  </si>
  <si>
    <t>Campos vazios em clientes</t>
  </si>
  <si>
    <t>Preenchimento e padronização</t>
  </si>
  <si>
    <t>Tratados</t>
  </si>
  <si>
    <t>Campos vazios em vendedores</t>
  </si>
  <si>
    <t>Categorias inconsistentes ou ausentes</t>
  </si>
  <si>
    <t>Padronização de categorias</t>
  </si>
  <si>
    <t>Produtos ausentes/inconsistentes</t>
  </si>
  <si>
    <t>Correção e padronização</t>
  </si>
  <si>
    <t>Datas inválidas ou em formatos diferentes</t>
  </si>
  <si>
    <t>Conversão para formato padrão</t>
  </si>
  <si>
    <t>Quantidade, desconto e valores ausentes</t>
  </si>
  <si>
    <t>Correção e preenchimento</t>
  </si>
  <si>
    <t>Totais inconsistentes</t>
  </si>
  <si>
    <t>Recalculados por fórmula</t>
  </si>
  <si>
    <t>Validação final</t>
  </si>
  <si>
    <t>Conferência da integridade dos dados</t>
  </si>
  <si>
    <t>Base aprovada</t>
  </si>
  <si>
    <t>LOG DE TRATAMENTO:</t>
  </si>
  <si>
    <t>Total Geral</t>
  </si>
  <si>
    <t>Soma de Valor Total</t>
  </si>
  <si>
    <t>Cidade Que Mais Vendeu:</t>
  </si>
  <si>
    <t>VENDAS POR CIDADE:</t>
  </si>
  <si>
    <t>VENDAS POR PRODUTO:</t>
  </si>
  <si>
    <t>Total Vendas por Produto</t>
  </si>
  <si>
    <t>Cidade Que Menos Vendido:</t>
  </si>
  <si>
    <t>Produto Menos Vendido:</t>
  </si>
  <si>
    <t>VENDAS POR VENDEDOR:</t>
  </si>
  <si>
    <t>Valor Total Vendido</t>
  </si>
  <si>
    <t>Vendedor Que Mais Vendeu:</t>
  </si>
  <si>
    <t>Vendedor Que Menos Vendeu:</t>
  </si>
  <si>
    <t>Valor Vendas por Categoria</t>
  </si>
  <si>
    <t>Participação Geral</t>
  </si>
  <si>
    <t>Produto Mais Vendido:</t>
  </si>
  <si>
    <t>Categoria Mais vendida:</t>
  </si>
  <si>
    <t>Categoria Menos Vendida:</t>
  </si>
  <si>
    <t>VENDAS POR CATEGORIA: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</si>
</sst>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[$-F800]dddd\,\ mmmm\ dd\,\ yyyy"/>
    <numFmt numFmtId="166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Segoe UI"/>
      <family val="2"/>
    </font>
    <font>
      <b/>
      <sz val="11"/>
      <color theme="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2F3542"/>
        <bgColor rgb="FF2F3542"/>
      </patternFill>
    </fill>
    <fill>
      <patternFill patternType="solid">
        <fgColor rgb="FFF1F2F6"/>
        <bgColor rgb="FFF1F2F6"/>
      </patternFill>
    </fill>
    <fill>
      <patternFill patternType="solid">
        <fgColor theme="0" tint="-0.14999847407452621"/>
        <bgColor rgb="FFF1F2F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1F2F6"/>
      </patternFill>
    </fill>
    <fill>
      <patternFill patternType="solid">
        <fgColor theme="3" tint="0.79998168889431442"/>
        <bgColor rgb="FF2F3542"/>
      </patternFill>
    </fill>
    <fill>
      <patternFill patternType="solid">
        <fgColor theme="3" tint="0.79998168889431442"/>
        <bgColor rgb="FFF1F2F6"/>
      </patternFill>
    </fill>
    <fill>
      <patternFill patternType="solid">
        <fgColor rgb="FF333333"/>
        <bgColor indexed="64"/>
      </patternFill>
    </fill>
  </fills>
  <borders count="5">
    <border>
      <left/>
      <right/>
      <top/>
      <bottom/>
      <diagonal/>
    </border>
    <border>
      <left style="thin">
        <color rgb="FFCED6E0"/>
      </left>
      <right style="thin">
        <color rgb="FFCED6E0"/>
      </right>
      <top style="thin">
        <color rgb="FFCED6E0"/>
      </top>
      <bottom style="thin">
        <color rgb="FFCED6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165" fontId="1" fillId="2" borderId="0" xfId="0" applyNumberFormat="1" applyFont="1" applyFill="1" applyAlignment="1">
      <alignment horizontal="center" vertical="center"/>
    </xf>
    <xf numFmtId="165" fontId="2" fillId="3" borderId="1" xfId="0" applyNumberFormat="1" applyFont="1" applyFill="1" applyBorder="1"/>
    <xf numFmtId="165" fontId="2" fillId="0" borderId="1" xfId="0" applyNumberFormat="1" applyFont="1" applyBorder="1"/>
    <xf numFmtId="165" fontId="0" fillId="0" borderId="0" xfId="0" applyNumberFormat="1"/>
    <xf numFmtId="14" fontId="2" fillId="3" borderId="1" xfId="0" applyNumberFormat="1" applyFont="1" applyFill="1" applyBorder="1"/>
    <xf numFmtId="3" fontId="2" fillId="3" borderId="1" xfId="0" applyNumberFormat="1" applyFont="1" applyFill="1" applyBorder="1" applyAlignment="1">
      <alignment horizontal="center"/>
    </xf>
    <xf numFmtId="166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166" fontId="2" fillId="3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14" fontId="1" fillId="2" borderId="0" xfId="0" applyNumberFormat="1" applyFont="1" applyFill="1" applyAlignment="1">
      <alignment vertical="center"/>
    </xf>
    <xf numFmtId="49" fontId="2" fillId="0" borderId="1" xfId="0" applyNumberFormat="1" applyFont="1" applyBorder="1"/>
    <xf numFmtId="0" fontId="2" fillId="4" borderId="1" xfId="0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left"/>
    </xf>
    <xf numFmtId="166" fontId="2" fillId="4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14" fontId="2" fillId="6" borderId="1" xfId="0" applyNumberFormat="1" applyFont="1" applyFill="1" applyBorder="1" applyAlignment="1">
      <alignment horizontal="left"/>
    </xf>
    <xf numFmtId="3" fontId="2" fillId="6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left"/>
    </xf>
    <xf numFmtId="166" fontId="2" fillId="6" borderId="1" xfId="0" applyNumberFormat="1" applyFont="1" applyFill="1" applyBorder="1" applyAlignment="1">
      <alignment horizontal="left"/>
    </xf>
    <xf numFmtId="14" fontId="2" fillId="4" borderId="1" xfId="0" applyNumberFormat="1" applyFont="1" applyFill="1" applyBorder="1"/>
    <xf numFmtId="14" fontId="2" fillId="5" borderId="1" xfId="0" applyNumberFormat="1" applyFont="1" applyFill="1" applyBorder="1"/>
    <xf numFmtId="166" fontId="0" fillId="0" borderId="0" xfId="0" applyNumberForma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166" fontId="1" fillId="2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14" fontId="2" fillId="4" borderId="2" xfId="0" applyNumberFormat="1" applyFont="1" applyFill="1" applyBorder="1" applyAlignment="1">
      <alignment horizontal="left"/>
    </xf>
    <xf numFmtId="14" fontId="2" fillId="4" borderId="2" xfId="0" applyNumberFormat="1" applyFont="1" applyFill="1" applyBorder="1"/>
    <xf numFmtId="0" fontId="2" fillId="4" borderId="2" xfId="0" applyFont="1" applyFill="1" applyBorder="1" applyAlignment="1">
      <alignment horizontal="center"/>
    </xf>
    <xf numFmtId="166" fontId="2" fillId="4" borderId="2" xfId="0" applyNumberFormat="1" applyFont="1" applyFill="1" applyBorder="1" applyAlignment="1">
      <alignment horizontal="left"/>
    </xf>
    <xf numFmtId="166" fontId="2" fillId="4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14" fontId="2" fillId="6" borderId="2" xfId="0" applyNumberFormat="1" applyFont="1" applyFill="1" applyBorder="1" applyAlignment="1">
      <alignment horizontal="left"/>
    </xf>
    <xf numFmtId="14" fontId="2" fillId="5" borderId="2" xfId="0" applyNumberFormat="1" applyFont="1" applyFill="1" applyBorder="1"/>
    <xf numFmtId="0" fontId="2" fillId="6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166" fontId="2" fillId="6" borderId="2" xfId="0" applyNumberFormat="1" applyFont="1" applyFill="1" applyBorder="1" applyAlignment="1">
      <alignment horizontal="left"/>
    </xf>
    <xf numFmtId="166" fontId="2" fillId="6" borderId="2" xfId="0" applyNumberFormat="1" applyFont="1" applyFill="1" applyBorder="1" applyAlignment="1">
      <alignment horizontal="center"/>
    </xf>
    <xf numFmtId="164" fontId="2" fillId="6" borderId="2" xfId="0" applyNumberFormat="1" applyFont="1" applyFill="1" applyBorder="1" applyAlignment="1">
      <alignment horizontal="left"/>
    </xf>
    <xf numFmtId="14" fontId="2" fillId="4" borderId="2" xfId="0" applyNumberFormat="1" applyFont="1" applyFill="1" applyBorder="1" applyAlignment="1">
      <alignment horizontal="center"/>
    </xf>
    <xf numFmtId="14" fontId="2" fillId="6" borderId="2" xfId="0" applyNumberFormat="1" applyFont="1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5" fillId="0" borderId="0" xfId="0" applyFont="1"/>
    <xf numFmtId="166" fontId="6" fillId="2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166" fontId="0" fillId="0" borderId="2" xfId="0" applyNumberFormat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166" fontId="0" fillId="0" borderId="2" xfId="0" applyNumberFormat="1" applyBorder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10" fontId="0" fillId="0" borderId="2" xfId="0" applyNumberFormat="1" applyBorder="1" applyAlignment="1">
      <alignment horizontal="center"/>
    </xf>
    <xf numFmtId="10" fontId="7" fillId="9" borderId="2" xfId="0" applyNumberFormat="1" applyFont="1" applyFill="1" applyBorder="1" applyAlignment="1">
      <alignment horizontal="center"/>
    </xf>
    <xf numFmtId="166" fontId="6" fillId="2" borderId="3" xfId="0" applyNumberFormat="1" applyFont="1" applyFill="1" applyBorder="1" applyAlignment="1">
      <alignment horizontal="left" vertical="center"/>
    </xf>
    <xf numFmtId="166" fontId="6" fillId="2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74">
    <dxf>
      <fill>
        <patternFill>
          <bgColor rgb="FF333333"/>
        </patternFill>
      </fill>
    </dxf>
    <dxf>
      <font>
        <sz val="11"/>
      </font>
    </dxf>
    <dxf>
      <font>
        <name val="Segoe UI"/>
        <scheme val="none"/>
      </font>
    </dxf>
    <dxf>
      <numFmt numFmtId="166" formatCode="&quot;R$&quot;\ #,##0.00"/>
    </dxf>
    <dxf>
      <alignment horizontal="left"/>
    </dxf>
    <dxf>
      <alignment horizontal="center"/>
    </dxf>
    <dxf>
      <font>
        <b/>
      </font>
    </dxf>
    <dxf>
      <fill>
        <patternFill>
          <bgColor rgb="FF333333"/>
        </patternFill>
      </fill>
    </dxf>
    <dxf>
      <font>
        <color theme="0"/>
      </font>
    </dxf>
    <dxf>
      <fill>
        <patternFill>
          <bgColor rgb="FF111111"/>
        </patternFill>
      </fill>
    </dxf>
    <dxf>
      <fill>
        <patternFill patternType="solid">
          <bgColor rgb="FFFFFF00"/>
        </patternFill>
      </fill>
    </dxf>
    <dxf>
      <font>
        <b/>
        <color rgb="FFFFFFFF"/>
        <name val="Segoe UI"/>
        <scheme val="none"/>
      </font>
      <numFmt numFmtId="0" formatCode="General"/>
      <fill>
        <patternFill patternType="solid">
          <fgColor rgb="FF2F3542"/>
          <bgColor rgb="FF2F3542"/>
        </patternFill>
      </fill>
      <alignment vertical="center"/>
    </dxf>
    <dxf>
      <font>
        <b/>
        <color rgb="FFFFFFFF"/>
        <name val="Segoe UI"/>
        <scheme val="none"/>
      </font>
      <numFmt numFmtId="0" formatCode="General"/>
      <fill>
        <patternFill patternType="solid">
          <fgColor rgb="FF2F3542"/>
          <bgColor rgb="FF2F3542"/>
        </patternFill>
      </fill>
      <alignment vertical="center"/>
    </dxf>
    <dxf>
      <alignment horizontal="left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alignment horizontal="center"/>
    </dxf>
    <dxf>
      <numFmt numFmtId="166" formatCode="&quot;R$&quot;\ #,##0.00"/>
    </dxf>
    <dxf>
      <numFmt numFmtId="166" formatCode="&quot;R$&quot;\ #,##0.00"/>
    </dxf>
    <dxf>
      <alignment horizontal="center"/>
    </dxf>
    <dxf>
      <font>
        <b/>
        <color rgb="FFFFFFFF"/>
        <name val="Segoe UI"/>
        <scheme val="none"/>
      </font>
      <fill>
        <patternFill patternType="solid">
          <fgColor rgb="FF2F3542"/>
          <bgColor rgb="FF2F3542"/>
        </patternFill>
      </fill>
      <alignment vertical="center"/>
    </dxf>
    <dxf>
      <font>
        <b/>
        <color rgb="FFFFFFFF"/>
        <name val="Segoe UI"/>
        <scheme val="none"/>
      </font>
      <fill>
        <patternFill patternType="solid">
          <fgColor rgb="FF2F3542"/>
          <bgColor rgb="FF2F3542"/>
        </patternFill>
      </fill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R$&quot;\ #,##0.00"/>
    </dxf>
    <dxf>
      <font>
        <b/>
        <color rgb="FFFFFFFF"/>
        <name val="Segoe UI"/>
        <scheme val="none"/>
      </font>
      <fill>
        <patternFill patternType="solid">
          <fgColor rgb="FF2F3542"/>
          <bgColor rgb="FF2F3542"/>
        </patternFill>
      </fill>
      <alignment horizontal="left" vertical="center"/>
    </dxf>
    <dxf>
      <font>
        <b/>
        <color rgb="FFFFFFFF"/>
        <name val="Segoe UI"/>
        <scheme val="none"/>
      </font>
      <fill>
        <patternFill patternType="solid">
          <fgColor rgb="FF2F3542"/>
          <bgColor rgb="FF2F3542"/>
        </patternFill>
      </fill>
      <alignment horizontal="left" vertical="center"/>
    </dxf>
    <dxf>
      <alignment horizontal="center"/>
    </dxf>
    <dxf>
      <alignment horizontal="center"/>
    </dxf>
    <dxf>
      <numFmt numFmtId="166" formatCode="&quot;R$&quot;\ #,##0.00"/>
    </dxf>
    <dxf>
      <font>
        <b/>
        <color rgb="FFFFFFFF"/>
        <name val="Segoe UI"/>
        <scheme val="none"/>
      </font>
      <fill>
        <patternFill patternType="solid">
          <fgColor rgb="FF2F3542"/>
          <bgColor rgb="FF2F3542"/>
        </patternFill>
      </fill>
      <alignment vertical="center"/>
    </dxf>
    <dxf>
      <font>
        <b/>
        <color rgb="FFFFFFFF"/>
        <name val="Segoe UI"/>
        <scheme val="none"/>
      </font>
      <fill>
        <patternFill patternType="solid">
          <fgColor rgb="FF2F3542"/>
          <bgColor rgb="FF2F3542"/>
        </patternFill>
      </fill>
      <alignment vertical="center"/>
    </dxf>
    <dxf>
      <alignment horizontal="center"/>
    </dxf>
    <dxf>
      <numFmt numFmtId="166" formatCode="&quot;R$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font>
        <b/>
        <color rgb="FFFFFFFF"/>
        <name val="Segoe UI"/>
        <scheme val="none"/>
      </font>
      <fill>
        <patternFill patternType="solid">
          <fgColor rgb="FF2F3542"/>
          <bgColor rgb="FF2F3542"/>
        </patternFill>
      </fill>
      <alignment horizontal="center" vertical="center"/>
    </dxf>
    <dxf>
      <font>
        <b/>
        <color rgb="FFFFFFFF"/>
        <name val="Segoe UI"/>
        <scheme val="none"/>
      </font>
      <fill>
        <patternFill patternType="solid">
          <fgColor rgb="FF2F3542"/>
          <bgColor rgb="FF2F3542"/>
        </patternFill>
      </fill>
      <alignment horizontal="center" vertical="center"/>
    </dxf>
    <dxf>
      <alignment horizontal="center"/>
    </dxf>
    <dxf>
      <numFmt numFmtId="166" formatCode="&quot;R$&quot;\ #,##0.00"/>
    </dxf>
    <dxf>
      <font>
        <b/>
        <color rgb="FFFFFFFF"/>
        <name val="Segoe UI"/>
        <scheme val="none"/>
      </font>
      <fill>
        <patternFill patternType="solid">
          <fgColor rgb="FF2F3542"/>
          <bgColor rgb="FF2F3542"/>
        </patternFill>
      </fill>
      <alignment horizontal="center" vertical="center"/>
    </dxf>
    <dxf>
      <font>
        <b/>
        <color rgb="FFFFFFFF"/>
        <name val="Segoe UI"/>
        <scheme val="none"/>
      </font>
      <fill>
        <patternFill patternType="solid">
          <fgColor rgb="FF2F3542"/>
          <bgColor rgb="FF2F3542"/>
        </patternFill>
      </fill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R$&quot;\ #,##0.00"/>
    </dxf>
    <dxf>
      <numFmt numFmtId="166" formatCode="&quot;R$&quot;\ #,##0.00"/>
    </dxf>
  </dxfs>
  <tableStyles count="0" defaultTableStyle="TableStyleMedium9" defaultPivotStyle="PivotStyleLight16"/>
  <colors>
    <mruColors>
      <color rgb="FF333333"/>
      <color rgb="FF4D4D4D"/>
      <color rgb="FF4C4753"/>
      <color rgb="FF292929"/>
      <color rgb="FF1C1C1C"/>
      <color rgb="FF1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[Projeto_MegaShop_Vendas.xlsx]KPI_Cidades!Tabela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MAIORES VENDAS POR CIDADE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KPI_Cidades!$C$4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KPI_Cidades!$B$5:$B$13</c:f>
              <c:strCache>
                <c:ptCount val="8"/>
                <c:pt idx="0">
                  <c:v>Belo Horizonte</c:v>
                </c:pt>
                <c:pt idx="1">
                  <c:v>Brasília</c:v>
                </c:pt>
                <c:pt idx="2">
                  <c:v>Curitiba</c:v>
                </c:pt>
                <c:pt idx="3">
                  <c:v>Porto Alegre</c:v>
                </c:pt>
                <c:pt idx="4">
                  <c:v>Recife</c:v>
                </c:pt>
                <c:pt idx="5">
                  <c:v>Rio de Janeiro</c:v>
                </c:pt>
                <c:pt idx="6">
                  <c:v>Salvador</c:v>
                </c:pt>
                <c:pt idx="7">
                  <c:v>São Paulo</c:v>
                </c:pt>
              </c:strCache>
            </c:strRef>
          </c:cat>
          <c:val>
            <c:numRef>
              <c:f>KPI_Cidades!$C$5:$C$13</c:f>
              <c:numCache>
                <c:formatCode>"R$"\ #,##0.00</c:formatCode>
                <c:ptCount val="8"/>
                <c:pt idx="0">
                  <c:v>297055.05999999994</c:v>
                </c:pt>
                <c:pt idx="1">
                  <c:v>326794.52999999997</c:v>
                </c:pt>
                <c:pt idx="2">
                  <c:v>230129.73999999993</c:v>
                </c:pt>
                <c:pt idx="3">
                  <c:v>228066.87999999998</c:v>
                </c:pt>
                <c:pt idx="4">
                  <c:v>304169.94999999995</c:v>
                </c:pt>
                <c:pt idx="5">
                  <c:v>311646.28999999992</c:v>
                </c:pt>
                <c:pt idx="6">
                  <c:v>324806.06000000011</c:v>
                </c:pt>
                <c:pt idx="7">
                  <c:v>194509.21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7-49E7-95FE-FF59F16B7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805424"/>
        <c:axId val="499513712"/>
      </c:barChart>
      <c:catAx>
        <c:axId val="49480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9513712"/>
        <c:crosses val="autoZero"/>
        <c:auto val="1"/>
        <c:lblAlgn val="ctr"/>
        <c:lblOffset val="100"/>
        <c:noMultiLvlLbl val="0"/>
      </c:catAx>
      <c:valAx>
        <c:axId val="4995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480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[Projeto_MegaShop_Vendas.xlsx]KPI_Produtos!Tabela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MAIORES</a:t>
            </a:r>
            <a:r>
              <a:rPr lang="en-US" b="1" baseline="0"/>
              <a:t> VENDAS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38922723603271"/>
          <c:y val="0.13871896630526459"/>
          <c:w val="0.86744697044695396"/>
          <c:h val="0.56151933760230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KPI_Produtos!$C$4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KPI_Produtos!$B$5:$B$21</c:f>
              <c:strCache>
                <c:ptCount val="16"/>
                <c:pt idx="0">
                  <c:v>Notebook Pro</c:v>
                </c:pt>
                <c:pt idx="1">
                  <c:v>Smartphone X</c:v>
                </c:pt>
                <c:pt idx="2">
                  <c:v>Smartwatch Sync</c:v>
                </c:pt>
                <c:pt idx="3">
                  <c:v>Micro-ondas 30L</c:v>
                </c:pt>
                <c:pt idx="4">
                  <c:v>Air Fryer Max</c:v>
                </c:pt>
                <c:pt idx="5">
                  <c:v>Cafeteira Espresso</c:v>
                </c:pt>
                <c:pt idx="6">
                  <c:v>Fone Bluetooth</c:v>
                </c:pt>
                <c:pt idx="7">
                  <c:v>Tênis Casual</c:v>
                </c:pt>
                <c:pt idx="8">
                  <c:v>Liquidificador Turbo</c:v>
                </c:pt>
                <c:pt idx="9">
                  <c:v>Jaqueta Corta-Vento</c:v>
                </c:pt>
                <c:pt idx="10">
                  <c:v>Calça Jeans Slim</c:v>
                </c:pt>
                <c:pt idx="11">
                  <c:v>Camiseta Algodão</c:v>
                </c:pt>
                <c:pt idx="12">
                  <c:v>Gestão Ágil de Projetos</c:v>
                </c:pt>
                <c:pt idx="13">
                  <c:v>O Império da IA</c:v>
                </c:pt>
                <c:pt idx="14">
                  <c:v>Ficção: O Amanhã</c:v>
                </c:pt>
                <c:pt idx="15">
                  <c:v>Mindset Vencedor</c:v>
                </c:pt>
              </c:strCache>
            </c:strRef>
          </c:cat>
          <c:val>
            <c:numRef>
              <c:f>KPI_Produtos!$C$5:$C$21</c:f>
              <c:numCache>
                <c:formatCode>"R$"\ #,##0.00</c:formatCode>
                <c:ptCount val="16"/>
                <c:pt idx="0">
                  <c:v>834928.96</c:v>
                </c:pt>
                <c:pt idx="1">
                  <c:v>553367.92999999993</c:v>
                </c:pt>
                <c:pt idx="2">
                  <c:v>171745.17</c:v>
                </c:pt>
                <c:pt idx="3">
                  <c:v>152289.32</c:v>
                </c:pt>
                <c:pt idx="4">
                  <c:v>103422.67999999998</c:v>
                </c:pt>
                <c:pt idx="5">
                  <c:v>85137.990000000034</c:v>
                </c:pt>
                <c:pt idx="6">
                  <c:v>64209.82</c:v>
                </c:pt>
                <c:pt idx="7">
                  <c:v>59883.060000000012</c:v>
                </c:pt>
                <c:pt idx="8">
                  <c:v>49432.040000000015</c:v>
                </c:pt>
                <c:pt idx="9">
                  <c:v>41431.14</c:v>
                </c:pt>
                <c:pt idx="10">
                  <c:v>34093.040000000008</c:v>
                </c:pt>
                <c:pt idx="11">
                  <c:v>19559.159999999996</c:v>
                </c:pt>
                <c:pt idx="12">
                  <c:v>17231.240000000009</c:v>
                </c:pt>
                <c:pt idx="13">
                  <c:v>11167.359999999997</c:v>
                </c:pt>
                <c:pt idx="14">
                  <c:v>10979.630000000001</c:v>
                </c:pt>
                <c:pt idx="15">
                  <c:v>8299.18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E-4B4D-BE08-A71A6CB60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361152"/>
        <c:axId val="748357792"/>
      </c:barChart>
      <c:catAx>
        <c:axId val="74836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8357792"/>
        <c:crosses val="autoZero"/>
        <c:auto val="1"/>
        <c:lblAlgn val="ctr"/>
        <c:lblOffset val="100"/>
        <c:noMultiLvlLbl val="0"/>
      </c:catAx>
      <c:valAx>
        <c:axId val="74835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836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[Projeto_MegaShop_Vendas.xlsx]KPI_Vendedores!Tabela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MAIOR</a:t>
            </a:r>
            <a:r>
              <a:rPr lang="en-US" b="1" baseline="0"/>
              <a:t> NÚMERO DE VENDAS POR VENDEDOR</a:t>
            </a:r>
          </a:p>
        </c:rich>
      </c:tx>
      <c:layout>
        <c:manualLayout>
          <c:xMode val="edge"/>
          <c:yMode val="edge"/>
          <c:x val="0.1887360017497813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KPI_Vendedores!$C$4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KPI_Vendedores!$B$5:$B$10</c:f>
              <c:strCache>
                <c:ptCount val="5"/>
                <c:pt idx="0">
                  <c:v>Larissa Dias</c:v>
                </c:pt>
                <c:pt idx="1">
                  <c:v>Rodrigo Mello</c:v>
                </c:pt>
                <c:pt idx="2">
                  <c:v>Amanda Costa</c:v>
                </c:pt>
                <c:pt idx="3">
                  <c:v>Bruno Martins</c:v>
                </c:pt>
                <c:pt idx="4">
                  <c:v>Camila Rocha</c:v>
                </c:pt>
              </c:strCache>
            </c:strRef>
          </c:cat>
          <c:val>
            <c:numRef>
              <c:f>KPI_Vendedores!$C$5:$C$10</c:f>
              <c:numCache>
                <c:formatCode>"R$"\ #,##0.00</c:formatCode>
                <c:ptCount val="5"/>
                <c:pt idx="0">
                  <c:v>594814.48999999987</c:v>
                </c:pt>
                <c:pt idx="1">
                  <c:v>460127.08999999979</c:v>
                </c:pt>
                <c:pt idx="2">
                  <c:v>429704.05999999976</c:v>
                </c:pt>
                <c:pt idx="3">
                  <c:v>410839.79999999981</c:v>
                </c:pt>
                <c:pt idx="4">
                  <c:v>321692.27999999991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9-43D2-9DE5-65FE7F33F0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7613584"/>
        <c:axId val="757611184"/>
      </c:barChart>
      <c:catAx>
        <c:axId val="75761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7611184"/>
        <c:crosses val="autoZero"/>
        <c:auto val="1"/>
        <c:lblAlgn val="ctr"/>
        <c:lblOffset val="100"/>
        <c:noMultiLvlLbl val="0"/>
      </c:catAx>
      <c:valAx>
        <c:axId val="757611184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7576135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[Projeto_MegaShop_Vendas.xlsx]KPI_Categoria!Tabela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PARTICIPAÇÃO</a:t>
            </a:r>
            <a:r>
              <a:rPr lang="en-US" b="1" baseline="0"/>
              <a:t> NOS LUCROS POR CATEGORIA</a:t>
            </a:r>
            <a:r>
              <a:rPr lang="pt-BR" sz="1400" b="1" i="0" u="none" strike="noStrike" baseline="0">
                <a:effectLst/>
              </a:rPr>
              <a:t>  </a:t>
            </a:r>
            <a:endParaRPr lang="en-US" b="1"/>
          </a:p>
        </c:rich>
      </c:tx>
      <c:layout>
        <c:manualLayout>
          <c:xMode val="edge"/>
          <c:yMode val="edge"/>
          <c:x val="0.12603455818022746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6111111111111108E-2"/>
              <c:y val="0.12134004082822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25E-2"/>
                  <c:h val="6.5972222222222224E-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666557305336784E-2"/>
              <c:y val="0.172299868766404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166666666666666E-2"/>
                  <c:h val="9.4907407407407413E-2"/>
                </c:manualLayout>
              </c15:layout>
            </c:ext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184601924759409E-2"/>
              <c:y val="-9.0347039953339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3763998250218718E-2"/>
                  <c:h val="9.7152960046660811E-2"/>
                </c:manualLayout>
              </c15:layout>
            </c:ext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71502624671916"/>
          <c:y val="0.16708333333333336"/>
          <c:w val="0.48030555555555554"/>
          <c:h val="0.80050925925925931"/>
        </c:manualLayout>
      </c:layout>
      <c:pieChart>
        <c:varyColors val="1"/>
        <c:ser>
          <c:idx val="0"/>
          <c:order val="0"/>
          <c:tx>
            <c:strRef>
              <c:f>KPI_Categoria!$C$4</c:f>
              <c:strCache>
                <c:ptCount val="1"/>
                <c:pt idx="0">
                  <c:v>Valor Vendas por Categoria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60-4229-AF7C-AEE335190BB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460-4229-AF7C-AEE335190BB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5F-4002-B4D7-04B9425B341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60-4229-AF7C-AEE335190BB4}"/>
              </c:ext>
            </c:extLst>
          </c:dPt>
          <c:dLbls>
            <c:dLbl>
              <c:idx val="0"/>
              <c:layout>
                <c:manualLayout>
                  <c:x val="-4.1666557305336784E-2"/>
                  <c:y val="0.1722998687664042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66666666666666E-2"/>
                      <c:h val="9.49074074074074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460-4229-AF7C-AEE335190BB4}"/>
                </c:ext>
              </c:extLst>
            </c:dLbl>
            <c:dLbl>
              <c:idx val="1"/>
              <c:layout>
                <c:manualLayout>
                  <c:x val="8.8184601924759409E-2"/>
                  <c:y val="-9.03470399533391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763998250218718E-2"/>
                      <c:h val="9.7152960046660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460-4229-AF7C-AEE335190BB4}"/>
                </c:ext>
              </c:extLst>
            </c:dLbl>
            <c:dLbl>
              <c:idx val="3"/>
              <c:layout>
                <c:manualLayout>
                  <c:x val="3.6111111111111108E-2"/>
                  <c:y val="0.121340040828229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5E-2"/>
                      <c:h val="6.59722222222222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460-4229-AF7C-AEE335190B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KPI_Categoria!$B$5:$B$9</c:f>
              <c:strCache>
                <c:ptCount val="4"/>
                <c:pt idx="0">
                  <c:v>Eletrodomésticos</c:v>
                </c:pt>
                <c:pt idx="1">
                  <c:v>Eletrônicos</c:v>
                </c:pt>
                <c:pt idx="2">
                  <c:v>Livros</c:v>
                </c:pt>
                <c:pt idx="3">
                  <c:v>Moda</c:v>
                </c:pt>
              </c:strCache>
            </c:strRef>
          </c:cat>
          <c:val>
            <c:numRef>
              <c:f>KPI_Categoria!$C$5:$C$9</c:f>
              <c:numCache>
                <c:formatCode>"R$"\ #,##0.00</c:formatCode>
                <c:ptCount val="4"/>
                <c:pt idx="0">
                  <c:v>390282.02999999962</c:v>
                </c:pt>
                <c:pt idx="1">
                  <c:v>1624251.8800000004</c:v>
                </c:pt>
                <c:pt idx="2">
                  <c:v>47677.409999999967</c:v>
                </c:pt>
                <c:pt idx="3">
                  <c:v>154966.40000000008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0-4229-AF7C-AEE335190BB4}"/>
            </c:ext>
          </c:extLst>
        </c:ser>
        <c:ser>
          <c:idx val="1"/>
          <c:order val="1"/>
          <c:tx>
            <c:strRef>
              <c:f>KPI_Categoria!$D$4</c:f>
              <c:strCache>
                <c:ptCount val="1"/>
                <c:pt idx="0">
                  <c:v>Participação Geral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5F-4002-B4D7-04B9425B341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5F-4002-B4D7-04B9425B341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45F-4002-B4D7-04B9425B341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45F-4002-B4D7-04B9425B3417}"/>
              </c:ext>
            </c:extLst>
          </c:dPt>
          <c:cat>
            <c:strRef>
              <c:f>KPI_Categoria!$B$5:$B$9</c:f>
              <c:strCache>
                <c:ptCount val="4"/>
                <c:pt idx="0">
                  <c:v>Eletrodomésticos</c:v>
                </c:pt>
                <c:pt idx="1">
                  <c:v>Eletrônicos</c:v>
                </c:pt>
                <c:pt idx="2">
                  <c:v>Livros</c:v>
                </c:pt>
                <c:pt idx="3">
                  <c:v>Moda</c:v>
                </c:pt>
              </c:strCache>
            </c:strRef>
          </c:cat>
          <c:val>
            <c:numRef>
              <c:f>KPI_Categoria!$D$5:$D$9</c:f>
              <c:numCache>
                <c:formatCode>0.00%</c:formatCode>
                <c:ptCount val="4"/>
                <c:pt idx="0">
                  <c:v>0.17602649822766561</c:v>
                </c:pt>
                <c:pt idx="1">
                  <c:v>0.73257631327812578</c:v>
                </c:pt>
                <c:pt idx="2">
                  <c:v>2.1503648340828525E-2</c:v>
                </c:pt>
                <c:pt idx="3">
                  <c:v>6.9893540153380257E-2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0-4229-AF7C-AEE335190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516141732283462"/>
          <c:y val="0.45506816856226306"/>
          <c:w val="0.22372747156605421"/>
          <c:h val="0.43750218722659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4762</xdr:rowOff>
    </xdr:from>
    <xdr:to>
      <xdr:col>17</xdr:col>
      <xdr:colOff>66675</xdr:colOff>
      <xdr:row>15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D7B3FE-0369-ACFB-2683-8FA2F2866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319087</xdr:colOff>
      <xdr:row>3</xdr:row>
      <xdr:rowOff>14287</xdr:rowOff>
    </xdr:from>
    <xdr:to>
      <xdr:col>14</xdr:col>
      <xdr:colOff>581025</xdr:colOff>
      <xdr:row>20</xdr:row>
      <xdr:rowOff>152401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FF68FB-4B99-97ED-3BFE-52808E078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3</xdr:row>
      <xdr:rowOff>14287</xdr:rowOff>
    </xdr:from>
    <xdr:to>
      <xdr:col>11</xdr:col>
      <xdr:colOff>495300</xdr:colOff>
      <xdr:row>17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5ABFBC-9B62-2331-F3F1-DC9752CB3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3</xdr:row>
      <xdr:rowOff>4762</xdr:rowOff>
    </xdr:from>
    <xdr:to>
      <xdr:col>11</xdr:col>
      <xdr:colOff>600075</xdr:colOff>
      <xdr:row>17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A1BDB2-2014-FF3F-858E-501F1144F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LT INFO" refreshedDate="46176.400722916667" createdVersion="8" refreshedVersion="8" minRefreshableVersion="3" recordCount="1257" xr:uid="{46E01910-FE04-4E42-BC1F-726DCB5C034F}">
  <cacheSource type="worksheet">
    <worksheetSource ref="B1:L1048576" sheet="Dados_Vendas_Limpo"/>
  </cacheSource>
  <cacheFields count="11">
    <cacheField name="Pedido" numFmtId="0">
      <sharedItems containsBlank="1" count="1251">
        <s v="REQ-10001"/>
        <s v="REQ-10002"/>
        <s v="REQ-10003"/>
        <s v="REQ-10004"/>
        <s v="REQ-10005"/>
        <s v="REQ-10006"/>
        <s v="REQ-10007"/>
        <s v="REQ-10008"/>
        <s v="REQ-10009"/>
        <s v="REQ-10010"/>
        <s v="REQ-10011"/>
        <s v="REQ-10012"/>
        <s v="REQ-10013"/>
        <s v="REQ-10014"/>
        <s v="REQ-10015"/>
        <s v="REQ-10016"/>
        <s v="REQ-10017"/>
        <s v="REQ-10018"/>
        <s v="REQ-10019"/>
        <s v="REQ-10020"/>
        <s v="REQ-10021"/>
        <s v="REQ-10022"/>
        <s v="REQ-10023"/>
        <s v="REQ-10024"/>
        <s v="REQ-10025"/>
        <s v="REQ-10026"/>
        <s v="REQ-10027"/>
        <s v="REQ-10028"/>
        <s v="REQ-10029"/>
        <s v="REQ-10030"/>
        <s v="REQ-10031"/>
        <s v="REQ-10032"/>
        <s v="REQ-10033"/>
        <s v="REQ-10034"/>
        <s v="REQ-10035"/>
        <s v="REQ-10036"/>
        <s v="REQ-10037"/>
        <s v="REQ-10038"/>
        <s v="REQ-10039"/>
        <s v="REQ-10040"/>
        <s v="REQ-10041"/>
        <s v="REQ-10042"/>
        <s v="REQ-10043"/>
        <s v="REQ-10044"/>
        <s v="REQ-10045"/>
        <s v="REQ-10046"/>
        <s v="REQ-10047"/>
        <s v="REQ-10048"/>
        <s v="REQ-10049"/>
        <s v="REQ-10050"/>
        <s v="REQ-10051"/>
        <s v="REQ-10052"/>
        <s v="REQ-10053"/>
        <s v="REQ-10054"/>
        <s v="REQ-10055"/>
        <s v="REQ-10056"/>
        <s v="REQ-10057"/>
        <s v="REQ-10058"/>
        <s v="REQ-10059"/>
        <s v="REQ-10060"/>
        <s v="REQ-10061"/>
        <s v="REQ-10062"/>
        <s v="REQ-10063"/>
        <s v="REQ-10064"/>
        <s v="REQ-10065"/>
        <s v="REQ-10066"/>
        <s v="REQ-10067"/>
        <s v="REQ-10068"/>
        <s v="REQ-10069"/>
        <s v="REQ-10070"/>
        <s v="REQ-10071"/>
        <s v="REQ-10072"/>
        <s v="REQ-10073"/>
        <s v="REQ-10074"/>
        <s v="REQ-10075"/>
        <s v="REQ-10076"/>
        <s v="REQ-10077"/>
        <s v="REQ-10078"/>
        <s v="REQ-10079"/>
        <s v="REQ-10080"/>
        <s v="REQ-10081"/>
        <s v="REQ-10082"/>
        <s v="REQ-10083"/>
        <s v="REQ-10084"/>
        <s v="REQ-10085"/>
        <s v="REQ-10086"/>
        <s v="REQ-10087"/>
        <s v="REQ-10088"/>
        <s v="REQ-10089"/>
        <s v="REQ-10090"/>
        <s v="REQ-10091"/>
        <s v="REQ-10092"/>
        <s v="REQ-10093"/>
        <s v="REQ-10094"/>
        <s v="REQ-10095"/>
        <s v="REQ-10096"/>
        <s v="REQ-10097"/>
        <s v="REQ-10098"/>
        <s v="REQ-10099"/>
        <s v="REQ-10100"/>
        <s v="REQ-10101"/>
        <s v="REQ-10102"/>
        <s v="REQ-10103"/>
        <s v="REQ-10104"/>
        <s v="REQ-10105"/>
        <s v="REQ-10106"/>
        <s v="REQ-10107"/>
        <s v="REQ-10108"/>
        <s v="REQ-10109"/>
        <s v="REQ-10110"/>
        <s v="REQ-10111"/>
        <s v="REQ-10112"/>
        <s v="REQ-10113"/>
        <s v="REQ-10114"/>
        <s v="REQ-10115"/>
        <s v="REQ-10116"/>
        <s v="REQ-10117"/>
        <s v="REQ-10118"/>
        <s v="REQ-10119"/>
        <s v="REQ-10120"/>
        <s v="REQ-10121"/>
        <s v="REQ-10122"/>
        <s v="REQ-10123"/>
        <s v="REQ-10124"/>
        <s v="REQ-10125"/>
        <s v="REQ-10126"/>
        <s v="REQ-10127"/>
        <s v="REQ-10128"/>
        <s v="REQ-10129"/>
        <s v="REQ-10130"/>
        <s v="REQ-10131"/>
        <s v="REQ-10132"/>
        <s v="REQ-10133"/>
        <s v="REQ-10134"/>
        <s v="REQ-10135"/>
        <s v="REQ-10136"/>
        <s v="REQ-10137"/>
        <s v="REQ-10138"/>
        <s v="REQ-10139"/>
        <s v="REQ-10140"/>
        <s v="REQ-10141"/>
        <s v="REQ-10142"/>
        <s v="REQ-10143"/>
        <s v="REQ-10144"/>
        <s v="REQ-10145"/>
        <s v="REQ-10146"/>
        <s v="REQ-10147"/>
        <s v="REQ-10148"/>
        <s v="REQ-10149"/>
        <s v="REQ-10150"/>
        <s v="REQ-10151"/>
        <s v="REQ-10152"/>
        <s v="REQ-10153"/>
        <s v="REQ-10154"/>
        <s v="REQ-10155"/>
        <s v="REQ-10156"/>
        <s v="REQ-10157"/>
        <s v="REQ-10158"/>
        <s v="REQ-10159"/>
        <s v="REQ-10160"/>
        <s v="REQ-10161"/>
        <s v="REQ-10162"/>
        <s v="REQ-10163"/>
        <s v="REQ-10164"/>
        <s v="REQ-10165"/>
        <s v="REQ-10166"/>
        <s v="REQ-10167"/>
        <s v="REQ-10168"/>
        <s v="REQ-10169"/>
        <s v="REQ-10170"/>
        <s v="REQ-10171"/>
        <s v="REQ-10172"/>
        <s v="REQ-10173"/>
        <s v="REQ-10174"/>
        <s v="REQ-10175"/>
        <s v="REQ-10176"/>
        <s v="REQ-10177"/>
        <s v="REQ-10178"/>
        <s v="REQ-10179"/>
        <s v="REQ-10180"/>
        <s v="REQ-10181"/>
        <s v="REQ-10182"/>
        <s v="REQ-10183"/>
        <s v="REQ-10184"/>
        <s v="REQ-10185"/>
        <s v="REQ-10186"/>
        <s v="REQ-10187"/>
        <s v="REQ-10188"/>
        <s v="REQ-10189"/>
        <s v="REQ-10190"/>
        <s v="REQ-10191"/>
        <s v="REQ-10192"/>
        <s v="REQ-10193"/>
        <s v="REQ-10194"/>
        <s v="REQ-10195"/>
        <s v="REQ-10196"/>
        <s v="REQ-10197"/>
        <s v="REQ-10198"/>
        <s v="REQ-10199"/>
        <s v="REQ-10200"/>
        <s v="REQ-10201"/>
        <s v="REQ-10202"/>
        <s v="REQ-10203"/>
        <s v="REQ-10204"/>
        <s v="REQ-10205"/>
        <s v="REQ-10206"/>
        <s v="REQ-10207"/>
        <s v="REQ-10208"/>
        <s v="REQ-10209"/>
        <s v="REQ-10210"/>
        <s v="REQ-10211"/>
        <s v="REQ-10212"/>
        <s v="REQ-10213"/>
        <s v="REQ-10214"/>
        <s v="REQ-10215"/>
        <s v="REQ-10216"/>
        <s v="REQ-10217"/>
        <s v="REQ-10218"/>
        <s v="REQ-10219"/>
        <s v="REQ-10220"/>
        <s v="REQ-10221"/>
        <s v="REQ-10222"/>
        <s v="REQ-10223"/>
        <s v="REQ-10224"/>
        <s v="REQ-10225"/>
        <s v="REQ-10226"/>
        <s v="REQ-10227"/>
        <s v="REQ-10228"/>
        <s v="REQ-10229"/>
        <s v="REQ-10230"/>
        <s v="REQ-10231"/>
        <s v="REQ-10232"/>
        <s v="REQ-10233"/>
        <s v="REQ-10234"/>
        <s v="REQ-10235"/>
        <s v="REQ-10236"/>
        <s v="REQ-10237"/>
        <s v="REQ-10238"/>
        <s v="REQ-10239"/>
        <s v="REQ-10240"/>
        <s v="REQ-10241"/>
        <s v="REQ-10242"/>
        <s v="REQ-10243"/>
        <s v="REQ-10244"/>
        <s v="REQ-10245"/>
        <s v="REQ-10246"/>
        <s v="REQ-10247"/>
        <s v="REQ-10248"/>
        <s v="REQ-10249"/>
        <s v="REQ-10250"/>
        <s v="REQ-10251"/>
        <s v="REQ-10252"/>
        <s v="REQ-10253"/>
        <s v="REQ-10254"/>
        <s v="REQ-10255"/>
        <s v="REQ-10256"/>
        <s v="REQ-10257"/>
        <s v="REQ-10258"/>
        <s v="REQ-10259"/>
        <s v="REQ-10260"/>
        <s v="REQ-10261"/>
        <s v="REQ-10262"/>
        <s v="REQ-10263"/>
        <s v="REQ-10264"/>
        <s v="REQ-10265"/>
        <s v="REQ-10266"/>
        <s v="REQ-10267"/>
        <s v="REQ-10268"/>
        <s v="REQ-10269"/>
        <s v="REQ-10270"/>
        <s v="REQ-10271"/>
        <s v="REQ-10272"/>
        <s v="REQ-10273"/>
        <s v="REQ-10274"/>
        <s v="REQ-10275"/>
        <s v="REQ-10276"/>
        <s v="REQ-10277"/>
        <s v="REQ-10278"/>
        <s v="REQ-10279"/>
        <s v="REQ-10280"/>
        <s v="REQ-10281"/>
        <s v="REQ-10282"/>
        <s v="REQ-10283"/>
        <s v="REQ-10284"/>
        <s v="REQ-10285"/>
        <s v="REQ-10286"/>
        <s v="REQ-10287"/>
        <s v="REQ-10288"/>
        <s v="REQ-10289"/>
        <s v="REQ-10290"/>
        <s v="REQ-10291"/>
        <s v="REQ-10292"/>
        <s v="REQ-10293"/>
        <s v="REQ-10294"/>
        <s v="REQ-10295"/>
        <s v="REQ-10296"/>
        <s v="REQ-10297"/>
        <s v="REQ-10298"/>
        <s v="REQ-10299"/>
        <s v="REQ-10300"/>
        <s v="REQ-10301"/>
        <s v="REQ-10302"/>
        <s v="REQ-10303"/>
        <s v="REQ-10304"/>
        <s v="REQ-10305"/>
        <s v="REQ-10306"/>
        <s v="REQ-10307"/>
        <s v="REQ-10308"/>
        <s v="REQ-10309"/>
        <s v="REQ-10310"/>
        <s v="REQ-10311"/>
        <s v="REQ-10312"/>
        <s v="REQ-10313"/>
        <s v="REQ-10314"/>
        <s v="REQ-10315"/>
        <s v="REQ-10316"/>
        <s v="REQ-10317"/>
        <s v="REQ-10318"/>
        <s v="REQ-10319"/>
        <s v="REQ-10320"/>
        <s v="REQ-10321"/>
        <s v="REQ-10322"/>
        <s v="REQ-10323"/>
        <s v="REQ-10324"/>
        <s v="REQ-10325"/>
        <s v="REQ-10326"/>
        <s v="REQ-10327"/>
        <s v="REQ-10328"/>
        <s v="REQ-10329"/>
        <s v="REQ-10330"/>
        <s v="REQ-10331"/>
        <s v="REQ-10332"/>
        <s v="REQ-10333"/>
        <s v="REQ-10334"/>
        <s v="REQ-10335"/>
        <s v="REQ-10336"/>
        <s v="REQ-10337"/>
        <s v="REQ-10338"/>
        <s v="REQ-10339"/>
        <s v="REQ-10340"/>
        <s v="REQ-10341"/>
        <s v="REQ-10342"/>
        <s v="REQ-10343"/>
        <s v="REQ-10344"/>
        <s v="REQ-10345"/>
        <s v="REQ-10346"/>
        <s v="REQ-10347"/>
        <s v="REQ-10348"/>
        <s v="REQ-10349"/>
        <s v="REQ-10350"/>
        <s v="REQ-10351"/>
        <s v="REQ-10352"/>
        <s v="REQ-10353"/>
        <s v="REQ-10354"/>
        <s v="REQ-10355"/>
        <s v="REQ-10356"/>
        <s v="REQ-10357"/>
        <s v="REQ-10358"/>
        <s v="REQ-10359"/>
        <s v="REQ-10360"/>
        <s v="REQ-10361"/>
        <s v="REQ-10362"/>
        <s v="REQ-10363"/>
        <s v="REQ-10364"/>
        <s v="REQ-10365"/>
        <s v="REQ-10366"/>
        <s v="REQ-10367"/>
        <s v="REQ-10368"/>
        <s v="REQ-10369"/>
        <s v="REQ-10370"/>
        <s v="REQ-10371"/>
        <s v="REQ-10372"/>
        <s v="REQ-10373"/>
        <s v="REQ-10374"/>
        <s v="REQ-10375"/>
        <s v="REQ-10376"/>
        <s v="REQ-10377"/>
        <s v="REQ-10378"/>
        <s v="REQ-10379"/>
        <s v="REQ-10380"/>
        <s v="REQ-10381"/>
        <s v="REQ-10382"/>
        <s v="REQ-10383"/>
        <s v="REQ-10384"/>
        <s v="REQ-10385"/>
        <s v="REQ-10386"/>
        <s v="REQ-10387"/>
        <s v="REQ-10388"/>
        <s v="REQ-10389"/>
        <s v="REQ-10390"/>
        <s v="REQ-10391"/>
        <s v="REQ-10392"/>
        <s v="REQ-10393"/>
        <s v="REQ-10394"/>
        <s v="REQ-10395"/>
        <s v="REQ-10396"/>
        <s v="REQ-10397"/>
        <s v="REQ-10398"/>
        <s v="REQ-10399"/>
        <s v="REQ-10400"/>
        <s v="REQ-10401"/>
        <s v="REQ-10402"/>
        <s v="REQ-10403"/>
        <s v="REQ-10404"/>
        <s v="REQ-10405"/>
        <s v="REQ-10406"/>
        <s v="REQ-10407"/>
        <s v="REQ-10408"/>
        <s v="REQ-10409"/>
        <s v="REQ-10410"/>
        <s v="REQ-10411"/>
        <s v="REQ-10412"/>
        <s v="REQ-10413"/>
        <s v="REQ-10414"/>
        <s v="REQ-10415"/>
        <s v="REQ-10416"/>
        <s v="REQ-10417"/>
        <s v="REQ-10418"/>
        <s v="REQ-10419"/>
        <s v="REQ-10420"/>
        <s v="REQ-10421"/>
        <s v="REQ-10422"/>
        <s v="REQ-10423"/>
        <s v="REQ-10424"/>
        <s v="REQ-10425"/>
        <s v="REQ-10426"/>
        <s v="REQ-10427"/>
        <s v="REQ-10428"/>
        <s v="REQ-10429"/>
        <s v="REQ-10430"/>
        <s v="REQ-10431"/>
        <s v="REQ-10432"/>
        <s v="REQ-10433"/>
        <s v="REQ-10434"/>
        <s v="REQ-10435"/>
        <s v="REQ-10436"/>
        <s v="REQ-10437"/>
        <s v="REQ-10438"/>
        <s v="REQ-10439"/>
        <s v="REQ-10440"/>
        <s v="REQ-10441"/>
        <s v="REQ-10442"/>
        <s v="REQ-10443"/>
        <s v="REQ-10444"/>
        <s v="REQ-10445"/>
        <s v="REQ-10446"/>
        <s v="REQ-10447"/>
        <s v="REQ-10448"/>
        <s v="REQ-10449"/>
        <s v="REQ-10450"/>
        <s v="REQ-10451"/>
        <s v="REQ-10452"/>
        <s v="REQ-10453"/>
        <s v="REQ-10454"/>
        <s v="REQ-10455"/>
        <s v="REQ-10456"/>
        <s v="REQ-10457"/>
        <s v="REQ-10458"/>
        <s v="REQ-10459"/>
        <s v="REQ-10460"/>
        <s v="REQ-10461"/>
        <s v="REQ-10462"/>
        <s v="REQ-10463"/>
        <s v="REQ-10464"/>
        <s v="REQ-10465"/>
        <s v="REQ-10466"/>
        <s v="REQ-10467"/>
        <s v="REQ-10468"/>
        <s v="REQ-10469"/>
        <s v="REQ-10470"/>
        <s v="REQ-10471"/>
        <s v="REQ-10472"/>
        <s v="REQ-10473"/>
        <s v="REQ-10474"/>
        <s v="REQ-10475"/>
        <s v="REQ-10476"/>
        <s v="REQ-10477"/>
        <s v="REQ-10478"/>
        <s v="REQ-10479"/>
        <s v="REQ-10480"/>
        <s v="REQ-10481"/>
        <s v="REQ-10482"/>
        <s v="REQ-10483"/>
        <s v="REQ-10484"/>
        <s v="REQ-10485"/>
        <s v="REQ-10486"/>
        <s v="REQ-10487"/>
        <s v="REQ-10488"/>
        <s v="REQ-10489"/>
        <s v="REQ-10490"/>
        <s v="REQ-10491"/>
        <s v="REQ-10492"/>
        <s v="REQ-10493"/>
        <s v="REQ-10494"/>
        <s v="REQ-10495"/>
        <s v="REQ-10496"/>
        <s v="REQ-10497"/>
        <s v="REQ-10498"/>
        <s v="REQ-10499"/>
        <s v="REQ-10500"/>
        <s v="REQ-10501"/>
        <s v="REQ-10502"/>
        <s v="REQ-10503"/>
        <s v="REQ-10504"/>
        <s v="REQ-10505"/>
        <s v="REQ-10506"/>
        <s v="REQ-10507"/>
        <s v="REQ-10508"/>
        <s v="REQ-10509"/>
        <s v="REQ-10510"/>
        <s v="REQ-10511"/>
        <s v="REQ-10512"/>
        <s v="REQ-10513"/>
        <s v="REQ-10514"/>
        <s v="REQ-10515"/>
        <s v="REQ-10516"/>
        <s v="REQ-10517"/>
        <s v="REQ-10518"/>
        <s v="REQ-10519"/>
        <s v="REQ-10520"/>
        <s v="REQ-10521"/>
        <s v="REQ-10522"/>
        <s v="REQ-10523"/>
        <s v="REQ-10524"/>
        <s v="REQ-10525"/>
        <s v="REQ-10526"/>
        <s v="REQ-10527"/>
        <s v="REQ-10528"/>
        <s v="REQ-10529"/>
        <s v="REQ-10530"/>
        <s v="REQ-10531"/>
        <s v="REQ-10532"/>
        <s v="REQ-10533"/>
        <s v="REQ-10534"/>
        <s v="REQ-10535"/>
        <s v="REQ-10536"/>
        <s v="REQ-10537"/>
        <s v="REQ-10538"/>
        <s v="REQ-10539"/>
        <s v="REQ-10540"/>
        <s v="REQ-10541"/>
        <s v="REQ-10542"/>
        <s v="REQ-10543"/>
        <s v="REQ-10544"/>
        <s v="REQ-10545"/>
        <s v="REQ-10546"/>
        <s v="REQ-10547"/>
        <s v="REQ-10548"/>
        <s v="REQ-10549"/>
        <s v="REQ-10550"/>
        <s v="REQ-10551"/>
        <s v="REQ-10552"/>
        <s v="REQ-10553"/>
        <s v="REQ-10554"/>
        <s v="REQ-10555"/>
        <s v="REQ-10556"/>
        <s v="REQ-10557"/>
        <s v="REQ-10558"/>
        <s v="REQ-10559"/>
        <s v="REQ-10560"/>
        <s v="REQ-10561"/>
        <s v="REQ-10562"/>
        <s v="REQ-10563"/>
        <s v="REQ-10564"/>
        <s v="REQ-10565"/>
        <s v="REQ-10566"/>
        <s v="REQ-10567"/>
        <s v="REQ-10568"/>
        <s v="REQ-10569"/>
        <s v="REQ-10570"/>
        <s v="REQ-10571"/>
        <s v="REQ-10572"/>
        <s v="REQ-10573"/>
        <s v="REQ-10574"/>
        <s v="REQ-10575"/>
        <s v="REQ-10576"/>
        <s v="REQ-10577"/>
        <s v="REQ-10578"/>
        <s v="REQ-10579"/>
        <s v="REQ-10580"/>
        <s v="REQ-10581"/>
        <s v="REQ-10582"/>
        <s v="REQ-10583"/>
        <s v="REQ-10584"/>
        <s v="REQ-10585"/>
        <s v="REQ-10586"/>
        <s v="REQ-10587"/>
        <s v="REQ-10588"/>
        <s v="REQ-10589"/>
        <s v="REQ-10590"/>
        <s v="REQ-10591"/>
        <s v="REQ-10592"/>
        <s v="REQ-10593"/>
        <s v="REQ-10594"/>
        <s v="REQ-10595"/>
        <s v="REQ-10596"/>
        <s v="REQ-10597"/>
        <s v="REQ-10598"/>
        <s v="REQ-10599"/>
        <s v="REQ-10600"/>
        <s v="REQ-10601"/>
        <s v="REQ-10602"/>
        <s v="REQ-10603"/>
        <s v="REQ-10604"/>
        <s v="REQ-10605"/>
        <s v="REQ-10606"/>
        <s v="REQ-10607"/>
        <s v="REQ-10608"/>
        <s v="REQ-10609"/>
        <s v="REQ-10610"/>
        <s v="REQ-10611"/>
        <s v="REQ-10612"/>
        <s v="REQ-10613"/>
        <s v="REQ-10614"/>
        <s v="REQ-10615"/>
        <s v="REQ-10616"/>
        <s v="REQ-10617"/>
        <s v="REQ-10618"/>
        <s v="REQ-10619"/>
        <s v="REQ-10620"/>
        <s v="REQ-10621"/>
        <s v="REQ-10622"/>
        <s v="REQ-10623"/>
        <s v="REQ-10624"/>
        <s v="REQ-10625"/>
        <s v="REQ-10626"/>
        <s v="REQ-10627"/>
        <s v="REQ-10628"/>
        <s v="REQ-10629"/>
        <s v="REQ-10630"/>
        <s v="REQ-10631"/>
        <s v="REQ-10632"/>
        <s v="REQ-10633"/>
        <s v="REQ-10634"/>
        <s v="REQ-10635"/>
        <s v="REQ-10636"/>
        <s v="REQ-10637"/>
        <s v="REQ-10638"/>
        <s v="REQ-10639"/>
        <s v="REQ-10640"/>
        <s v="REQ-10641"/>
        <s v="REQ-10642"/>
        <s v="REQ-10643"/>
        <s v="REQ-10644"/>
        <s v="REQ-10645"/>
        <s v="REQ-10646"/>
        <s v="REQ-10647"/>
        <s v="REQ-10648"/>
        <s v="REQ-10649"/>
        <s v="REQ-10650"/>
        <s v="REQ-10651"/>
        <s v="REQ-10652"/>
        <s v="REQ-10653"/>
        <s v="REQ-10654"/>
        <s v="REQ-10655"/>
        <s v="REQ-10656"/>
        <s v="REQ-10657"/>
        <s v="REQ-10658"/>
        <s v="REQ-10659"/>
        <s v="REQ-10660"/>
        <s v="REQ-10661"/>
        <s v="REQ-10662"/>
        <s v="REQ-10663"/>
        <s v="REQ-10664"/>
        <s v="REQ-10665"/>
        <s v="REQ-10666"/>
        <s v="REQ-10667"/>
        <s v="REQ-10668"/>
        <s v="REQ-10669"/>
        <s v="REQ-10670"/>
        <s v="REQ-10671"/>
        <s v="REQ-10672"/>
        <s v="REQ-10673"/>
        <s v="REQ-10674"/>
        <s v="REQ-10675"/>
        <s v="REQ-10676"/>
        <s v="REQ-10677"/>
        <s v="REQ-10678"/>
        <s v="REQ-10679"/>
        <s v="REQ-10680"/>
        <s v="REQ-10681"/>
        <s v="REQ-10682"/>
        <s v="REQ-10683"/>
        <s v="REQ-10684"/>
        <s v="REQ-10685"/>
        <s v="REQ-10686"/>
        <s v="REQ-10687"/>
        <s v="REQ-10688"/>
        <s v="REQ-10689"/>
        <s v="REQ-10690"/>
        <s v="REQ-10691"/>
        <s v="REQ-10692"/>
        <s v="REQ-10693"/>
        <s v="REQ-10694"/>
        <s v="REQ-10695"/>
        <s v="REQ-10696"/>
        <s v="REQ-10697"/>
        <s v="REQ-10698"/>
        <s v="REQ-10699"/>
        <s v="REQ-10700"/>
        <s v="REQ-10701"/>
        <s v="REQ-10702"/>
        <s v="REQ-10703"/>
        <s v="REQ-10704"/>
        <s v="REQ-10705"/>
        <s v="REQ-10706"/>
        <s v="REQ-10707"/>
        <s v="REQ-10708"/>
        <s v="REQ-10709"/>
        <s v="REQ-10710"/>
        <s v="REQ-10711"/>
        <s v="REQ-10712"/>
        <s v="REQ-10713"/>
        <s v="REQ-10714"/>
        <s v="REQ-10715"/>
        <s v="REQ-10716"/>
        <s v="REQ-10717"/>
        <s v="REQ-10718"/>
        <s v="REQ-10719"/>
        <s v="REQ-10720"/>
        <s v="REQ-10721"/>
        <s v="REQ-10722"/>
        <s v="REQ-10723"/>
        <s v="REQ-10724"/>
        <s v="REQ-10725"/>
        <s v="REQ-10726"/>
        <s v="REQ-10727"/>
        <s v="REQ-10728"/>
        <s v="REQ-10729"/>
        <s v="REQ-10730"/>
        <s v="REQ-10731"/>
        <s v="REQ-10732"/>
        <s v="REQ-10733"/>
        <s v="REQ-10734"/>
        <s v="REQ-10735"/>
        <s v="REQ-10736"/>
        <s v="REQ-10737"/>
        <s v="REQ-10738"/>
        <s v="REQ-10739"/>
        <s v="REQ-10740"/>
        <s v="REQ-10741"/>
        <s v="REQ-10742"/>
        <s v="REQ-10743"/>
        <s v="REQ-10744"/>
        <s v="REQ-10745"/>
        <s v="REQ-10746"/>
        <s v="REQ-10747"/>
        <s v="REQ-10748"/>
        <s v="REQ-10749"/>
        <s v="REQ-10750"/>
        <s v="REQ-10751"/>
        <s v="REQ-10752"/>
        <s v="REQ-10753"/>
        <s v="REQ-10754"/>
        <s v="REQ-10755"/>
        <s v="REQ-10756"/>
        <s v="REQ-10757"/>
        <s v="REQ-10758"/>
        <s v="REQ-10759"/>
        <s v="REQ-10760"/>
        <s v="REQ-10761"/>
        <s v="REQ-10762"/>
        <s v="REQ-10763"/>
        <s v="REQ-10764"/>
        <s v="REQ-10765"/>
        <s v="REQ-10766"/>
        <s v="REQ-10767"/>
        <s v="REQ-10768"/>
        <s v="REQ-10769"/>
        <s v="REQ-10770"/>
        <s v="REQ-10771"/>
        <s v="REQ-10772"/>
        <s v="REQ-10773"/>
        <s v="REQ-10774"/>
        <s v="REQ-10775"/>
        <s v="REQ-10776"/>
        <s v="REQ-10777"/>
        <s v="REQ-10778"/>
        <s v="REQ-10779"/>
        <s v="REQ-10780"/>
        <s v="REQ-10781"/>
        <s v="REQ-10782"/>
        <s v="REQ-10783"/>
        <s v="REQ-10784"/>
        <s v="REQ-10785"/>
        <s v="REQ-10786"/>
        <s v="REQ-10787"/>
        <s v="REQ-10788"/>
        <s v="REQ-10789"/>
        <s v="REQ-10790"/>
        <s v="REQ-10791"/>
        <s v="REQ-10792"/>
        <s v="REQ-10793"/>
        <s v="REQ-10794"/>
        <s v="REQ-10795"/>
        <s v="REQ-10796"/>
        <s v="REQ-10797"/>
        <s v="REQ-10798"/>
        <s v="REQ-10799"/>
        <s v="REQ-10800"/>
        <s v="REQ-10801"/>
        <s v="REQ-10802"/>
        <s v="REQ-10803"/>
        <s v="REQ-10804"/>
        <s v="REQ-10805"/>
        <s v="REQ-10806"/>
        <s v="REQ-10807"/>
        <s v="REQ-10808"/>
        <s v="REQ-10809"/>
        <s v="REQ-10810"/>
        <s v="REQ-10811"/>
        <s v="REQ-10812"/>
        <s v="REQ-10813"/>
        <s v="REQ-10814"/>
        <s v="REQ-10815"/>
        <s v="REQ-10816"/>
        <s v="REQ-10817"/>
        <s v="REQ-10818"/>
        <s v="REQ-10819"/>
        <s v="REQ-10820"/>
        <s v="REQ-10821"/>
        <s v="REQ-10822"/>
        <s v="REQ-10823"/>
        <s v="REQ-10824"/>
        <s v="REQ-10825"/>
        <s v="REQ-10826"/>
        <s v="REQ-10827"/>
        <s v="REQ-10828"/>
        <s v="REQ-10829"/>
        <s v="REQ-10830"/>
        <s v="REQ-10831"/>
        <s v="REQ-10832"/>
        <s v="REQ-10833"/>
        <s v="REQ-10834"/>
        <s v="REQ-10835"/>
        <s v="REQ-10836"/>
        <s v="REQ-10837"/>
        <s v="REQ-10838"/>
        <s v="REQ-10839"/>
        <s v="REQ-10840"/>
        <s v="REQ-10841"/>
        <s v="REQ-10842"/>
        <s v="REQ-10843"/>
        <s v="REQ-10844"/>
        <s v="REQ-10845"/>
        <s v="REQ-10846"/>
        <s v="REQ-10847"/>
        <s v="REQ-10848"/>
        <s v="REQ-10849"/>
        <s v="REQ-10850"/>
        <s v="REQ-10851"/>
        <s v="REQ-10852"/>
        <s v="REQ-10853"/>
        <s v="REQ-10854"/>
        <s v="REQ-10855"/>
        <s v="REQ-10856"/>
        <s v="REQ-10857"/>
        <s v="REQ-10858"/>
        <s v="REQ-10859"/>
        <s v="REQ-10860"/>
        <s v="REQ-10861"/>
        <s v="REQ-10862"/>
        <s v="REQ-10863"/>
        <s v="REQ-10864"/>
        <s v="REQ-10865"/>
        <s v="REQ-10866"/>
        <s v="REQ-10867"/>
        <s v="REQ-10868"/>
        <s v="REQ-10869"/>
        <s v="REQ-10870"/>
        <s v="REQ-10871"/>
        <s v="REQ-10872"/>
        <s v="REQ-10873"/>
        <s v="REQ-10874"/>
        <s v="REQ-10875"/>
        <s v="REQ-10876"/>
        <s v="REQ-10877"/>
        <s v="REQ-10878"/>
        <s v="REQ-10879"/>
        <s v="REQ-10880"/>
        <s v="REQ-10881"/>
        <s v="REQ-10882"/>
        <s v="REQ-10883"/>
        <s v="REQ-10884"/>
        <s v="REQ-10885"/>
        <s v="REQ-10886"/>
        <s v="REQ-10887"/>
        <s v="REQ-10888"/>
        <s v="REQ-10889"/>
        <s v="REQ-10890"/>
        <s v="REQ-10891"/>
        <s v="REQ-10892"/>
        <s v="REQ-10893"/>
        <s v="REQ-10894"/>
        <s v="REQ-10895"/>
        <s v="REQ-10896"/>
        <s v="REQ-10897"/>
        <s v="REQ-10898"/>
        <s v="REQ-10899"/>
        <s v="REQ-10900"/>
        <s v="REQ-10901"/>
        <s v="REQ-10902"/>
        <s v="REQ-10903"/>
        <s v="REQ-10904"/>
        <s v="REQ-10905"/>
        <s v="REQ-10906"/>
        <s v="REQ-10907"/>
        <s v="REQ-10908"/>
        <s v="REQ-10909"/>
        <s v="REQ-10910"/>
        <s v="REQ-10911"/>
        <s v="REQ-10912"/>
        <s v="REQ-10913"/>
        <s v="REQ-10914"/>
        <s v="REQ-10915"/>
        <s v="REQ-10916"/>
        <s v="REQ-10917"/>
        <s v="REQ-10918"/>
        <s v="REQ-10919"/>
        <s v="REQ-10920"/>
        <s v="REQ-10921"/>
        <s v="REQ-10922"/>
        <s v="REQ-10923"/>
        <s v="REQ-10924"/>
        <s v="REQ-10925"/>
        <s v="REQ-10926"/>
        <s v="REQ-10927"/>
        <s v="REQ-10928"/>
        <s v="REQ-10929"/>
        <s v="REQ-10930"/>
        <s v="REQ-10931"/>
        <s v="REQ-10932"/>
        <s v="REQ-10933"/>
        <s v="REQ-10934"/>
        <s v="REQ-10935"/>
        <s v="REQ-10936"/>
        <s v="REQ-10937"/>
        <s v="REQ-10938"/>
        <s v="REQ-10939"/>
        <s v="REQ-10940"/>
        <s v="REQ-10941"/>
        <s v="REQ-10942"/>
        <s v="REQ-10943"/>
        <s v="REQ-10944"/>
        <s v="REQ-10945"/>
        <s v="REQ-10946"/>
        <s v="REQ-10947"/>
        <s v="REQ-10948"/>
        <s v="REQ-10949"/>
        <s v="REQ-10950"/>
        <s v="REQ-10951"/>
        <s v="REQ-10952"/>
        <s v="REQ-10953"/>
        <s v="REQ-10954"/>
        <s v="REQ-10955"/>
        <s v="REQ-10956"/>
        <s v="REQ-10957"/>
        <s v="REQ-10958"/>
        <s v="REQ-10959"/>
        <s v="REQ-10960"/>
        <s v="REQ-10961"/>
        <s v="REQ-10962"/>
        <s v="REQ-10963"/>
        <s v="REQ-10964"/>
        <s v="REQ-10965"/>
        <s v="REQ-10966"/>
        <s v="REQ-10967"/>
        <s v="REQ-10968"/>
        <s v="REQ-10969"/>
        <s v="REQ-10970"/>
        <s v="REQ-10971"/>
        <s v="REQ-10972"/>
        <s v="REQ-10973"/>
        <s v="REQ-10974"/>
        <s v="REQ-10975"/>
        <s v="REQ-10976"/>
        <s v="REQ-10977"/>
        <s v="REQ-10978"/>
        <s v="REQ-10979"/>
        <s v="REQ-10980"/>
        <s v="REQ-10981"/>
        <s v="REQ-10982"/>
        <s v="REQ-10983"/>
        <s v="REQ-10984"/>
        <s v="REQ-10985"/>
        <s v="REQ-10986"/>
        <s v="REQ-10987"/>
        <s v="REQ-10988"/>
        <s v="REQ-10989"/>
        <s v="REQ-10990"/>
        <s v="REQ-10991"/>
        <s v="REQ-10992"/>
        <s v="REQ-10993"/>
        <s v="REQ-10994"/>
        <s v="REQ-10995"/>
        <s v="REQ-10996"/>
        <s v="REQ-10997"/>
        <s v="REQ-10998"/>
        <s v="REQ-10999"/>
        <s v="REQ-11000"/>
        <s v="REQ-11001"/>
        <s v="REQ-11002"/>
        <s v="REQ-11003"/>
        <s v="REQ-11004"/>
        <s v="REQ-11005"/>
        <s v="REQ-11006"/>
        <s v="REQ-11007"/>
        <s v="REQ-11008"/>
        <s v="REQ-11009"/>
        <s v="REQ-11010"/>
        <s v="REQ-11011"/>
        <s v="REQ-11012"/>
        <s v="REQ-11013"/>
        <s v="REQ-11014"/>
        <s v="REQ-11015"/>
        <s v="REQ-11016"/>
        <s v="REQ-11017"/>
        <s v="REQ-11018"/>
        <s v="REQ-11019"/>
        <s v="REQ-11020"/>
        <s v="REQ-11021"/>
        <s v="REQ-11022"/>
        <s v="REQ-11023"/>
        <s v="REQ-11024"/>
        <s v="REQ-11025"/>
        <s v="REQ-11026"/>
        <s v="REQ-11027"/>
        <s v="REQ-11028"/>
        <s v="REQ-11029"/>
        <s v="REQ-11030"/>
        <s v="REQ-11031"/>
        <s v="REQ-11032"/>
        <s v="REQ-11033"/>
        <s v="REQ-11034"/>
        <s v="REQ-11035"/>
        <s v="REQ-11036"/>
        <s v="REQ-11037"/>
        <s v="REQ-11038"/>
        <s v="REQ-11039"/>
        <s v="REQ-11040"/>
        <s v="REQ-11041"/>
        <s v="REQ-11042"/>
        <s v="REQ-11043"/>
        <s v="REQ-11044"/>
        <s v="REQ-11045"/>
        <s v="REQ-11046"/>
        <s v="REQ-11047"/>
        <s v="REQ-11048"/>
        <s v="REQ-11049"/>
        <s v="REQ-11050"/>
        <s v="REQ-11051"/>
        <s v="REQ-11052"/>
        <s v="REQ-11053"/>
        <s v="REQ-11054"/>
        <s v="REQ-11055"/>
        <s v="REQ-11056"/>
        <s v="REQ-11057"/>
        <s v="REQ-11058"/>
        <s v="REQ-11059"/>
        <s v="REQ-11060"/>
        <s v="REQ-11061"/>
        <s v="REQ-11062"/>
        <s v="REQ-11063"/>
        <s v="REQ-11064"/>
        <s v="REQ-11065"/>
        <s v="REQ-11066"/>
        <s v="REQ-11067"/>
        <s v="REQ-11068"/>
        <s v="REQ-11069"/>
        <s v="REQ-11070"/>
        <s v="REQ-11071"/>
        <s v="REQ-11072"/>
        <s v="REQ-11073"/>
        <s v="REQ-11074"/>
        <s v="REQ-11075"/>
        <s v="REQ-11076"/>
        <s v="REQ-11077"/>
        <s v="REQ-11078"/>
        <s v="REQ-11079"/>
        <s v="REQ-11080"/>
        <s v="REQ-11081"/>
        <s v="REQ-11082"/>
        <s v="REQ-11083"/>
        <s v="REQ-11084"/>
        <s v="REQ-11085"/>
        <s v="REQ-11086"/>
        <s v="REQ-11087"/>
        <s v="REQ-11088"/>
        <s v="REQ-11089"/>
        <s v="REQ-11090"/>
        <s v="REQ-11091"/>
        <s v="REQ-11092"/>
        <s v="REQ-11093"/>
        <s v="REQ-11094"/>
        <s v="REQ-11095"/>
        <s v="REQ-11096"/>
        <s v="REQ-11097"/>
        <s v="REQ-11098"/>
        <s v="REQ-11099"/>
        <s v="REQ-11100"/>
        <s v="REQ-11101"/>
        <s v="REQ-11102"/>
        <s v="REQ-11103"/>
        <s v="REQ-11104"/>
        <s v="REQ-11105"/>
        <s v="REQ-11106"/>
        <s v="REQ-11107"/>
        <s v="REQ-11108"/>
        <s v="REQ-11109"/>
        <s v="REQ-11110"/>
        <s v="REQ-11111"/>
        <s v="REQ-11112"/>
        <s v="REQ-11113"/>
        <s v="REQ-11114"/>
        <s v="REQ-11115"/>
        <s v="REQ-11116"/>
        <s v="REQ-11117"/>
        <s v="REQ-11118"/>
        <s v="REQ-11119"/>
        <s v="REQ-11120"/>
        <s v="REQ-11121"/>
        <s v="REQ-11122"/>
        <s v="REQ-11123"/>
        <s v="REQ-11124"/>
        <s v="REQ-11125"/>
        <s v="REQ-11126"/>
        <s v="REQ-11127"/>
        <s v="REQ-11128"/>
        <s v="REQ-11129"/>
        <s v="REQ-11130"/>
        <s v="REQ-11131"/>
        <s v="REQ-11132"/>
        <s v="REQ-11133"/>
        <s v="REQ-11134"/>
        <s v="REQ-11135"/>
        <s v="REQ-11136"/>
        <s v="REQ-11137"/>
        <s v="REQ-11138"/>
        <s v="REQ-11139"/>
        <s v="REQ-11140"/>
        <s v="REQ-11141"/>
        <s v="REQ-11142"/>
        <s v="REQ-11143"/>
        <s v="REQ-11144"/>
        <s v="REQ-11145"/>
        <s v="REQ-11146"/>
        <s v="REQ-11147"/>
        <s v="REQ-11148"/>
        <s v="REQ-11149"/>
        <s v="REQ-11150"/>
        <s v="REQ-11151"/>
        <s v="REQ-11152"/>
        <s v="REQ-11153"/>
        <s v="REQ-11154"/>
        <s v="REQ-11155"/>
        <s v="REQ-11156"/>
        <s v="REQ-11157"/>
        <s v="REQ-11158"/>
        <s v="REQ-11159"/>
        <s v="REQ-11160"/>
        <s v="REQ-11161"/>
        <s v="REQ-11162"/>
        <s v="REQ-11163"/>
        <s v="REQ-11164"/>
        <s v="REQ-11165"/>
        <s v="REQ-11166"/>
        <s v="REQ-11167"/>
        <s v="REQ-11168"/>
        <s v="REQ-11169"/>
        <s v="REQ-11170"/>
        <s v="REQ-11171"/>
        <s v="REQ-11172"/>
        <s v="REQ-11173"/>
        <s v="REQ-11174"/>
        <s v="REQ-11175"/>
        <s v="REQ-11176"/>
        <s v="REQ-11177"/>
        <s v="REQ-11178"/>
        <s v="REQ-11179"/>
        <s v="REQ-11180"/>
        <s v="REQ-11181"/>
        <s v="REQ-11182"/>
        <s v="REQ-11183"/>
        <s v="REQ-11184"/>
        <s v="REQ-11185"/>
        <s v="REQ-11186"/>
        <s v="REQ-11187"/>
        <s v="REQ-11188"/>
        <s v="REQ-11189"/>
        <s v="REQ-11190"/>
        <s v="REQ-11191"/>
        <s v="REQ-11192"/>
        <s v="REQ-11193"/>
        <s v="REQ-11194"/>
        <s v="REQ-11195"/>
        <s v="REQ-11196"/>
        <s v="REQ-11197"/>
        <s v="REQ-11198"/>
        <s v="REQ-11199"/>
        <s v="REQ-11200"/>
        <s v="REQ-11201"/>
        <s v="REQ-11202"/>
        <s v="REQ-11203"/>
        <s v="REQ-11204"/>
        <s v="REQ-11205"/>
        <s v="REQ-11206"/>
        <s v="REQ-11207"/>
        <s v="REQ-11208"/>
        <s v="REQ-11209"/>
        <s v="REQ-11210"/>
        <s v="REQ-11211"/>
        <s v="REQ-11212"/>
        <s v="REQ-11213"/>
        <s v="REQ-11214"/>
        <s v="REQ-11215"/>
        <s v="REQ-11216"/>
        <s v="REQ-11217"/>
        <s v="REQ-11218"/>
        <s v="REQ-11219"/>
        <s v="REQ-11220"/>
        <s v="REQ-11221"/>
        <s v="REQ-11222"/>
        <s v="REQ-11223"/>
        <s v="REQ-11224"/>
        <s v="REQ-11225"/>
        <s v="REQ-11226"/>
        <s v="REQ-11227"/>
        <s v="REQ-11228"/>
        <s v="REQ-11229"/>
        <s v="REQ-11230"/>
        <s v="REQ-11231"/>
        <s v="REQ-11232"/>
        <s v="REQ-11233"/>
        <s v="REQ-11234"/>
        <s v="REQ-11235"/>
        <s v="REQ-11236"/>
        <s v="REQ-11237"/>
        <s v="REQ-11238"/>
        <s v="REQ-11239"/>
        <s v="REQ-11240"/>
        <s v="REQ-11241"/>
        <s v="REQ-11242"/>
        <s v="REQ-11243"/>
        <s v="REQ-11244"/>
        <s v="REQ-11245"/>
        <s v="REQ-11246"/>
        <s v="REQ-11247"/>
        <s v="REQ-11248"/>
        <s v="REQ-11249"/>
        <s v="REQ-11250"/>
        <m/>
      </sharedItems>
    </cacheField>
    <cacheField name="Cliente" numFmtId="0">
      <sharedItems containsBlank="1"/>
    </cacheField>
    <cacheField name="Data" numFmtId="0">
      <sharedItems containsNonDate="0" containsDate="1" containsString="0" containsBlank="1" minDate="2025-01-01T00:00:00" maxDate="2026-02-06T00:00:00"/>
    </cacheField>
    <cacheField name="Vendedor" numFmtId="0">
      <sharedItems containsBlank="1" count="6">
        <s v="Camila Rocha"/>
        <s v="Bruno Martins"/>
        <s v="Rodrigo Mello"/>
        <s v="Amanda Costa"/>
        <s v="Larissa Dias"/>
        <m/>
      </sharedItems>
    </cacheField>
    <cacheField name="Categoria" numFmtId="0">
      <sharedItems containsBlank="1" count="5">
        <s v="Eletrodomésticos"/>
        <s v="Livros"/>
        <s v="Moda"/>
        <s v="Eletrônicos"/>
        <m/>
      </sharedItems>
    </cacheField>
    <cacheField name="Produto" numFmtId="0">
      <sharedItems containsBlank="1" count="17">
        <s v="Micro-ondas 30L"/>
        <s v="Gestão Ágil de Projetos"/>
        <s v="Camiseta Algodão"/>
        <s v="Fone Bluetooth"/>
        <s v="Air Fryer Max"/>
        <s v="Ficção: O Amanhã"/>
        <s v="Jaqueta Corta-Vento"/>
        <s v="Smartwatch Sync"/>
        <s v="Smartphone X"/>
        <s v="Mindset Vencedor"/>
        <s v="Tênis Casual"/>
        <s v="Calça Jeans Slim"/>
        <s v="Notebook Pro"/>
        <s v="Liquidificador Turbo"/>
        <s v="O Império da IA"/>
        <s v="Cafeteira Espresso"/>
        <m/>
      </sharedItems>
    </cacheField>
    <cacheField name="Quantidade" numFmtId="0">
      <sharedItems containsString="0" containsBlank="1" containsNumber="1" containsInteger="1" minValue="1" maxValue="5"/>
    </cacheField>
    <cacheField name="Valor Unitário" numFmtId="0">
      <sharedItems containsString="0" containsBlank="1" containsNumber="1" containsInteger="1" minValue="39" maxValue="4500" count="17">
        <n v="650"/>
        <n v="89"/>
        <n v="79"/>
        <n v="299"/>
        <n v="450"/>
        <n v="45"/>
        <n v="199"/>
        <n v="799"/>
        <n v="2500"/>
        <n v="39"/>
        <n v="249"/>
        <n v="149"/>
        <n v="4500"/>
        <n v="180"/>
        <n v="59"/>
        <n v="350"/>
        <m/>
      </sharedItems>
    </cacheField>
    <cacheField name="Desconto" numFmtId="0">
      <sharedItems containsString="0" containsBlank="1" containsNumber="1" minValue="0" maxValue="3267.95"/>
    </cacheField>
    <cacheField name="Valor Total" numFmtId="0">
      <sharedItems containsString="0" containsBlank="1" containsNumber="1" minValue="33.61" maxValue="22500" count="707">
        <n v="1151.6300000000001"/>
        <n v="267"/>
        <n v="344.09"/>
        <n v="209.63"/>
        <n v="593.63"/>
        <n v="1267.8599999999999"/>
        <n v="206.24"/>
        <n v="160.16"/>
        <n v="90"/>
        <n v="169.68"/>
        <n v="1598"/>
        <n v="11110.02"/>
        <n v="170.99"/>
        <n v="5000"/>
        <n v="151.88"/>
        <n v="195.72"/>
        <n v="117"/>
        <n v="450"/>
        <n v="747"/>
        <n v="195"/>
        <n v="417.43"/>
        <n v="158"/>
        <n v="12852.15"/>
        <n v="9000"/>
        <n v="245.01"/>
        <n v="1141.24"/>
        <n v="1350"/>
        <n v="720"/>
        <n v="13500"/>
        <n v="45"/>
        <n v="995"/>
        <n v="4711.43"/>
        <n v="595.26"/>
        <n v="4500"/>
        <n v="156"/>
        <n v="797.81"/>
        <n v="113.37"/>
        <n v="8487.8700000000008"/>
        <n v="796"/>
        <n v="1749.71"/>
        <n v="276.45999999999998"/>
        <n v="650"/>
        <n v="3250"/>
        <n v="22500"/>
        <n v="3196"/>
        <n v="137.72999999999999"/>
        <n v="356"/>
        <n v="452.24"/>
        <n v="440"/>
        <n v="447"/>
        <n v="383.27"/>
        <n v="2594.33"/>
        <n v="890.45"/>
        <n v="163.66"/>
        <n v="793.5"/>
        <n v="8817.18"/>
        <n v="2500"/>
        <n v="395"/>
        <n v="12500"/>
        <n v="153.99"/>
        <n v="44.5"/>
        <n v="700"/>
        <n v="691.82"/>
        <n v="149"/>
        <n v="80.31"/>
        <n v="817.81"/>
        <n v="299"/>
        <n v="2553.33"/>
        <n v="1300"/>
        <n v="1294.1600000000001"/>
        <n v="1208.92"/>
        <n v="225"/>
        <n v="706.91"/>
        <n v="519.77"/>
        <n v="1950"/>
        <n v="1502.28"/>
        <n v="1621.1399999999999"/>
        <n v="590.85"/>
        <n v="543.75"/>
        <n v="298"/>
        <n v="2969.83"/>
        <n v="1396.66"/>
        <n v="284.75"/>
        <n v="409.83"/>
        <n v="1094.81"/>
        <n v="79"/>
        <n v="1634.34"/>
        <n v="77.31"/>
        <n v="435.99"/>
        <n v="360"/>
        <n v="900"/>
        <n v="15946.3"/>
        <n v="295"/>
        <n v="213.06"/>
        <n v="591.28"/>
        <n v="180"/>
        <n v="546"/>
        <n v="579.59"/>
        <n v="178"/>
        <n v="128.97"/>
        <n v="13419.76"/>
        <n v="636.08000000000004"/>
        <n v="18000"/>
        <n v="216.3"/>
        <n v="2223.8200000000002"/>
        <n v="1038.1600000000001"/>
        <n v="59"/>
        <n v="8576.35"/>
        <n v="73.92"/>
        <n v="58.92"/>
        <n v="290.33"/>
        <n v="773.57"/>
        <n v="177"/>
        <n v="3898.48"/>
        <n v="112.75"/>
        <n v="7500"/>
        <n v="498"/>
        <n v="731.76"/>
        <n v="633.71"/>
        <n v="53.19"/>
        <n v="1137.97"/>
        <n v="2250"/>
        <n v="223.08"/>
        <n v="896.36"/>
        <n v="660.33"/>
        <n v="211.07"/>
        <n v="1050"/>
        <n v="780.45"/>
        <n v="2600"/>
        <n v="584.55999999999995"/>
        <n v="178.19"/>
        <n v="153.97"/>
        <n v="1198.05"/>
        <n v="329.56"/>
        <n v="699.48"/>
        <n v="169.43"/>
        <n v="428.58"/>
        <n v="220.19"/>
        <n v="115.67"/>
        <n v="2159.16"/>
        <n v="728.44"/>
        <n v="3667.51"/>
        <n v="1175.53"/>
        <n v="236"/>
        <n v="961.25"/>
        <n v="489.37"/>
        <n v="237"/>
        <n v="745"/>
        <n v="57.44"/>
        <n v="316"/>
        <n v="1092.98"/>
        <n v="3031.62"/>
        <n v="1750"/>
        <n v="902.53"/>
        <n v="411.90999999999997"/>
        <n v="1245"/>
        <n v="301.77999999999997"/>
        <n v="40.54"/>
        <n v="445"/>
        <n v="1181.3900000000001"/>
        <n v="89"/>
        <n v="135"/>
        <n v="12474.59"/>
        <n v="85.17"/>
        <n v="2160.92"/>
        <n v="2202.1799999999998"/>
        <n v="344.88"/>
        <n v="1202.1099999999999"/>
        <n v="670.51"/>
        <n v="324.79000000000002"/>
        <n v="172.86"/>
        <n v="118"/>
        <n v="207.36"/>
        <n v="570.57000000000005"/>
        <n v="3194.73"/>
        <n v="904.47"/>
        <n v="342.58"/>
        <n v="794.87"/>
        <n v="623.86"/>
        <n v="195.54"/>
        <n v="173.32"/>
        <n v="3152.51"/>
        <n v="164.75"/>
        <n v="213.57"/>
        <n v="3995"/>
        <n v="139.94999999999999"/>
        <n v="721.91"/>
        <n v="199"/>
        <n v="2315.83"/>
        <n v="2298.38"/>
        <n v="598"/>
        <n v="74.63"/>
        <n v="231.01"/>
        <n v="194.43"/>
        <n v="167.85"/>
        <n v="19245.96"/>
        <n v="157.5"/>
        <n v="3844.14"/>
        <n v="884.42"/>
        <n v="1635.93"/>
        <n v="174.29"/>
        <n v="876.68000000000006"/>
        <n v="100.93"/>
        <n v="1289.48"/>
        <n v="436.05"/>
        <n v="754.13"/>
        <n v="523.93000000000006"/>
        <n v="8518.34"/>
        <n v="129.80000000000001"/>
        <n v="144.35"/>
        <n v="1196"/>
        <n v="70.87"/>
        <n v="34.97"/>
        <n v="597"/>
        <n v="420.29"/>
        <n v="39"/>
        <n v="277.8"/>
        <n v="307.32"/>
        <n v="286.26"/>
        <n v="3450.33"/>
        <n v="229.56"/>
        <n v="1400"/>
        <n v="730.25"/>
        <n v="282.33"/>
        <n v="280.02"/>
        <n v="4438.16"/>
        <n v="618.29"/>
        <n v="78"/>
        <n v="143.03"/>
        <n v="1166.2"/>
        <n v="229.77"/>
        <n v="2150.56"/>
        <n v="16103.7"/>
        <n v="790.08"/>
        <n v="344.13"/>
        <n v="758.12"/>
        <n v="628.91"/>
        <n v="436.37"/>
        <n v="191.12"/>
        <n v="177.38"/>
        <n v="404.38"/>
        <n v="54.99"/>
        <n v="598.43000000000006"/>
        <n v="210.26"/>
        <n v="345.08"/>
        <n v="88.69"/>
        <n v="2397"/>
        <n v="74.400000000000006"/>
        <n v="763.25"/>
        <n v="391.21"/>
        <n v="162.56"/>
        <n v="1800"/>
        <n v="810.9"/>
        <n v="257.01"/>
        <n v="714.12"/>
        <n v="1461.57"/>
        <n v="137.68"/>
        <n v="44.35"/>
        <n v="8051.91"/>
        <n v="547.59"/>
        <n v="156.94"/>
        <n v="2244.8000000000002"/>
        <n v="1560.5"/>
        <n v="3928.37"/>
        <n v="518.81999999999994"/>
        <n v="177.1"/>
        <n v="3062.05"/>
        <n v="596"/>
        <n v="2358.29"/>
        <n v="593.61"/>
        <n v="1361.19"/>
        <n v="103.95"/>
        <n v="169.55"/>
        <n v="6850.55"/>
        <n v="956.24"/>
        <n v="11530.59"/>
        <n v="203.67000000000002"/>
        <n v="659.39"/>
        <n v="537.37"/>
        <n v="388.13"/>
        <n v="10000"/>
        <n v="1471.05"/>
        <n v="1648.13"/>
        <n v="7308.02"/>
        <n v="4507.55"/>
        <n v="72.53"/>
        <n v="416.4"/>
        <n v="799"/>
        <n v="861.96"/>
        <n v="482.5"/>
        <n v="2946.67"/>
        <n v="290.41000000000003"/>
        <n v="364.83"/>
        <n v="217.16"/>
        <n v="169.37"/>
        <n v="77.52"/>
        <n v="187.31"/>
        <n v="1874.77"/>
        <n v="177.5"/>
        <n v="669.71"/>
        <n v="201.6"/>
        <n v="1495"/>
        <n v="16045.5"/>
        <n v="134.06"/>
        <n v="595.72"/>
        <n v="43.46"/>
        <n v="779.36"/>
        <n v="174.87"/>
        <n v="172.43"/>
        <n v="74.72"/>
        <n v="897"/>
        <n v="233.94"/>
        <n v="1793.43"/>
        <n v="398"/>
        <n v="703.18"/>
        <n v="4640.33"/>
        <n v="83.77"/>
        <n v="9837.36"/>
        <n v="899.16"/>
        <n v="86.7"/>
        <n v="363.28"/>
        <n v="11516.13"/>
        <n v="132.68"/>
        <n v="1243.44"/>
        <n v="201.11"/>
        <n v="288.76"/>
        <n v="8529.24"/>
        <n v="150.08000000000001"/>
        <n v="226.88"/>
        <n v="16856.240000000002"/>
        <n v="635.79999999999995"/>
        <n v="347.99"/>
        <n v="12419.42"/>
        <n v="201.44"/>
        <n v="1179.06"/>
        <n v="1237.6400000000001"/>
        <n v="7935.71"/>
        <n v="386.13"/>
        <n v="530.14"/>
        <n v="306.49"/>
        <n v="486.15"/>
        <n v="796.7"/>
        <n v="286.75"/>
        <n v="178.37"/>
        <n v="16885.38"/>
        <n v="7024.01"/>
        <n v="268.99"/>
        <n v="1039.18"/>
        <n v="996"/>
        <n v="556.92999999999995"/>
        <n v="704.54"/>
        <n v="607.65"/>
        <n v="512.38"/>
        <n v="155.74"/>
        <n v="265.05"/>
        <n v="249"/>
        <n v="4112.99"/>
        <n v="138.21"/>
        <n v="165.15"/>
        <n v="71.09"/>
        <n v="3153.2"/>
        <n v="2052.09"/>
        <n v="40.47"/>
        <n v="326.94"/>
        <n v="284.95"/>
        <n v="720.77"/>
        <n v="7487.39"/>
        <n v="228.42"/>
        <n v="1691.74"/>
        <n v="35.36"/>
        <n v="68.42"/>
        <n v="526.58000000000004"/>
        <n v="75.760000000000005"/>
        <n v="3057.23"/>
        <n v="1240.75"/>
        <n v="540"/>
        <n v="994.02"/>
        <n v="1299.44"/>
        <n v="286.77"/>
        <n v="750.22"/>
        <n v="522.09"/>
        <n v="1344.96"/>
        <n v="219.8"/>
        <n v="15699.66"/>
        <n v="350"/>
        <n v="1680.06"/>
        <n v="2304.02"/>
        <n v="1166.9000000000001"/>
        <n v="838.19"/>
        <n v="364.89"/>
        <n v="3091.84"/>
        <n v="157.17000000000002"/>
        <n v="1044.6500000000001"/>
        <n v="4425.93"/>
        <n v="161.18"/>
        <n v="33.61"/>
        <n v="2088.94"/>
        <n v="16864.810000000001"/>
        <n v="75.48"/>
        <n v="1040.96"/>
        <n v="1769.88"/>
        <n v="117.85"/>
        <n v="67.989999999999995"/>
        <n v="269.23"/>
        <n v="2823.58"/>
        <n v="223.19"/>
        <n v="140.79"/>
        <n v="21752.25"/>
        <n v="887.98"/>
        <n v="43.01"/>
        <n v="3688.4700000000003"/>
        <n v="357.7"/>
        <n v="255.99"/>
        <n v="222.64"/>
        <n v="279.35000000000002"/>
        <n v="12929.22"/>
        <n v="101.44"/>
        <n v="2368.59"/>
        <n v="78.349999999999994"/>
        <n v="8851.369999999999"/>
        <n v="116.05"/>
        <n v="694.74"/>
        <n v="926.97"/>
        <n v="352.85"/>
        <n v="218.55"/>
        <n v="296.75"/>
        <n v="75.17"/>
        <n v="130.44"/>
        <n v="68.97"/>
        <n v="525.25"/>
        <n v="433.83"/>
        <n v="564.29"/>
        <n v="1454.92"/>
        <n v="345.63"/>
        <n v="384.27"/>
        <n v="1164.1399999999999"/>
        <n v="222.77"/>
        <n v="1554.73"/>
        <n v="1345.06"/>
        <n v="686.07"/>
        <n v="748.02"/>
        <n v="662.11"/>
        <n v="440.01"/>
        <n v="1772.91"/>
        <n v="2059.52"/>
        <n v="297.11"/>
        <n v="114.98"/>
        <n v="7791.89"/>
        <n v="605.79999999999995"/>
        <n v="217.49"/>
        <n v="109.08"/>
        <n v="84.29"/>
        <n v="1897.18"/>
        <n v="8885.58"/>
        <n v="679.5"/>
        <n v="3014.73"/>
        <n v="1160.69"/>
        <n v="76.099999999999994"/>
        <n v="172.55"/>
        <n v="288.99"/>
        <n v="1199.57"/>
        <n v="878.3"/>
        <n v="113.35"/>
        <n v="260.77"/>
        <n v="20010"/>
        <n v="123.44"/>
        <n v="346.7"/>
        <n v="82.62"/>
        <n v="276.52"/>
        <n v="707.33"/>
        <n v="2067.85"/>
        <n v="56.43"/>
        <n v="196.03"/>
        <n v="113.46"/>
        <n v="657.75"/>
        <n v="269.68"/>
        <n v="13306.49"/>
        <n v="472.13"/>
        <n v="357.9"/>
        <n v="81.710000000000008"/>
        <n v="12288.07"/>
        <n v="704.05"/>
        <n v="153.56"/>
        <n v="484.52"/>
        <n v="6394.75"/>
        <n v="395.67"/>
        <n v="22299.53"/>
        <n v="636.68000000000006"/>
        <n v="440.95"/>
        <n v="104.88"/>
        <n v="7702.02"/>
        <n v="35.18"/>
        <n v="124.78"/>
        <n v="618.5"/>
        <n v="910.23"/>
        <n v="41.99"/>
        <n v="153.15"/>
        <n v="236.37"/>
        <n v="103.46000000000001"/>
        <n v="190.53"/>
        <n v="36.46"/>
        <n v="710.29"/>
        <n v="11233.6"/>
        <n v="543.49"/>
        <n v="420.49"/>
        <n v="1565.85"/>
        <n v="2165.69"/>
        <n v="785.66"/>
        <n v="1273.23"/>
        <n v="135.43"/>
        <n v="877.56"/>
        <n v="1234.8499999999999"/>
        <n v="106.17"/>
        <n v="1713.21"/>
        <n v="809.72"/>
        <n v="1754.35"/>
        <n v="445.04"/>
        <n v="112.13"/>
        <n v="1635.61"/>
        <n v="1871.55"/>
        <n v="277.52"/>
        <n v="346.41"/>
        <n v="173.71"/>
        <n v="1041.46"/>
        <n v="1097.4000000000001"/>
        <n v="324.38"/>
        <n v="13454.72"/>
        <n v="847.23"/>
        <n v="8340.02"/>
        <n v="4015.07"/>
        <n v="554.14"/>
        <n v="2465.4299999999998"/>
        <n v="1285.73"/>
        <n v="173.53"/>
        <n v="149.05000000000001"/>
        <n v="827.42"/>
        <n v="494.7"/>
        <n v="444.21"/>
        <n v="82.04"/>
        <n v="170"/>
        <n v="52.99"/>
        <n v="573.24"/>
        <n v="692.21"/>
        <n v="2490.15"/>
        <n v="108.07"/>
        <n v="531.36"/>
        <n v="205.75"/>
        <n v="3539.49"/>
        <n v="1791.38"/>
        <n v="119.02"/>
        <n v="217.63"/>
        <n v="269.42"/>
        <n v="7433.76"/>
        <n v="1786.67"/>
        <n v="620.79"/>
        <n v="282.95"/>
        <n v="132.04"/>
        <n v="266.47000000000003"/>
        <n v="326.68"/>
        <n v="714.73"/>
        <n v="1725.73"/>
        <n v="106.11"/>
        <n v="605.67999999999995"/>
        <n v="185.48"/>
        <n v="1632.84"/>
        <n v="2810.01"/>
        <n v="16999.759999999998"/>
        <n v="3439.43"/>
        <n v="74.459999999999994"/>
        <n v="3022.48"/>
        <n v="175.69"/>
        <n v="1348.28"/>
        <n v="8191.62"/>
        <n v="615.4"/>
        <n v="185.61"/>
        <n v="493.65999999999997"/>
        <n v="1755.96"/>
        <n v="521.20000000000005"/>
        <n v="1147.5899999999999"/>
        <n v="541.17999999999995"/>
        <n v="373.74"/>
        <n v="1269.77"/>
        <n v="781.36"/>
        <n v="3543.04"/>
        <n v="347.87"/>
        <n v="33.97"/>
        <n v="382.4"/>
        <n v="19232.05"/>
        <n v="270.64"/>
        <n v="863.41"/>
        <n v="1225.96"/>
        <n v="2594.3200000000002"/>
        <n v="1850.66"/>
        <n v="343.77"/>
        <n v="39.130000000000003"/>
        <n v="577.6"/>
        <n v="67.77"/>
        <n v="276.76"/>
        <n v="223.43"/>
        <n v="276.61"/>
        <n v="1545.49"/>
        <n v="264.07"/>
        <n v="2444.9699999999998"/>
        <n v="712.47"/>
        <n v="1157.23"/>
        <n v="782.46"/>
        <n v="631.95000000000005"/>
        <n v="132.41"/>
        <n v="13190.78"/>
        <n v="71.03"/>
        <n v="540.53"/>
        <n v="58.05"/>
        <n v="15484.6"/>
        <n v="146.18"/>
        <n v="656.81"/>
        <n v="4887.7700000000004"/>
        <n v="1715.72"/>
        <n v="628.68000000000006"/>
        <n v="300.95"/>
        <n v="301.90999999999997"/>
        <n v="4463.1899999999996"/>
        <n v="311.73"/>
        <n v="218.13"/>
        <n v="147.29"/>
        <n v="17936.03"/>
        <n v="2822.6"/>
        <n v="155.75"/>
        <n v="802.62"/>
        <n v="643.93000000000006"/>
        <n v="1292.94"/>
        <n v="271.83"/>
        <n v="528.99"/>
        <n v="1114.8"/>
        <n v="289.8"/>
        <n v="706.72"/>
        <n v="628.5"/>
        <n v="2302.35"/>
        <n v="155.41"/>
        <n v="7750.23"/>
        <n v="233.77"/>
        <n v="240.26"/>
        <n v="327.2"/>
        <n v="2138.37"/>
        <n v="262.32"/>
        <n v="3104.4"/>
        <n v="440.71"/>
        <n v="589.77"/>
        <n v="863.48"/>
        <n v="635.11"/>
        <n v="733.74"/>
        <n v="100.28"/>
        <n v="68.63"/>
        <n v="38.01"/>
        <n v="633.29999999999995"/>
        <n v="1946.73"/>
        <n v="1327.35"/>
        <n v="366.35"/>
        <n v="153.69999999999999"/>
        <n v="43.44"/>
        <n v="1067.8600000000001"/>
        <n v="405.76"/>
        <n v="1253.01"/>
        <n v="670.99"/>
        <n v="2898.4700000000003"/>
        <n v="1744.3"/>
        <n v="235.93"/>
        <n v="3244.14"/>
        <n v="210.51"/>
        <n v="171.38"/>
        <n v="569.48"/>
        <n v="70.28"/>
        <n v="1665.1"/>
        <n v="170.39"/>
        <n v="3400.77"/>
        <n v="9427.8700000000008"/>
        <n v="106.25"/>
        <n v="186.29"/>
        <n v="3170.6"/>
        <n v="100.58"/>
        <n v="2231.3000000000002"/>
        <n v="360.07"/>
        <n v="3831.64"/>
        <n v="144.51"/>
        <n v="940.85"/>
        <n v="698.41"/>
        <n v="554.03"/>
        <n v="1664.83"/>
        <n v="412.92"/>
        <n v="7464.57"/>
        <n v="636.80999999999995"/>
        <n v="1565.72"/>
        <n v="345.59000000000003"/>
        <n v="50.38"/>
        <n v="151.49"/>
        <n v="8969.58"/>
        <n v="205.24"/>
        <n v="211"/>
        <n v="385.32"/>
        <n v="1464.93"/>
        <n v="654.29999999999995"/>
        <n v="715.32"/>
        <n v="216.91"/>
        <n v="835.98"/>
        <n v="7185.84"/>
        <n v="427.08"/>
        <n v="1676.54"/>
        <m/>
      </sharedItems>
    </cacheField>
    <cacheField name="Cidade" numFmtId="0">
      <sharedItems containsBlank="1" count="9">
        <s v="Belo Horizonte"/>
        <s v="Porto Alegre"/>
        <s v="Recife"/>
        <s v="São Paulo"/>
        <s v="Rio de Janeiro"/>
        <s v="Brasília"/>
        <s v="Curitiba"/>
        <s v="Salvado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">
  <r>
    <x v="0"/>
    <s v="Lucas Almeida"/>
    <d v="2025-09-18T00:00:00"/>
    <x v="0"/>
    <x v="0"/>
    <x v="0"/>
    <n v="2"/>
    <x v="0"/>
    <n v="148.37"/>
    <x v="0"/>
    <x v="0"/>
  </r>
  <r>
    <x v="1"/>
    <s v="Beatriz Ribeiro"/>
    <d v="2025-11-24T00:00:00"/>
    <x v="1"/>
    <x v="1"/>
    <x v="1"/>
    <n v="3"/>
    <x v="1"/>
    <n v="0"/>
    <x v="1"/>
    <x v="1"/>
  </r>
  <r>
    <x v="2"/>
    <s v="Roberto Santos"/>
    <d v="2025-09-01T00:00:00"/>
    <x v="0"/>
    <x v="1"/>
    <x v="1"/>
    <n v="4"/>
    <x v="1"/>
    <n v="11.91"/>
    <x v="2"/>
    <x v="2"/>
  </r>
  <r>
    <x v="3"/>
    <s v="Carlos Silva"/>
    <d v="2025-06-01T00:00:00"/>
    <x v="2"/>
    <x v="2"/>
    <x v="2"/>
    <n v="3"/>
    <x v="2"/>
    <n v="27.37"/>
    <x v="3"/>
    <x v="3"/>
  </r>
  <r>
    <x v="4"/>
    <s v="Patricia Gomes"/>
    <d v="2025-01-05T00:00:00"/>
    <x v="3"/>
    <x v="3"/>
    <x v="3"/>
    <n v="2"/>
    <x v="3"/>
    <n v="4.37"/>
    <x v="4"/>
    <x v="3"/>
  </r>
  <r>
    <x v="5"/>
    <s v="João Pereira"/>
    <d v="2025-12-13T00:00:00"/>
    <x v="1"/>
    <x v="0"/>
    <x v="4"/>
    <n v="3"/>
    <x v="4"/>
    <n v="82.14"/>
    <x v="5"/>
    <x v="4"/>
  </r>
  <r>
    <x v="6"/>
    <s v="Beatriz Ribeiro"/>
    <d v="2025-03-07T00:00:00"/>
    <x v="3"/>
    <x v="1"/>
    <x v="5"/>
    <n v="5"/>
    <x v="5"/>
    <n v="18.760000000000002"/>
    <x v="6"/>
    <x v="4"/>
  </r>
  <r>
    <x v="7"/>
    <s v="Beatriz Ribeiro"/>
    <d v="2025-01-02T00:00:00"/>
    <x v="3"/>
    <x v="1"/>
    <x v="5"/>
    <n v="4"/>
    <x v="5"/>
    <n v="19.84"/>
    <x v="7"/>
    <x v="2"/>
  </r>
  <r>
    <x v="8"/>
    <s v="Ricardo Carvalho"/>
    <d v="2025-11-04T00:00:00"/>
    <x v="1"/>
    <x v="1"/>
    <x v="5"/>
    <n v="2"/>
    <x v="5"/>
    <n v="0"/>
    <x v="8"/>
    <x v="1"/>
  </r>
  <r>
    <x v="9"/>
    <s v="Roberto Santos"/>
    <d v="2025-09-20T00:00:00"/>
    <x v="2"/>
    <x v="2"/>
    <x v="6"/>
    <n v="1"/>
    <x v="6"/>
    <n v="29.32"/>
    <x v="9"/>
    <x v="5"/>
  </r>
  <r>
    <x v="10"/>
    <s v="Carlos Silva"/>
    <d v="2025-04-16T00:00:00"/>
    <x v="3"/>
    <x v="3"/>
    <x v="7"/>
    <n v="2"/>
    <x v="7"/>
    <n v="0"/>
    <x v="10"/>
    <x v="4"/>
  </r>
  <r>
    <x v="11"/>
    <s v="Marcos Rodrigues"/>
    <d v="2025-07-09T00:00:00"/>
    <x v="0"/>
    <x v="3"/>
    <x v="8"/>
    <n v="5"/>
    <x v="8"/>
    <n v="1389.98"/>
    <x v="11"/>
    <x v="5"/>
  </r>
  <r>
    <x v="12"/>
    <s v="Patricia Gomes"/>
    <d v="2025-09-05T00:00:00"/>
    <x v="3"/>
    <x v="2"/>
    <x v="6"/>
    <n v="1"/>
    <x v="6"/>
    <n v="28.01"/>
    <x v="12"/>
    <x v="1"/>
  </r>
  <r>
    <x v="13"/>
    <s v="Juliana Costa"/>
    <d v="2025-04-18T00:00:00"/>
    <x v="0"/>
    <x v="3"/>
    <x v="8"/>
    <n v="2"/>
    <x v="8"/>
    <n v="0"/>
    <x v="13"/>
    <x v="6"/>
  </r>
  <r>
    <x v="14"/>
    <s v="Marcos Rodrigues"/>
    <d v="2025-10-12T00:00:00"/>
    <x v="3"/>
    <x v="1"/>
    <x v="9"/>
    <n v="4"/>
    <x v="9"/>
    <n v="4.12"/>
    <x v="14"/>
    <x v="2"/>
  </r>
  <r>
    <x v="15"/>
    <s v="Marcos Rodrigues"/>
    <d v="2025-02-20T00:00:00"/>
    <x v="3"/>
    <x v="2"/>
    <x v="6"/>
    <n v="1"/>
    <x v="6"/>
    <n v="3.28"/>
    <x v="15"/>
    <x v="2"/>
  </r>
  <r>
    <x v="16"/>
    <s v="Lucas Almeida"/>
    <d v="2025-06-05T00:00:00"/>
    <x v="1"/>
    <x v="1"/>
    <x v="9"/>
    <n v="3"/>
    <x v="9"/>
    <n v="0"/>
    <x v="16"/>
    <x v="2"/>
  </r>
  <r>
    <x v="17"/>
    <s v="Lucas Almeida"/>
    <d v="2025-09-20T00:00:00"/>
    <x v="1"/>
    <x v="0"/>
    <x v="4"/>
    <n v="1"/>
    <x v="4"/>
    <n v="0"/>
    <x v="17"/>
    <x v="2"/>
  </r>
  <r>
    <x v="18"/>
    <s v="Lucas Almeida"/>
    <d v="2025-04-01T00:00:00"/>
    <x v="1"/>
    <x v="2"/>
    <x v="10"/>
    <n v="3"/>
    <x v="10"/>
    <n v="0"/>
    <x v="18"/>
    <x v="6"/>
  </r>
  <r>
    <x v="19"/>
    <s v="Juliana Costa"/>
    <d v="2025-02-27T00:00:00"/>
    <x v="2"/>
    <x v="1"/>
    <x v="9"/>
    <n v="5"/>
    <x v="9"/>
    <n v="0"/>
    <x v="19"/>
    <x v="3"/>
  </r>
  <r>
    <x v="20"/>
    <s v="Ricardo Carvalho"/>
    <d v="2025-12-05T00:00:00"/>
    <x v="0"/>
    <x v="2"/>
    <x v="11"/>
    <n v="3"/>
    <x v="11"/>
    <n v="29.57"/>
    <x v="20"/>
    <x v="6"/>
  </r>
  <r>
    <x v="21"/>
    <s v="Lucas Almeida"/>
    <d v="2025-07-22T00:00:00"/>
    <x v="1"/>
    <x v="2"/>
    <x v="2"/>
    <n v="2"/>
    <x v="2"/>
    <n v="0"/>
    <x v="21"/>
    <x v="2"/>
  </r>
  <r>
    <x v="22"/>
    <s v="Roberto Santos"/>
    <d v="2026-01-01T00:00:00"/>
    <x v="3"/>
    <x v="3"/>
    <x v="12"/>
    <n v="3"/>
    <x v="12"/>
    <n v="647.85"/>
    <x v="22"/>
    <x v="7"/>
  </r>
  <r>
    <x v="23"/>
    <s v="Maria Oliveira"/>
    <d v="2025-08-10T00:00:00"/>
    <x v="4"/>
    <x v="3"/>
    <x v="12"/>
    <n v="2"/>
    <x v="12"/>
    <n v="0"/>
    <x v="23"/>
    <x v="2"/>
  </r>
  <r>
    <x v="24"/>
    <s v="João Pereira"/>
    <d v="2025-01-09T00:00:00"/>
    <x v="4"/>
    <x v="2"/>
    <x v="10"/>
    <n v="1"/>
    <x v="10"/>
    <n v="3.99"/>
    <x v="24"/>
    <x v="5"/>
  </r>
  <r>
    <x v="25"/>
    <s v="Ana Souza"/>
    <d v="2026-02-02T00:00:00"/>
    <x v="2"/>
    <x v="0"/>
    <x v="0"/>
    <n v="2"/>
    <x v="0"/>
    <n v="158.76"/>
    <x v="25"/>
    <x v="4"/>
  </r>
  <r>
    <x v="26"/>
    <s v="João Pereira"/>
    <d v="2025-09-02T00:00:00"/>
    <x v="3"/>
    <x v="0"/>
    <x v="4"/>
    <n v="3"/>
    <x v="4"/>
    <n v="0"/>
    <x v="26"/>
    <x v="7"/>
  </r>
  <r>
    <x v="27"/>
    <s v="Roberto Santos"/>
    <d v="2025-12-12T00:00:00"/>
    <x v="0"/>
    <x v="0"/>
    <x v="13"/>
    <n v="4"/>
    <x v="13"/>
    <n v="0"/>
    <x v="27"/>
    <x v="2"/>
  </r>
  <r>
    <x v="28"/>
    <s v="Fernanda Lima"/>
    <d v="2025-11-15T00:00:00"/>
    <x v="1"/>
    <x v="3"/>
    <x v="12"/>
    <n v="3"/>
    <x v="12"/>
    <n v="0"/>
    <x v="28"/>
    <x v="3"/>
  </r>
  <r>
    <x v="29"/>
    <s v="João Pereira"/>
    <d v="2025-06-06T00:00:00"/>
    <x v="4"/>
    <x v="1"/>
    <x v="5"/>
    <n v="1"/>
    <x v="5"/>
    <n v="0"/>
    <x v="29"/>
    <x v="4"/>
  </r>
  <r>
    <x v="30"/>
    <s v="Roberto Santos"/>
    <d v="2025-03-11T00:00:00"/>
    <x v="0"/>
    <x v="2"/>
    <x v="6"/>
    <n v="5"/>
    <x v="6"/>
    <n v="0"/>
    <x v="30"/>
    <x v="2"/>
  </r>
  <r>
    <x v="31"/>
    <s v="Beatriz Ribeiro"/>
    <d v="2025-03-20T00:00:00"/>
    <x v="4"/>
    <x v="3"/>
    <x v="8"/>
    <n v="2"/>
    <x v="8"/>
    <n v="288.57"/>
    <x v="31"/>
    <x v="5"/>
  </r>
  <r>
    <x v="32"/>
    <s v="Roberto Santos"/>
    <d v="2025-03-14T00:00:00"/>
    <x v="2"/>
    <x v="2"/>
    <x v="11"/>
    <n v="4"/>
    <x v="11"/>
    <n v="0.74"/>
    <x v="32"/>
    <x v="6"/>
  </r>
  <r>
    <x v="33"/>
    <s v="Fernanda Lima"/>
    <d v="2025-06-09T00:00:00"/>
    <x v="4"/>
    <x v="3"/>
    <x v="12"/>
    <n v="1"/>
    <x v="12"/>
    <n v="0"/>
    <x v="33"/>
    <x v="2"/>
  </r>
  <r>
    <x v="34"/>
    <s v="Ricardo Carvalho"/>
    <d v="2025-08-19T00:00:00"/>
    <x v="4"/>
    <x v="0"/>
    <x v="4"/>
    <n v="1"/>
    <x v="4"/>
    <n v="0"/>
    <x v="17"/>
    <x v="3"/>
  </r>
  <r>
    <x v="35"/>
    <s v="Ana Souza"/>
    <d v="2025-07-23T00:00:00"/>
    <x v="3"/>
    <x v="1"/>
    <x v="9"/>
    <n v="4"/>
    <x v="9"/>
    <n v="0"/>
    <x v="34"/>
    <x v="4"/>
  </r>
  <r>
    <x v="36"/>
    <s v="Patricia Gomes"/>
    <d v="2025-06-18T00:00:00"/>
    <x v="2"/>
    <x v="3"/>
    <x v="3"/>
    <n v="3"/>
    <x v="3"/>
    <n v="99.19"/>
    <x v="35"/>
    <x v="0"/>
  </r>
  <r>
    <x v="37"/>
    <s v="Ana Souza"/>
    <d v="2025-08-18T00:00:00"/>
    <x v="1"/>
    <x v="1"/>
    <x v="14"/>
    <n v="2"/>
    <x v="14"/>
    <n v="4.63"/>
    <x v="36"/>
    <x v="4"/>
  </r>
  <r>
    <x v="38"/>
    <s v="Patricia Gomes"/>
    <d v="2025-03-31T00:00:00"/>
    <x v="3"/>
    <x v="3"/>
    <x v="12"/>
    <n v="2"/>
    <x v="12"/>
    <n v="512.13"/>
    <x v="37"/>
    <x v="2"/>
  </r>
  <r>
    <x v="39"/>
    <s v="Ana Souza"/>
    <d v="2025-09-01T00:00:00"/>
    <x v="3"/>
    <x v="2"/>
    <x v="6"/>
    <n v="4"/>
    <x v="6"/>
    <n v="0"/>
    <x v="38"/>
    <x v="6"/>
  </r>
  <r>
    <x v="40"/>
    <s v="Patricia Gomes"/>
    <d v="2025-02-07T00:00:00"/>
    <x v="0"/>
    <x v="0"/>
    <x v="15"/>
    <n v="5"/>
    <x v="15"/>
    <n v="0.28999999999999998"/>
    <x v="39"/>
    <x v="2"/>
  </r>
  <r>
    <x v="41"/>
    <s v="Ana Souza"/>
    <d v="2026-02-02T00:00:00"/>
    <x v="4"/>
    <x v="2"/>
    <x v="11"/>
    <n v="2"/>
    <x v="11"/>
    <n v="21.54"/>
    <x v="40"/>
    <x v="1"/>
  </r>
  <r>
    <x v="42"/>
    <s v="Carlos Silva"/>
    <d v="2025-04-18T00:00:00"/>
    <x v="1"/>
    <x v="0"/>
    <x v="0"/>
    <n v="1"/>
    <x v="0"/>
    <n v="0"/>
    <x v="41"/>
    <x v="3"/>
  </r>
  <r>
    <x v="43"/>
    <s v="Ricardo Carvalho"/>
    <d v="2025-07-14T00:00:00"/>
    <x v="4"/>
    <x v="0"/>
    <x v="0"/>
    <n v="5"/>
    <x v="0"/>
    <n v="0"/>
    <x v="42"/>
    <x v="4"/>
  </r>
  <r>
    <x v="44"/>
    <s v="Juliana Costa"/>
    <d v="2025-05-19T00:00:00"/>
    <x v="4"/>
    <x v="3"/>
    <x v="12"/>
    <n v="5"/>
    <x v="12"/>
    <n v="0"/>
    <x v="43"/>
    <x v="5"/>
  </r>
  <r>
    <x v="45"/>
    <s v="Ricardo Carvalho"/>
    <d v="2025-09-23T00:00:00"/>
    <x v="2"/>
    <x v="3"/>
    <x v="7"/>
    <n v="4"/>
    <x v="7"/>
    <n v="0"/>
    <x v="44"/>
    <x v="5"/>
  </r>
  <r>
    <x v="46"/>
    <s v="Roberto Santos"/>
    <d v="2025-07-19T00:00:00"/>
    <x v="3"/>
    <x v="2"/>
    <x v="2"/>
    <n v="2"/>
    <x v="2"/>
    <n v="20.27"/>
    <x v="45"/>
    <x v="5"/>
  </r>
  <r>
    <x v="47"/>
    <s v="Beatriz Ribeiro"/>
    <d v="2025-05-21T00:00:00"/>
    <x v="1"/>
    <x v="1"/>
    <x v="1"/>
    <n v="3"/>
    <x v="1"/>
    <n v="0"/>
    <x v="1"/>
    <x v="6"/>
  </r>
  <r>
    <x v="48"/>
    <s v="João Pereira"/>
    <d v="2025-07-05T00:00:00"/>
    <x v="4"/>
    <x v="3"/>
    <x v="12"/>
    <n v="2"/>
    <x v="12"/>
    <n v="0"/>
    <x v="23"/>
    <x v="3"/>
  </r>
  <r>
    <x v="49"/>
    <s v="Ana Souza"/>
    <d v="2025-10-12T00:00:00"/>
    <x v="1"/>
    <x v="0"/>
    <x v="13"/>
    <n v="4"/>
    <x v="13"/>
    <n v="0"/>
    <x v="27"/>
    <x v="6"/>
  </r>
  <r>
    <x v="50"/>
    <s v="Juliana Costa"/>
    <d v="2025-01-11T00:00:00"/>
    <x v="0"/>
    <x v="1"/>
    <x v="1"/>
    <n v="4"/>
    <x v="1"/>
    <n v="0"/>
    <x v="46"/>
    <x v="0"/>
  </r>
  <r>
    <x v="51"/>
    <s v="Marcos Rodrigues"/>
    <d v="2025-07-24T00:00:00"/>
    <x v="1"/>
    <x v="2"/>
    <x v="10"/>
    <n v="2"/>
    <x v="10"/>
    <n v="45.76"/>
    <x v="47"/>
    <x v="6"/>
  </r>
  <r>
    <x v="52"/>
    <s v="Roberto Santos"/>
    <d v="2025-09-17T00:00:00"/>
    <x v="4"/>
    <x v="2"/>
    <x v="10"/>
    <n v="2"/>
    <x v="10"/>
    <n v="58"/>
    <x v="48"/>
    <x v="6"/>
  </r>
  <r>
    <x v="53"/>
    <s v="Juliana Costa"/>
    <d v="2025-02-28T00:00:00"/>
    <x v="2"/>
    <x v="2"/>
    <x v="11"/>
    <n v="3"/>
    <x v="11"/>
    <n v="0"/>
    <x v="49"/>
    <x v="1"/>
  </r>
  <r>
    <x v="54"/>
    <s v="Ricardo Carvalho"/>
    <d v="2026-02-02T00:00:00"/>
    <x v="1"/>
    <x v="2"/>
    <x v="6"/>
    <n v="2"/>
    <x v="6"/>
    <n v="14.73"/>
    <x v="50"/>
    <x v="5"/>
  </r>
  <r>
    <x v="55"/>
    <s v="Ana Souza"/>
    <d v="2026-01-09T00:00:00"/>
    <x v="3"/>
    <x v="0"/>
    <x v="0"/>
    <n v="4"/>
    <x v="0"/>
    <n v="5.67"/>
    <x v="51"/>
    <x v="0"/>
  </r>
  <r>
    <x v="56"/>
    <s v="Beatriz Ribeiro"/>
    <d v="2025-06-22T00:00:00"/>
    <x v="4"/>
    <x v="0"/>
    <x v="4"/>
    <n v="2"/>
    <x v="4"/>
    <n v="9.5500000000000007"/>
    <x v="52"/>
    <x v="5"/>
  </r>
  <r>
    <x v="57"/>
    <s v="Fernanda Lima"/>
    <d v="2025-08-05T00:00:00"/>
    <x v="3"/>
    <x v="0"/>
    <x v="13"/>
    <n v="1"/>
    <x v="13"/>
    <n v="16.34"/>
    <x v="53"/>
    <x v="4"/>
  </r>
  <r>
    <x v="58"/>
    <s v="João Pereira"/>
    <d v="2025-10-06T00:00:00"/>
    <x v="3"/>
    <x v="3"/>
    <x v="7"/>
    <n v="1"/>
    <x v="7"/>
    <n v="5.5"/>
    <x v="54"/>
    <x v="1"/>
  </r>
  <r>
    <x v="59"/>
    <s v="Ana Souza"/>
    <d v="2025-06-15T00:00:00"/>
    <x v="4"/>
    <x v="3"/>
    <x v="8"/>
    <n v="4"/>
    <x v="8"/>
    <n v="1182.82"/>
    <x v="55"/>
    <x v="4"/>
  </r>
  <r>
    <x v="60"/>
    <s v="Patricia Gomes"/>
    <d v="2026-01-07T00:00:00"/>
    <x v="2"/>
    <x v="3"/>
    <x v="8"/>
    <n v="1"/>
    <x v="8"/>
    <n v="0"/>
    <x v="56"/>
    <x v="7"/>
  </r>
  <r>
    <x v="61"/>
    <s v="Marcos Rodrigues"/>
    <d v="2025-07-01T00:00:00"/>
    <x v="3"/>
    <x v="2"/>
    <x v="2"/>
    <n v="5"/>
    <x v="2"/>
    <n v="0"/>
    <x v="57"/>
    <x v="3"/>
  </r>
  <r>
    <x v="62"/>
    <s v="Ana Souza"/>
    <d v="2025-10-11T00:00:00"/>
    <x v="1"/>
    <x v="3"/>
    <x v="8"/>
    <n v="5"/>
    <x v="8"/>
    <n v="0"/>
    <x v="58"/>
    <x v="2"/>
  </r>
  <r>
    <x v="63"/>
    <s v="Beatriz Ribeiro"/>
    <d v="2025-04-06T00:00:00"/>
    <x v="3"/>
    <x v="0"/>
    <x v="13"/>
    <n v="1"/>
    <x v="13"/>
    <n v="26.01"/>
    <x v="59"/>
    <x v="4"/>
  </r>
  <r>
    <x v="64"/>
    <s v="Lucas Almeida"/>
    <d v="2025-10-11T00:00:00"/>
    <x v="4"/>
    <x v="1"/>
    <x v="5"/>
    <n v="1"/>
    <x v="5"/>
    <n v="0.5"/>
    <x v="60"/>
    <x v="6"/>
  </r>
  <r>
    <x v="65"/>
    <s v="Maria Oliveira"/>
    <d v="2025-05-25T00:00:00"/>
    <x v="4"/>
    <x v="0"/>
    <x v="15"/>
    <n v="2"/>
    <x v="15"/>
    <n v="0"/>
    <x v="61"/>
    <x v="2"/>
  </r>
  <r>
    <x v="66"/>
    <s v="Marcos Rodrigues"/>
    <d v="2025-03-07T00:00:00"/>
    <x v="4"/>
    <x v="2"/>
    <x v="11"/>
    <n v="5"/>
    <x v="11"/>
    <n v="53.18"/>
    <x v="62"/>
    <x v="3"/>
  </r>
  <r>
    <x v="67"/>
    <s v="Lucas Almeida"/>
    <d v="2025-05-15T00:00:00"/>
    <x v="2"/>
    <x v="2"/>
    <x v="11"/>
    <n v="1"/>
    <x v="11"/>
    <n v="0"/>
    <x v="63"/>
    <x v="6"/>
  </r>
  <r>
    <x v="68"/>
    <s v="Roberto Santos"/>
    <d v="2025-11-11T00:00:00"/>
    <x v="3"/>
    <x v="1"/>
    <x v="5"/>
    <n v="2"/>
    <x v="5"/>
    <n v="9.69"/>
    <x v="64"/>
    <x v="0"/>
  </r>
  <r>
    <x v="69"/>
    <s v="Beatriz Ribeiro"/>
    <d v="2025-09-28T00:00:00"/>
    <x v="1"/>
    <x v="0"/>
    <x v="13"/>
    <n v="5"/>
    <x v="13"/>
    <n v="82.19"/>
    <x v="65"/>
    <x v="4"/>
  </r>
  <r>
    <x v="70"/>
    <s v="Marcos Rodrigues"/>
    <d v="2025-04-29T00:00:00"/>
    <x v="1"/>
    <x v="3"/>
    <x v="3"/>
    <n v="1"/>
    <x v="3"/>
    <n v="0"/>
    <x v="66"/>
    <x v="4"/>
  </r>
  <r>
    <x v="71"/>
    <s v="Ricardo Carvalho"/>
    <d v="2025-11-26T00:00:00"/>
    <x v="2"/>
    <x v="0"/>
    <x v="0"/>
    <n v="4"/>
    <x v="0"/>
    <n v="46.67"/>
    <x v="67"/>
    <x v="7"/>
  </r>
  <r>
    <x v="72"/>
    <s v="Beatriz Ribeiro"/>
    <d v="2025-03-27T00:00:00"/>
    <x v="3"/>
    <x v="0"/>
    <x v="0"/>
    <n v="2"/>
    <x v="0"/>
    <n v="0"/>
    <x v="68"/>
    <x v="1"/>
  </r>
  <r>
    <x v="73"/>
    <s v="Beatriz Ribeiro"/>
    <d v="2025-02-14T00:00:00"/>
    <x v="3"/>
    <x v="0"/>
    <x v="0"/>
    <n v="2"/>
    <x v="0"/>
    <n v="5.84"/>
    <x v="69"/>
    <x v="7"/>
  </r>
  <r>
    <x v="74"/>
    <s v="Carlos Silva"/>
    <d v="2025-08-01T00:00:00"/>
    <x v="4"/>
    <x v="0"/>
    <x v="4"/>
    <n v="3"/>
    <x v="4"/>
    <n v="141.08000000000001"/>
    <x v="70"/>
    <x v="4"/>
  </r>
  <r>
    <x v="75"/>
    <s v="Ricardo Carvalho"/>
    <d v="2026-01-16T00:00:00"/>
    <x v="4"/>
    <x v="1"/>
    <x v="5"/>
    <n v="5"/>
    <x v="5"/>
    <n v="0"/>
    <x v="71"/>
    <x v="4"/>
  </r>
  <r>
    <x v="76"/>
    <s v="Ana Souza"/>
    <d v="2026-01-26T00:00:00"/>
    <x v="0"/>
    <x v="0"/>
    <x v="13"/>
    <n v="4"/>
    <x v="13"/>
    <n v="0"/>
    <x v="27"/>
    <x v="1"/>
  </r>
  <r>
    <x v="77"/>
    <s v="Maria Oliveira"/>
    <d v="2025-09-06T00:00:00"/>
    <x v="3"/>
    <x v="2"/>
    <x v="6"/>
    <n v="4"/>
    <x v="6"/>
    <n v="89.09"/>
    <x v="72"/>
    <x v="6"/>
  </r>
  <r>
    <x v="78"/>
    <s v="Carlos Silva"/>
    <d v="2025-02-20T00:00:00"/>
    <x v="3"/>
    <x v="3"/>
    <x v="3"/>
    <n v="2"/>
    <x v="3"/>
    <n v="78.23"/>
    <x v="73"/>
    <x v="6"/>
  </r>
  <r>
    <x v="79"/>
    <s v="Juliana Costa"/>
    <d v="2025-12-27T00:00:00"/>
    <x v="2"/>
    <x v="0"/>
    <x v="0"/>
    <n v="3"/>
    <x v="0"/>
    <n v="0"/>
    <x v="74"/>
    <x v="5"/>
  </r>
  <r>
    <x v="80"/>
    <s v="Ana Souza"/>
    <d v="2025-09-19T00:00:00"/>
    <x v="4"/>
    <x v="1"/>
    <x v="5"/>
    <n v="5"/>
    <x v="5"/>
    <n v="0"/>
    <x v="71"/>
    <x v="1"/>
  </r>
  <r>
    <x v="81"/>
    <s v="Lucas Almeida"/>
    <d v="2026-01-07T00:00:00"/>
    <x v="0"/>
    <x v="3"/>
    <x v="7"/>
    <n v="2"/>
    <x v="7"/>
    <n v="95.72"/>
    <x v="75"/>
    <x v="5"/>
  </r>
  <r>
    <x v="82"/>
    <s v="Ana Souza"/>
    <d v="2025-11-04T00:00:00"/>
    <x v="4"/>
    <x v="3"/>
    <x v="7"/>
    <n v="4"/>
    <x v="7"/>
    <n v="0"/>
    <x v="44"/>
    <x v="0"/>
  </r>
  <r>
    <x v="83"/>
    <s v="Patricia Gomes"/>
    <d v="2025-11-28T00:00:00"/>
    <x v="1"/>
    <x v="0"/>
    <x v="4"/>
    <n v="4"/>
    <x v="4"/>
    <n v="178.86"/>
    <x v="76"/>
    <x v="1"/>
  </r>
  <r>
    <x v="84"/>
    <s v="João Pereira"/>
    <d v="2025-11-28T00:00:00"/>
    <x v="3"/>
    <x v="3"/>
    <x v="7"/>
    <n v="4"/>
    <x v="7"/>
    <n v="0"/>
    <x v="44"/>
    <x v="6"/>
  </r>
  <r>
    <x v="85"/>
    <s v="Ana Souza"/>
    <d v="2025-03-19T00:00:00"/>
    <x v="3"/>
    <x v="1"/>
    <x v="5"/>
    <n v="1"/>
    <x v="5"/>
    <n v="0"/>
    <x v="29"/>
    <x v="5"/>
  </r>
  <r>
    <x v="86"/>
    <s v="Juliana Costa"/>
    <d v="2025-04-13T00:00:00"/>
    <x v="0"/>
    <x v="2"/>
    <x v="6"/>
    <n v="3"/>
    <x v="6"/>
    <n v="6.15"/>
    <x v="77"/>
    <x v="6"/>
  </r>
  <r>
    <x v="87"/>
    <s v="Fernanda Lima"/>
    <d v="2025-11-28T00:00:00"/>
    <x v="3"/>
    <x v="0"/>
    <x v="4"/>
    <n v="3"/>
    <x v="4"/>
    <n v="0"/>
    <x v="26"/>
    <x v="2"/>
  </r>
  <r>
    <x v="88"/>
    <s v="Beatriz Ribeiro"/>
    <d v="2025-12-30T00:00:00"/>
    <x v="4"/>
    <x v="1"/>
    <x v="9"/>
    <n v="5"/>
    <x v="9"/>
    <n v="0"/>
    <x v="19"/>
    <x v="0"/>
  </r>
  <r>
    <x v="89"/>
    <s v="Lucas Almeida"/>
    <d v="2026-01-17T00:00:00"/>
    <x v="4"/>
    <x v="3"/>
    <x v="3"/>
    <n v="2"/>
    <x v="3"/>
    <n v="54.25"/>
    <x v="78"/>
    <x v="0"/>
  </r>
  <r>
    <x v="90"/>
    <s v="Maria Oliveira"/>
    <d v="2025-07-15T00:00:00"/>
    <x v="0"/>
    <x v="2"/>
    <x v="11"/>
    <n v="2"/>
    <x v="11"/>
    <n v="0"/>
    <x v="79"/>
    <x v="7"/>
  </r>
  <r>
    <x v="91"/>
    <s v="João Pereira"/>
    <d v="2025-05-15T00:00:00"/>
    <x v="1"/>
    <x v="3"/>
    <x v="7"/>
    <n v="4"/>
    <x v="7"/>
    <n v="226.17"/>
    <x v="80"/>
    <x v="5"/>
  </r>
  <r>
    <x v="92"/>
    <s v="Juliana Costa"/>
    <d v="2026-02-01T00:00:00"/>
    <x v="0"/>
    <x v="0"/>
    <x v="13"/>
    <n v="4"/>
    <x v="13"/>
    <n v="0"/>
    <x v="27"/>
    <x v="4"/>
  </r>
  <r>
    <x v="93"/>
    <s v="João Pereira"/>
    <d v="2025-02-12T00:00:00"/>
    <x v="3"/>
    <x v="3"/>
    <x v="3"/>
    <n v="1"/>
    <x v="3"/>
    <n v="0"/>
    <x v="66"/>
    <x v="3"/>
  </r>
  <r>
    <x v="94"/>
    <s v="Ricardo Carvalho"/>
    <d v="2025-01-26T00:00:00"/>
    <x v="3"/>
    <x v="0"/>
    <x v="15"/>
    <n v="4"/>
    <x v="15"/>
    <n v="3.34"/>
    <x v="81"/>
    <x v="1"/>
  </r>
  <r>
    <x v="95"/>
    <s v="Marcos Rodrigues"/>
    <d v="2025-04-29T00:00:00"/>
    <x v="3"/>
    <x v="2"/>
    <x v="2"/>
    <n v="2"/>
    <x v="2"/>
    <n v="0"/>
    <x v="21"/>
    <x v="1"/>
  </r>
  <r>
    <x v="96"/>
    <s v="Ana Souza"/>
    <d v="2025-04-02T00:00:00"/>
    <x v="2"/>
    <x v="2"/>
    <x v="11"/>
    <n v="2"/>
    <x v="11"/>
    <n v="13.25"/>
    <x v="82"/>
    <x v="7"/>
  </r>
  <r>
    <x v="97"/>
    <s v="Ana Souza"/>
    <d v="2025-06-10T00:00:00"/>
    <x v="4"/>
    <x v="0"/>
    <x v="4"/>
    <n v="1"/>
    <x v="4"/>
    <n v="40.17"/>
    <x v="83"/>
    <x v="7"/>
  </r>
  <r>
    <x v="98"/>
    <s v="Ricardo Carvalho"/>
    <d v="2025-03-08T00:00:00"/>
    <x v="4"/>
    <x v="2"/>
    <x v="10"/>
    <n v="5"/>
    <x v="10"/>
    <n v="150.19"/>
    <x v="84"/>
    <x v="1"/>
  </r>
  <r>
    <x v="99"/>
    <s v="João Pereira"/>
    <d v="2025-08-11T00:00:00"/>
    <x v="0"/>
    <x v="2"/>
    <x v="2"/>
    <n v="1"/>
    <x v="2"/>
    <n v="0"/>
    <x v="85"/>
    <x v="3"/>
  </r>
  <r>
    <x v="100"/>
    <s v="Juliana Costa"/>
    <d v="2025-03-31T00:00:00"/>
    <x v="1"/>
    <x v="3"/>
    <x v="3"/>
    <n v="1"/>
    <x v="3"/>
    <n v="0"/>
    <x v="66"/>
    <x v="1"/>
  </r>
  <r>
    <x v="101"/>
    <s v="Carlos Silva"/>
    <d v="2026-01-27T00:00:00"/>
    <x v="2"/>
    <x v="0"/>
    <x v="4"/>
    <n v="4"/>
    <x v="4"/>
    <n v="165.66"/>
    <x v="86"/>
    <x v="7"/>
  </r>
  <r>
    <x v="102"/>
    <s v="Lucas Almeida"/>
    <d v="2025-11-01T00:00:00"/>
    <x v="3"/>
    <x v="2"/>
    <x v="2"/>
    <n v="1"/>
    <x v="2"/>
    <n v="1.69"/>
    <x v="87"/>
    <x v="1"/>
  </r>
  <r>
    <x v="103"/>
    <s v="Roberto Santos"/>
    <d v="2025-01-29T00:00:00"/>
    <x v="0"/>
    <x v="1"/>
    <x v="1"/>
    <n v="5"/>
    <x v="1"/>
    <n v="9.01"/>
    <x v="88"/>
    <x v="4"/>
  </r>
  <r>
    <x v="104"/>
    <s v="Roberto Santos"/>
    <d v="2025-11-24T00:00:00"/>
    <x v="4"/>
    <x v="0"/>
    <x v="13"/>
    <n v="2"/>
    <x v="13"/>
    <n v="0"/>
    <x v="89"/>
    <x v="6"/>
  </r>
  <r>
    <x v="105"/>
    <s v="Patricia Gomes"/>
    <d v="2025-05-28T00:00:00"/>
    <x v="3"/>
    <x v="0"/>
    <x v="13"/>
    <n v="5"/>
    <x v="13"/>
    <n v="0"/>
    <x v="90"/>
    <x v="2"/>
  </r>
  <r>
    <x v="106"/>
    <s v="Lucas Almeida"/>
    <d v="2026-01-13T00:00:00"/>
    <x v="1"/>
    <x v="3"/>
    <x v="12"/>
    <n v="4"/>
    <x v="12"/>
    <n v="2053.6999999999998"/>
    <x v="91"/>
    <x v="4"/>
  </r>
  <r>
    <x v="107"/>
    <s v="João Pereira"/>
    <d v="2025-06-08T00:00:00"/>
    <x v="0"/>
    <x v="1"/>
    <x v="14"/>
    <n v="5"/>
    <x v="14"/>
    <n v="0"/>
    <x v="92"/>
    <x v="2"/>
  </r>
  <r>
    <x v="108"/>
    <s v="Roberto Santos"/>
    <d v="2026-02-02T00:00:00"/>
    <x v="3"/>
    <x v="2"/>
    <x v="2"/>
    <n v="3"/>
    <x v="2"/>
    <n v="23.94"/>
    <x v="93"/>
    <x v="7"/>
  </r>
  <r>
    <x v="109"/>
    <s v="Marcos Rodrigues"/>
    <d v="2025-03-06T00:00:00"/>
    <x v="2"/>
    <x v="2"/>
    <x v="11"/>
    <n v="4"/>
    <x v="11"/>
    <n v="4.72"/>
    <x v="94"/>
    <x v="0"/>
  </r>
  <r>
    <x v="110"/>
    <s v="Beatriz Ribeiro"/>
    <d v="2025-03-07T00:00:00"/>
    <x v="4"/>
    <x v="1"/>
    <x v="5"/>
    <n v="4"/>
    <x v="5"/>
    <n v="0"/>
    <x v="95"/>
    <x v="4"/>
  </r>
  <r>
    <x v="111"/>
    <s v="Ricardo Carvalho"/>
    <d v="2025-01-27T00:00:00"/>
    <x v="1"/>
    <x v="2"/>
    <x v="11"/>
    <n v="4"/>
    <x v="11"/>
    <n v="50"/>
    <x v="96"/>
    <x v="0"/>
  </r>
  <r>
    <x v="112"/>
    <s v="Juliana Costa"/>
    <d v="2025-02-15T00:00:00"/>
    <x v="1"/>
    <x v="2"/>
    <x v="6"/>
    <n v="3"/>
    <x v="6"/>
    <n v="17.41"/>
    <x v="97"/>
    <x v="6"/>
  </r>
  <r>
    <x v="113"/>
    <s v="Maria Oliveira"/>
    <d v="2025-01-25T00:00:00"/>
    <x v="4"/>
    <x v="1"/>
    <x v="1"/>
    <n v="2"/>
    <x v="1"/>
    <n v="0"/>
    <x v="98"/>
    <x v="7"/>
  </r>
  <r>
    <x v="114"/>
    <s v="João Pereira"/>
    <d v="2025-08-02T00:00:00"/>
    <x v="2"/>
    <x v="2"/>
    <x v="10"/>
    <n v="3"/>
    <x v="10"/>
    <n v="0"/>
    <x v="18"/>
    <x v="2"/>
  </r>
  <r>
    <x v="115"/>
    <s v="João Pereira"/>
    <d v="2025-08-22T00:00:00"/>
    <x v="3"/>
    <x v="2"/>
    <x v="11"/>
    <n v="1"/>
    <x v="11"/>
    <n v="20.03"/>
    <x v="99"/>
    <x v="0"/>
  </r>
  <r>
    <x v="116"/>
    <s v="Ricardo Carvalho"/>
    <d v="2025-04-30T00:00:00"/>
    <x v="1"/>
    <x v="3"/>
    <x v="12"/>
    <n v="3"/>
    <x v="12"/>
    <n v="80.239999999999995"/>
    <x v="100"/>
    <x v="2"/>
  </r>
  <r>
    <x v="117"/>
    <s v="Ricardo Carvalho"/>
    <d v="2025-05-18T00:00:00"/>
    <x v="0"/>
    <x v="2"/>
    <x v="11"/>
    <n v="5"/>
    <x v="11"/>
    <n v="108.92"/>
    <x v="101"/>
    <x v="0"/>
  </r>
  <r>
    <x v="118"/>
    <s v="Carlos Silva"/>
    <d v="2025-09-16T00:00:00"/>
    <x v="0"/>
    <x v="3"/>
    <x v="12"/>
    <n v="1"/>
    <x v="12"/>
    <n v="0"/>
    <x v="33"/>
    <x v="5"/>
  </r>
  <r>
    <x v="119"/>
    <s v="Patricia Gomes"/>
    <d v="2025-08-24T00:00:00"/>
    <x v="2"/>
    <x v="0"/>
    <x v="13"/>
    <n v="5"/>
    <x v="13"/>
    <n v="0"/>
    <x v="90"/>
    <x v="0"/>
  </r>
  <r>
    <x v="120"/>
    <s v="Carlos Silva"/>
    <d v="2025-11-23T00:00:00"/>
    <x v="2"/>
    <x v="3"/>
    <x v="12"/>
    <n v="1"/>
    <x v="12"/>
    <n v="0"/>
    <x v="33"/>
    <x v="4"/>
  </r>
  <r>
    <x v="121"/>
    <s v="Juliana Costa"/>
    <d v="2026-01-10T00:00:00"/>
    <x v="3"/>
    <x v="3"/>
    <x v="12"/>
    <n v="4"/>
    <x v="12"/>
    <n v="0"/>
    <x v="102"/>
    <x v="3"/>
  </r>
  <r>
    <x v="122"/>
    <s v="Ricardo Carvalho"/>
    <d v="2025-02-24T00:00:00"/>
    <x v="1"/>
    <x v="1"/>
    <x v="14"/>
    <n v="4"/>
    <x v="14"/>
    <n v="19.7"/>
    <x v="103"/>
    <x v="0"/>
  </r>
  <r>
    <x v="123"/>
    <s v="Ana Souza"/>
    <d v="2025-03-28T00:00:00"/>
    <x v="1"/>
    <x v="0"/>
    <x v="0"/>
    <n v="4"/>
    <x v="0"/>
    <n v="376.18"/>
    <x v="104"/>
    <x v="6"/>
  </r>
  <r>
    <x v="124"/>
    <s v="Beatriz Ribeiro"/>
    <d v="2025-08-15T00:00:00"/>
    <x v="2"/>
    <x v="3"/>
    <x v="3"/>
    <n v="4"/>
    <x v="3"/>
    <n v="157.84"/>
    <x v="105"/>
    <x v="6"/>
  </r>
  <r>
    <x v="125"/>
    <s v="Maria Oliveira"/>
    <d v="2025-05-08T00:00:00"/>
    <x v="0"/>
    <x v="0"/>
    <x v="13"/>
    <n v="4"/>
    <x v="13"/>
    <n v="0"/>
    <x v="27"/>
    <x v="5"/>
  </r>
  <r>
    <x v="126"/>
    <s v="Carlos Silva"/>
    <d v="2025-12-08T00:00:00"/>
    <x v="0"/>
    <x v="0"/>
    <x v="4"/>
    <n v="3"/>
    <x v="4"/>
    <n v="0"/>
    <x v="26"/>
    <x v="5"/>
  </r>
  <r>
    <x v="127"/>
    <s v="Juliana Costa"/>
    <d v="2026-01-19T00:00:00"/>
    <x v="1"/>
    <x v="1"/>
    <x v="14"/>
    <n v="1"/>
    <x v="14"/>
    <n v="0"/>
    <x v="106"/>
    <x v="4"/>
  </r>
  <r>
    <x v="128"/>
    <s v="Roberto Santos"/>
    <d v="2025-02-09T00:00:00"/>
    <x v="0"/>
    <x v="2"/>
    <x v="6"/>
    <n v="5"/>
    <x v="6"/>
    <n v="0"/>
    <x v="30"/>
    <x v="7"/>
  </r>
  <r>
    <x v="129"/>
    <s v="Roberto Santos"/>
    <d v="2025-09-01T00:00:00"/>
    <x v="3"/>
    <x v="2"/>
    <x v="6"/>
    <n v="5"/>
    <x v="6"/>
    <n v="0"/>
    <x v="30"/>
    <x v="7"/>
  </r>
  <r>
    <x v="130"/>
    <s v="Ana Souza"/>
    <d v="2025-03-16T00:00:00"/>
    <x v="2"/>
    <x v="0"/>
    <x v="13"/>
    <n v="2"/>
    <x v="13"/>
    <n v="0"/>
    <x v="89"/>
    <x v="0"/>
  </r>
  <r>
    <x v="131"/>
    <s v="Fernanda Lima"/>
    <d v="2025-03-08T00:00:00"/>
    <x v="1"/>
    <x v="3"/>
    <x v="8"/>
    <n v="4"/>
    <x v="8"/>
    <n v="1423.65"/>
    <x v="107"/>
    <x v="5"/>
  </r>
  <r>
    <x v="132"/>
    <s v="Roberto Santos"/>
    <d v="2025-12-25T00:00:00"/>
    <x v="1"/>
    <x v="2"/>
    <x v="2"/>
    <n v="2"/>
    <x v="2"/>
    <n v="0"/>
    <x v="21"/>
    <x v="1"/>
  </r>
  <r>
    <x v="133"/>
    <s v="Lucas Almeida"/>
    <d v="2025-09-19T00:00:00"/>
    <x v="1"/>
    <x v="1"/>
    <x v="9"/>
    <n v="2"/>
    <x v="9"/>
    <n v="4.08"/>
    <x v="108"/>
    <x v="2"/>
  </r>
  <r>
    <x v="134"/>
    <s v="Maria Oliveira"/>
    <d v="2025-06-14T00:00:00"/>
    <x v="0"/>
    <x v="1"/>
    <x v="14"/>
    <n v="1"/>
    <x v="14"/>
    <n v="0.08"/>
    <x v="109"/>
    <x v="1"/>
  </r>
  <r>
    <x v="135"/>
    <s v="Roberto Santos"/>
    <d v="2025-07-30T00:00:00"/>
    <x v="2"/>
    <x v="1"/>
    <x v="14"/>
    <n v="5"/>
    <x v="14"/>
    <n v="4.67"/>
    <x v="110"/>
    <x v="1"/>
  </r>
  <r>
    <x v="136"/>
    <s v="Juliana Costa"/>
    <d v="2025-12-11T00:00:00"/>
    <x v="1"/>
    <x v="3"/>
    <x v="7"/>
    <n v="1"/>
    <x v="7"/>
    <n v="25.43"/>
    <x v="111"/>
    <x v="4"/>
  </r>
  <r>
    <x v="137"/>
    <s v="Juliana Costa"/>
    <d v="2025-09-06T00:00:00"/>
    <x v="3"/>
    <x v="1"/>
    <x v="14"/>
    <n v="3"/>
    <x v="14"/>
    <n v="0"/>
    <x v="112"/>
    <x v="4"/>
  </r>
  <r>
    <x v="138"/>
    <s v="Fernanda Lima"/>
    <d v="2025-05-26T00:00:00"/>
    <x v="1"/>
    <x v="3"/>
    <x v="7"/>
    <n v="5"/>
    <x v="7"/>
    <n v="96.52"/>
    <x v="113"/>
    <x v="5"/>
  </r>
  <r>
    <x v="139"/>
    <s v="Fernanda Lima"/>
    <d v="2026-01-21T00:00:00"/>
    <x v="2"/>
    <x v="1"/>
    <x v="14"/>
    <n v="2"/>
    <x v="14"/>
    <n v="5.25"/>
    <x v="114"/>
    <x v="5"/>
  </r>
  <r>
    <x v="140"/>
    <s v="Marcos Rodrigues"/>
    <d v="2025-03-01T00:00:00"/>
    <x v="3"/>
    <x v="1"/>
    <x v="9"/>
    <n v="4"/>
    <x v="9"/>
    <n v="0"/>
    <x v="34"/>
    <x v="3"/>
  </r>
  <r>
    <x v="141"/>
    <s v="Beatriz Ribeiro"/>
    <d v="2026-02-03T00:00:00"/>
    <x v="3"/>
    <x v="3"/>
    <x v="8"/>
    <n v="3"/>
    <x v="8"/>
    <n v="0"/>
    <x v="115"/>
    <x v="7"/>
  </r>
  <r>
    <x v="142"/>
    <s v="Juliana Costa"/>
    <d v="2025-11-11T00:00:00"/>
    <x v="3"/>
    <x v="2"/>
    <x v="10"/>
    <n v="2"/>
    <x v="10"/>
    <n v="0"/>
    <x v="116"/>
    <x v="5"/>
  </r>
  <r>
    <x v="143"/>
    <s v="Ricardo Carvalho"/>
    <d v="2025-07-20T00:00:00"/>
    <x v="3"/>
    <x v="3"/>
    <x v="7"/>
    <n v="1"/>
    <x v="7"/>
    <n v="67.239999999999995"/>
    <x v="117"/>
    <x v="3"/>
  </r>
  <r>
    <x v="144"/>
    <s v="Ana Souza"/>
    <d v="2026-01-12T00:00:00"/>
    <x v="2"/>
    <x v="0"/>
    <x v="13"/>
    <n v="5"/>
    <x v="13"/>
    <n v="0"/>
    <x v="90"/>
    <x v="1"/>
  </r>
  <r>
    <x v="145"/>
    <s v="Fernanda Lima"/>
    <d v="2025-10-25T00:00:00"/>
    <x v="3"/>
    <x v="0"/>
    <x v="13"/>
    <n v="4"/>
    <x v="13"/>
    <n v="86.29"/>
    <x v="118"/>
    <x v="4"/>
  </r>
  <r>
    <x v="146"/>
    <s v="Carlos Silva"/>
    <d v="2026-01-14T00:00:00"/>
    <x v="3"/>
    <x v="1"/>
    <x v="14"/>
    <n v="1"/>
    <x v="14"/>
    <n v="5.81"/>
    <x v="119"/>
    <x v="2"/>
  </r>
  <r>
    <x v="147"/>
    <s v="Lucas Almeida"/>
    <d v="2025-07-16T00:00:00"/>
    <x v="4"/>
    <x v="2"/>
    <x v="10"/>
    <n v="3"/>
    <x v="10"/>
    <n v="0"/>
    <x v="18"/>
    <x v="6"/>
  </r>
  <r>
    <x v="148"/>
    <s v="Lucas Almeida"/>
    <d v="2025-08-01T00:00:00"/>
    <x v="0"/>
    <x v="2"/>
    <x v="10"/>
    <n v="5"/>
    <x v="10"/>
    <n v="107.03"/>
    <x v="120"/>
    <x v="1"/>
  </r>
  <r>
    <x v="149"/>
    <s v="Juliana Costa"/>
    <d v="2025-09-20T00:00:00"/>
    <x v="2"/>
    <x v="1"/>
    <x v="14"/>
    <n v="5"/>
    <x v="14"/>
    <n v="0"/>
    <x v="92"/>
    <x v="6"/>
  </r>
  <r>
    <x v="150"/>
    <s v="Carlos Silva"/>
    <d v="2025-05-28T00:00:00"/>
    <x v="4"/>
    <x v="1"/>
    <x v="14"/>
    <n v="3"/>
    <x v="14"/>
    <n v="0"/>
    <x v="112"/>
    <x v="2"/>
  </r>
  <r>
    <x v="151"/>
    <s v="Ana Souza"/>
    <d v="2025-02-08T00:00:00"/>
    <x v="2"/>
    <x v="0"/>
    <x v="13"/>
    <n v="4"/>
    <x v="13"/>
    <n v="0"/>
    <x v="27"/>
    <x v="3"/>
  </r>
  <r>
    <x v="152"/>
    <s v="Ricardo Carvalho"/>
    <d v="2025-01-04T00:00:00"/>
    <x v="3"/>
    <x v="0"/>
    <x v="4"/>
    <n v="5"/>
    <x v="4"/>
    <n v="0"/>
    <x v="121"/>
    <x v="7"/>
  </r>
  <r>
    <x v="153"/>
    <s v="Fernanda Lima"/>
    <d v="2025-02-02T00:00:00"/>
    <x v="3"/>
    <x v="1"/>
    <x v="14"/>
    <n v="4"/>
    <x v="14"/>
    <n v="12.92"/>
    <x v="122"/>
    <x v="6"/>
  </r>
  <r>
    <x v="154"/>
    <s v="Carlos Silva"/>
    <d v="2025-11-12T00:00:00"/>
    <x v="1"/>
    <x v="0"/>
    <x v="4"/>
    <n v="2"/>
    <x v="4"/>
    <n v="3.64"/>
    <x v="123"/>
    <x v="6"/>
  </r>
  <r>
    <x v="155"/>
    <s v="Fernanda Lima"/>
    <d v="2025-05-24T00:00:00"/>
    <x v="4"/>
    <x v="0"/>
    <x v="13"/>
    <n v="4"/>
    <x v="13"/>
    <n v="59.67"/>
    <x v="124"/>
    <x v="6"/>
  </r>
  <r>
    <x v="156"/>
    <s v="Carlos Silva"/>
    <d v="2025-12-25T00:00:00"/>
    <x v="4"/>
    <x v="1"/>
    <x v="9"/>
    <n v="5"/>
    <x v="9"/>
    <n v="0"/>
    <x v="19"/>
    <x v="4"/>
  </r>
  <r>
    <x v="157"/>
    <s v="Patricia Gomes"/>
    <d v="2025-07-24T00:00:00"/>
    <x v="3"/>
    <x v="1"/>
    <x v="5"/>
    <n v="5"/>
    <x v="5"/>
    <n v="13.93"/>
    <x v="125"/>
    <x v="3"/>
  </r>
  <r>
    <x v="158"/>
    <s v="João Pereira"/>
    <d v="2025-10-09T00:00:00"/>
    <x v="4"/>
    <x v="0"/>
    <x v="15"/>
    <n v="3"/>
    <x v="15"/>
    <n v="0"/>
    <x v="126"/>
    <x v="0"/>
  </r>
  <r>
    <x v="159"/>
    <s v="Juliana Costa"/>
    <d v="2026-01-01T00:00:00"/>
    <x v="2"/>
    <x v="3"/>
    <x v="3"/>
    <n v="3"/>
    <x v="3"/>
    <n v="116.55"/>
    <x v="127"/>
    <x v="7"/>
  </r>
  <r>
    <x v="160"/>
    <s v="Lucas Almeida"/>
    <d v="2025-05-08T00:00:00"/>
    <x v="0"/>
    <x v="0"/>
    <x v="0"/>
    <n v="3"/>
    <x v="0"/>
    <n v="0"/>
    <x v="74"/>
    <x v="6"/>
  </r>
  <r>
    <x v="161"/>
    <s v="Roberto Santos"/>
    <d v="2025-04-27T00:00:00"/>
    <x v="1"/>
    <x v="0"/>
    <x v="0"/>
    <n v="4"/>
    <x v="0"/>
    <n v="0"/>
    <x v="128"/>
    <x v="5"/>
  </r>
  <r>
    <x v="162"/>
    <s v="Marcos Rodrigues"/>
    <d v="2025-08-26T00:00:00"/>
    <x v="2"/>
    <x v="2"/>
    <x v="11"/>
    <n v="4"/>
    <x v="11"/>
    <n v="11.44"/>
    <x v="129"/>
    <x v="4"/>
  </r>
  <r>
    <x v="163"/>
    <s v="Carlos Silva"/>
    <d v="2025-08-01T00:00:00"/>
    <x v="3"/>
    <x v="1"/>
    <x v="9"/>
    <n v="5"/>
    <x v="9"/>
    <n v="16.809999999999999"/>
    <x v="130"/>
    <x v="5"/>
  </r>
  <r>
    <x v="164"/>
    <s v="Beatriz Ribeiro"/>
    <d v="2025-08-15T00:00:00"/>
    <x v="1"/>
    <x v="0"/>
    <x v="13"/>
    <n v="1"/>
    <x v="13"/>
    <n v="26.03"/>
    <x v="131"/>
    <x v="7"/>
  </r>
  <r>
    <x v="165"/>
    <s v="Juliana Costa"/>
    <d v="2025-12-05T00:00:00"/>
    <x v="4"/>
    <x v="0"/>
    <x v="4"/>
    <n v="2"/>
    <x v="4"/>
    <n v="0"/>
    <x v="90"/>
    <x v="0"/>
  </r>
  <r>
    <x v="166"/>
    <s v="Ricardo Carvalho"/>
    <d v="2025-05-01T00:00:00"/>
    <x v="1"/>
    <x v="0"/>
    <x v="15"/>
    <n v="4"/>
    <x v="15"/>
    <n v="201.95"/>
    <x v="132"/>
    <x v="0"/>
  </r>
  <r>
    <x v="167"/>
    <s v="Roberto Santos"/>
    <d v="2025-11-19T00:00:00"/>
    <x v="1"/>
    <x v="0"/>
    <x v="15"/>
    <n v="1"/>
    <x v="15"/>
    <n v="20.440000000000001"/>
    <x v="133"/>
    <x v="1"/>
  </r>
  <r>
    <x v="168"/>
    <s v="Roberto Santos"/>
    <d v="2025-06-30T00:00:00"/>
    <x v="0"/>
    <x v="0"/>
    <x v="13"/>
    <n v="4"/>
    <x v="13"/>
    <n v="20.52"/>
    <x v="134"/>
    <x v="2"/>
  </r>
  <r>
    <x v="169"/>
    <s v="Patricia Gomes"/>
    <d v="2025-05-29T00:00:00"/>
    <x v="4"/>
    <x v="1"/>
    <x v="9"/>
    <n v="5"/>
    <x v="9"/>
    <n v="25.57"/>
    <x v="135"/>
    <x v="5"/>
  </r>
  <r>
    <x v="170"/>
    <s v="Ana Souza"/>
    <d v="2025-01-16T00:00:00"/>
    <x v="0"/>
    <x v="1"/>
    <x v="14"/>
    <n v="3"/>
    <x v="14"/>
    <n v="0"/>
    <x v="112"/>
    <x v="7"/>
  </r>
  <r>
    <x v="171"/>
    <s v="Patricia Gomes"/>
    <d v="2025-06-05T00:00:00"/>
    <x v="1"/>
    <x v="1"/>
    <x v="1"/>
    <n v="5"/>
    <x v="1"/>
    <n v="16.420000000000002"/>
    <x v="136"/>
    <x v="1"/>
  </r>
  <r>
    <x v="172"/>
    <s v="Juliana Costa"/>
    <d v="2025-12-16T00:00:00"/>
    <x v="0"/>
    <x v="1"/>
    <x v="5"/>
    <n v="5"/>
    <x v="5"/>
    <n v="4.8099999999999996"/>
    <x v="137"/>
    <x v="7"/>
  </r>
  <r>
    <x v="173"/>
    <s v="Roberto Santos"/>
    <d v="2026-01-02T00:00:00"/>
    <x v="2"/>
    <x v="3"/>
    <x v="7"/>
    <n v="2"/>
    <x v="7"/>
    <n v="0"/>
    <x v="10"/>
    <x v="7"/>
  </r>
  <r>
    <x v="174"/>
    <s v="Ana Souza"/>
    <d v="2025-01-27T00:00:00"/>
    <x v="1"/>
    <x v="1"/>
    <x v="1"/>
    <n v="3"/>
    <x v="1"/>
    <n v="0"/>
    <x v="1"/>
    <x v="0"/>
  </r>
  <r>
    <x v="175"/>
    <s v="Marcos Rodrigues"/>
    <d v="2025-03-14T00:00:00"/>
    <x v="4"/>
    <x v="1"/>
    <x v="9"/>
    <n v="3"/>
    <x v="9"/>
    <n v="1.33"/>
    <x v="138"/>
    <x v="4"/>
  </r>
  <r>
    <x v="176"/>
    <s v="Ana Souza"/>
    <d v="2025-11-14T00:00:00"/>
    <x v="0"/>
    <x v="3"/>
    <x v="8"/>
    <n v="5"/>
    <x v="8"/>
    <n v="0"/>
    <x v="58"/>
    <x v="1"/>
  </r>
  <r>
    <x v="177"/>
    <s v="Juliana Costa"/>
    <d v="2025-05-20T00:00:00"/>
    <x v="2"/>
    <x v="3"/>
    <x v="7"/>
    <n v="3"/>
    <x v="7"/>
    <n v="237.84"/>
    <x v="139"/>
    <x v="1"/>
  </r>
  <r>
    <x v="178"/>
    <s v="Patricia Gomes"/>
    <d v="2026-01-15T00:00:00"/>
    <x v="3"/>
    <x v="2"/>
    <x v="11"/>
    <n v="5"/>
    <x v="11"/>
    <n v="16.559999999999999"/>
    <x v="140"/>
    <x v="2"/>
  </r>
  <r>
    <x v="178"/>
    <s v="Patricia Gomes"/>
    <d v="2025-02-02T00:00:00"/>
    <x v="4"/>
    <x v="0"/>
    <x v="4"/>
    <n v="2"/>
    <x v="4"/>
    <n v="0"/>
    <x v="90"/>
    <x v="0"/>
  </r>
  <r>
    <x v="179"/>
    <s v="Lucas Almeida"/>
    <d v="2025-03-31T00:00:00"/>
    <x v="2"/>
    <x v="3"/>
    <x v="7"/>
    <n v="5"/>
    <x v="7"/>
    <n v="327.49"/>
    <x v="141"/>
    <x v="1"/>
  </r>
  <r>
    <x v="180"/>
    <s v="Ricardo Carvalho"/>
    <d v="2026-02-05T00:00:00"/>
    <x v="1"/>
    <x v="0"/>
    <x v="4"/>
    <n v="3"/>
    <x v="4"/>
    <n v="174.47"/>
    <x v="142"/>
    <x v="1"/>
  </r>
  <r>
    <x v="181"/>
    <s v="Lucas Almeida"/>
    <d v="2025-08-14T00:00:00"/>
    <x v="0"/>
    <x v="1"/>
    <x v="14"/>
    <n v="4"/>
    <x v="14"/>
    <n v="0"/>
    <x v="143"/>
    <x v="4"/>
  </r>
  <r>
    <x v="182"/>
    <s v="Roberto Santos"/>
    <d v="2025-05-13T00:00:00"/>
    <x v="4"/>
    <x v="3"/>
    <x v="8"/>
    <n v="1"/>
    <x v="8"/>
    <n v="0"/>
    <x v="56"/>
    <x v="0"/>
  </r>
  <r>
    <x v="183"/>
    <s v="Juliana Costa"/>
    <d v="2025-01-13T00:00:00"/>
    <x v="2"/>
    <x v="0"/>
    <x v="15"/>
    <n v="3"/>
    <x v="15"/>
    <n v="88.75"/>
    <x v="144"/>
    <x v="0"/>
  </r>
  <r>
    <x v="184"/>
    <s v="Patricia Gomes"/>
    <d v="2025-07-29T00:00:00"/>
    <x v="1"/>
    <x v="0"/>
    <x v="13"/>
    <n v="3"/>
    <x v="13"/>
    <n v="50.63"/>
    <x v="145"/>
    <x v="3"/>
  </r>
  <r>
    <x v="185"/>
    <s v="Maria Oliveira"/>
    <d v="2025-10-24T00:00:00"/>
    <x v="1"/>
    <x v="2"/>
    <x v="2"/>
    <n v="3"/>
    <x v="2"/>
    <n v="0"/>
    <x v="146"/>
    <x v="0"/>
  </r>
  <r>
    <x v="186"/>
    <s v="Marcos Rodrigues"/>
    <d v="2025-06-15T00:00:00"/>
    <x v="0"/>
    <x v="2"/>
    <x v="11"/>
    <n v="5"/>
    <x v="11"/>
    <n v="0"/>
    <x v="147"/>
    <x v="5"/>
  </r>
  <r>
    <x v="187"/>
    <s v="Juliana Costa"/>
    <d v="2025-08-07T00:00:00"/>
    <x v="2"/>
    <x v="3"/>
    <x v="8"/>
    <n v="1"/>
    <x v="8"/>
    <n v="0"/>
    <x v="56"/>
    <x v="4"/>
  </r>
  <r>
    <x v="188"/>
    <s v="Carlos Silva"/>
    <d v="2025-10-21T00:00:00"/>
    <x v="1"/>
    <x v="1"/>
    <x v="14"/>
    <n v="1"/>
    <x v="14"/>
    <n v="1.56"/>
    <x v="148"/>
    <x v="3"/>
  </r>
  <r>
    <x v="189"/>
    <s v="Marcos Rodrigues"/>
    <d v="2025-04-25T00:00:00"/>
    <x v="2"/>
    <x v="2"/>
    <x v="2"/>
    <n v="4"/>
    <x v="2"/>
    <n v="0"/>
    <x v="149"/>
    <x v="4"/>
  </r>
  <r>
    <x v="190"/>
    <s v="Carlos Silva"/>
    <d v="2025-10-19T00:00:00"/>
    <x v="4"/>
    <x v="2"/>
    <x v="10"/>
    <n v="5"/>
    <x v="10"/>
    <n v="152.02000000000001"/>
    <x v="150"/>
    <x v="1"/>
  </r>
  <r>
    <x v="191"/>
    <s v="João Pereira"/>
    <d v="2025-12-28T00:00:00"/>
    <x v="3"/>
    <x v="3"/>
    <x v="7"/>
    <n v="4"/>
    <x v="7"/>
    <n v="164.38"/>
    <x v="151"/>
    <x v="5"/>
  </r>
  <r>
    <x v="192"/>
    <s v="Fernanda Lima"/>
    <d v="2025-11-08T00:00:00"/>
    <x v="2"/>
    <x v="1"/>
    <x v="5"/>
    <n v="5"/>
    <x v="5"/>
    <n v="0"/>
    <x v="71"/>
    <x v="4"/>
  </r>
  <r>
    <x v="193"/>
    <s v="Fernanda Lima"/>
    <d v="2025-08-16T00:00:00"/>
    <x v="2"/>
    <x v="0"/>
    <x v="15"/>
    <n v="5"/>
    <x v="15"/>
    <n v="0"/>
    <x v="152"/>
    <x v="0"/>
  </r>
  <r>
    <x v="194"/>
    <s v="Beatriz Ribeiro"/>
    <d v="2026-01-10T00:00:00"/>
    <x v="0"/>
    <x v="2"/>
    <x v="10"/>
    <n v="4"/>
    <x v="10"/>
    <n v="93.47"/>
    <x v="153"/>
    <x v="3"/>
  </r>
  <r>
    <x v="195"/>
    <s v="Patricia Gomes"/>
    <d v="2025-11-30T00:00:00"/>
    <x v="0"/>
    <x v="0"/>
    <x v="4"/>
    <n v="1"/>
    <x v="4"/>
    <n v="38.090000000000003"/>
    <x v="154"/>
    <x v="6"/>
  </r>
  <r>
    <x v="196"/>
    <s v="Patricia Gomes"/>
    <d v="2025-08-07T00:00:00"/>
    <x v="3"/>
    <x v="2"/>
    <x v="10"/>
    <n v="5"/>
    <x v="10"/>
    <n v="0"/>
    <x v="155"/>
    <x v="5"/>
  </r>
  <r>
    <x v="197"/>
    <s v="Ricardo Carvalho"/>
    <d v="2025-07-04T00:00:00"/>
    <x v="0"/>
    <x v="2"/>
    <x v="2"/>
    <n v="4"/>
    <x v="2"/>
    <n v="14.22"/>
    <x v="156"/>
    <x v="6"/>
  </r>
  <r>
    <x v="198"/>
    <s v="Lucas Almeida"/>
    <d v="2025-09-21T00:00:00"/>
    <x v="4"/>
    <x v="1"/>
    <x v="5"/>
    <n v="1"/>
    <x v="5"/>
    <n v="4.46"/>
    <x v="157"/>
    <x v="4"/>
  </r>
  <r>
    <x v="199"/>
    <s v="Beatriz Ribeiro"/>
    <d v="2025-07-29T00:00:00"/>
    <x v="0"/>
    <x v="1"/>
    <x v="1"/>
    <n v="5"/>
    <x v="1"/>
    <n v="0"/>
    <x v="158"/>
    <x v="2"/>
  </r>
  <r>
    <x v="200"/>
    <s v="Marcos Rodrigues"/>
    <d v="2026-01-14T00:00:00"/>
    <x v="3"/>
    <x v="2"/>
    <x v="2"/>
    <n v="3"/>
    <x v="2"/>
    <n v="0"/>
    <x v="146"/>
    <x v="5"/>
  </r>
  <r>
    <x v="201"/>
    <s v="Ricardo Carvalho"/>
    <d v="2025-09-26T00:00:00"/>
    <x v="0"/>
    <x v="2"/>
    <x v="10"/>
    <n v="5"/>
    <x v="10"/>
    <n v="63.61"/>
    <x v="159"/>
    <x v="1"/>
  </r>
  <r>
    <x v="202"/>
    <s v="Ricardo Carvalho"/>
    <d v="2025-04-24T00:00:00"/>
    <x v="0"/>
    <x v="1"/>
    <x v="1"/>
    <n v="1"/>
    <x v="1"/>
    <n v="0"/>
    <x v="160"/>
    <x v="0"/>
  </r>
  <r>
    <x v="203"/>
    <s v="Marcos Rodrigues"/>
    <d v="2025-04-04T00:00:00"/>
    <x v="2"/>
    <x v="1"/>
    <x v="5"/>
    <n v="3"/>
    <x v="5"/>
    <n v="0"/>
    <x v="161"/>
    <x v="3"/>
  </r>
  <r>
    <x v="204"/>
    <s v="Ana Souza"/>
    <d v="2025-06-12T00:00:00"/>
    <x v="2"/>
    <x v="3"/>
    <x v="8"/>
    <n v="5"/>
    <x v="8"/>
    <n v="25.41"/>
    <x v="162"/>
    <x v="7"/>
  </r>
  <r>
    <x v="205"/>
    <s v="Beatriz Ribeiro"/>
    <d v="2025-01-01T00:00:00"/>
    <x v="1"/>
    <x v="1"/>
    <x v="5"/>
    <n v="2"/>
    <x v="5"/>
    <n v="4.83"/>
    <x v="163"/>
    <x v="5"/>
  </r>
  <r>
    <x v="206"/>
    <s v="Carlos Silva"/>
    <d v="2025-02-13T00:00:00"/>
    <x v="4"/>
    <x v="0"/>
    <x v="4"/>
    <n v="3"/>
    <x v="4"/>
    <n v="0"/>
    <x v="26"/>
    <x v="7"/>
  </r>
  <r>
    <x v="207"/>
    <s v="Marcos Rodrigues"/>
    <d v="2025-03-22T00:00:00"/>
    <x v="2"/>
    <x v="1"/>
    <x v="14"/>
    <n v="3"/>
    <x v="14"/>
    <n v="0"/>
    <x v="112"/>
    <x v="6"/>
  </r>
  <r>
    <x v="208"/>
    <s v="João Pereira"/>
    <d v="2026-01-25T00:00:00"/>
    <x v="0"/>
    <x v="3"/>
    <x v="8"/>
    <n v="1"/>
    <x v="8"/>
    <n v="339.08"/>
    <x v="164"/>
    <x v="2"/>
  </r>
  <r>
    <x v="209"/>
    <s v="Fernanda Lima"/>
    <d v="2025-09-14T00:00:00"/>
    <x v="3"/>
    <x v="3"/>
    <x v="8"/>
    <n v="1"/>
    <x v="8"/>
    <n v="297.82"/>
    <x v="165"/>
    <x v="1"/>
  </r>
  <r>
    <x v="210"/>
    <s v="João Pereira"/>
    <d v="2025-12-09T00:00:00"/>
    <x v="1"/>
    <x v="1"/>
    <x v="1"/>
    <n v="4"/>
    <x v="1"/>
    <n v="11.12"/>
    <x v="166"/>
    <x v="1"/>
  </r>
  <r>
    <x v="211"/>
    <s v="Ricardo Carvalho"/>
    <d v="2025-10-29T00:00:00"/>
    <x v="3"/>
    <x v="2"/>
    <x v="10"/>
    <n v="5"/>
    <x v="10"/>
    <n v="42.89"/>
    <x v="167"/>
    <x v="0"/>
  </r>
  <r>
    <x v="212"/>
    <s v="Marcos Rodrigues"/>
    <d v="2025-10-04T00:00:00"/>
    <x v="0"/>
    <x v="1"/>
    <x v="1"/>
    <n v="1"/>
    <x v="1"/>
    <n v="0"/>
    <x v="160"/>
    <x v="5"/>
  </r>
  <r>
    <x v="213"/>
    <s v="Ana Souza"/>
    <d v="2025-04-01T00:00:00"/>
    <x v="1"/>
    <x v="2"/>
    <x v="11"/>
    <n v="5"/>
    <x v="11"/>
    <n v="74.489999999999995"/>
    <x v="168"/>
    <x v="4"/>
  </r>
  <r>
    <x v="214"/>
    <s v="Marcos Rodrigues"/>
    <d v="2025-10-16T00:00:00"/>
    <x v="1"/>
    <x v="0"/>
    <x v="13"/>
    <n v="2"/>
    <x v="13"/>
    <n v="35.21"/>
    <x v="169"/>
    <x v="5"/>
  </r>
  <r>
    <x v="215"/>
    <s v="Ricardo Carvalho"/>
    <d v="2025-05-25T00:00:00"/>
    <x v="0"/>
    <x v="1"/>
    <x v="9"/>
    <n v="5"/>
    <x v="9"/>
    <n v="22.14"/>
    <x v="170"/>
    <x v="4"/>
  </r>
  <r>
    <x v="216"/>
    <s v="Ana Souza"/>
    <d v="2025-09-12T00:00:00"/>
    <x v="1"/>
    <x v="2"/>
    <x v="6"/>
    <n v="5"/>
    <x v="6"/>
    <n v="0"/>
    <x v="30"/>
    <x v="0"/>
  </r>
  <r>
    <x v="217"/>
    <s v="Ricardo Carvalho"/>
    <d v="2025-05-24T00:00:00"/>
    <x v="1"/>
    <x v="1"/>
    <x v="14"/>
    <n v="2"/>
    <x v="14"/>
    <n v="0"/>
    <x v="171"/>
    <x v="3"/>
  </r>
  <r>
    <x v="218"/>
    <s v="Fernanda Lima"/>
    <d v="2025-01-28T00:00:00"/>
    <x v="3"/>
    <x v="1"/>
    <x v="14"/>
    <n v="4"/>
    <x v="14"/>
    <n v="28.64"/>
    <x v="172"/>
    <x v="0"/>
  </r>
  <r>
    <x v="219"/>
    <s v="Carlos Silva"/>
    <d v="2025-12-02T00:00:00"/>
    <x v="0"/>
    <x v="2"/>
    <x v="6"/>
    <n v="3"/>
    <x v="6"/>
    <n v="26.43"/>
    <x v="173"/>
    <x v="7"/>
  </r>
  <r>
    <x v="220"/>
    <s v="Ana Souza"/>
    <d v="2025-11-22T00:00:00"/>
    <x v="1"/>
    <x v="0"/>
    <x v="0"/>
    <n v="5"/>
    <x v="0"/>
    <n v="55.27"/>
    <x v="174"/>
    <x v="6"/>
  </r>
  <r>
    <x v="221"/>
    <s v="Beatriz Ribeiro"/>
    <d v="2025-02-19T00:00:00"/>
    <x v="0"/>
    <x v="2"/>
    <x v="6"/>
    <n v="5"/>
    <x v="6"/>
    <n v="90.53"/>
    <x v="175"/>
    <x v="2"/>
  </r>
  <r>
    <x v="222"/>
    <s v="Marcos Rodrigues"/>
    <d v="2025-01-27T00:00:00"/>
    <x v="3"/>
    <x v="1"/>
    <x v="1"/>
    <n v="1"/>
    <x v="1"/>
    <n v="0"/>
    <x v="160"/>
    <x v="6"/>
  </r>
  <r>
    <x v="223"/>
    <s v="Beatriz Ribeiro"/>
    <d v="2025-01-07T00:00:00"/>
    <x v="3"/>
    <x v="0"/>
    <x v="13"/>
    <n v="2"/>
    <x v="13"/>
    <n v="17.420000000000002"/>
    <x v="176"/>
    <x v="3"/>
  </r>
  <r>
    <x v="224"/>
    <s v="Ricardo Carvalho"/>
    <d v="2025-01-27T00:00:00"/>
    <x v="0"/>
    <x v="0"/>
    <x v="15"/>
    <n v="2"/>
    <x v="15"/>
    <n v="0"/>
    <x v="61"/>
    <x v="4"/>
  </r>
  <r>
    <x v="225"/>
    <s v="Roberto Santos"/>
    <d v="2025-02-06T00:00:00"/>
    <x v="3"/>
    <x v="3"/>
    <x v="3"/>
    <n v="3"/>
    <x v="3"/>
    <n v="102.13"/>
    <x v="177"/>
    <x v="1"/>
  </r>
  <r>
    <x v="226"/>
    <s v="Beatriz Ribeiro"/>
    <d v="2025-07-25T00:00:00"/>
    <x v="0"/>
    <x v="0"/>
    <x v="13"/>
    <n v="4"/>
    <x v="13"/>
    <n v="96.14"/>
    <x v="178"/>
    <x v="7"/>
  </r>
  <r>
    <x v="227"/>
    <s v="Fernanda Lima"/>
    <d v="2025-01-29T00:00:00"/>
    <x v="3"/>
    <x v="1"/>
    <x v="5"/>
    <n v="5"/>
    <x v="5"/>
    <n v="29.46"/>
    <x v="179"/>
    <x v="4"/>
  </r>
  <r>
    <x v="228"/>
    <s v="Beatriz Ribeiro"/>
    <d v="2026-02-04T00:00:00"/>
    <x v="4"/>
    <x v="3"/>
    <x v="7"/>
    <n v="4"/>
    <x v="7"/>
    <n v="0"/>
    <x v="44"/>
    <x v="5"/>
  </r>
  <r>
    <x v="229"/>
    <s v="Ana Souza"/>
    <d v="2025-12-10T00:00:00"/>
    <x v="2"/>
    <x v="0"/>
    <x v="15"/>
    <n v="2"/>
    <x v="15"/>
    <n v="0"/>
    <x v="61"/>
    <x v="6"/>
  </r>
  <r>
    <x v="230"/>
    <s v="Carlos Silva"/>
    <d v="2025-04-23T00:00:00"/>
    <x v="2"/>
    <x v="1"/>
    <x v="1"/>
    <n v="4"/>
    <x v="1"/>
    <n v="11.12"/>
    <x v="166"/>
    <x v="0"/>
  </r>
  <r>
    <x v="231"/>
    <s v="Marcos Rodrigues"/>
    <d v="2025-05-13T00:00:00"/>
    <x v="0"/>
    <x v="1"/>
    <x v="1"/>
    <n v="2"/>
    <x v="1"/>
    <n v="4.68"/>
    <x v="180"/>
    <x v="3"/>
  </r>
  <r>
    <x v="232"/>
    <s v="Lucas Almeida"/>
    <d v="2025-10-22T00:00:00"/>
    <x v="1"/>
    <x v="3"/>
    <x v="7"/>
    <n v="4"/>
    <x v="7"/>
    <n v="43.49"/>
    <x v="181"/>
    <x v="6"/>
  </r>
  <r>
    <x v="233"/>
    <s v="Ricardo Carvalho"/>
    <d v="2025-11-19T00:00:00"/>
    <x v="3"/>
    <x v="3"/>
    <x v="12"/>
    <n v="1"/>
    <x v="12"/>
    <n v="0"/>
    <x v="33"/>
    <x v="3"/>
  </r>
  <r>
    <x v="234"/>
    <s v="Fernanda Lima"/>
    <d v="2025-07-05T00:00:00"/>
    <x v="1"/>
    <x v="1"/>
    <x v="5"/>
    <n v="5"/>
    <x v="5"/>
    <n v="0"/>
    <x v="71"/>
    <x v="2"/>
  </r>
  <r>
    <x v="235"/>
    <s v="Maria Oliveira"/>
    <d v="2025-10-26T00:00:00"/>
    <x v="0"/>
    <x v="1"/>
    <x v="1"/>
    <n v="2"/>
    <x v="1"/>
    <n v="13.25"/>
    <x v="182"/>
    <x v="5"/>
  </r>
  <r>
    <x v="236"/>
    <s v="Beatriz Ribeiro"/>
    <d v="2025-11-20T00:00:00"/>
    <x v="0"/>
    <x v="2"/>
    <x v="2"/>
    <n v="3"/>
    <x v="2"/>
    <n v="23.43"/>
    <x v="183"/>
    <x v="5"/>
  </r>
  <r>
    <x v="237"/>
    <s v="Carlos Silva"/>
    <d v="2025-09-22T00:00:00"/>
    <x v="3"/>
    <x v="0"/>
    <x v="0"/>
    <n v="5"/>
    <x v="0"/>
    <n v="0"/>
    <x v="42"/>
    <x v="0"/>
  </r>
  <r>
    <x v="238"/>
    <s v="Ana Souza"/>
    <d v="2025-02-04T00:00:00"/>
    <x v="1"/>
    <x v="3"/>
    <x v="7"/>
    <n v="5"/>
    <x v="7"/>
    <n v="0"/>
    <x v="184"/>
    <x v="6"/>
  </r>
  <r>
    <x v="238"/>
    <s v="Ana Souza"/>
    <d v="2025-02-04T00:00:00"/>
    <x v="3"/>
    <x v="1"/>
    <x v="9"/>
    <n v="4"/>
    <x v="9"/>
    <n v="16.05"/>
    <x v="185"/>
    <x v="4"/>
  </r>
  <r>
    <x v="239"/>
    <s v="João Pereira"/>
    <d v="2025-08-27T00:00:00"/>
    <x v="3"/>
    <x v="2"/>
    <x v="6"/>
    <n v="4"/>
    <x v="6"/>
    <n v="74.09"/>
    <x v="186"/>
    <x v="3"/>
  </r>
  <r>
    <x v="240"/>
    <s v="Marcos Rodrigues"/>
    <d v="2025-12-25T00:00:00"/>
    <x v="1"/>
    <x v="2"/>
    <x v="6"/>
    <n v="1"/>
    <x v="6"/>
    <n v="0"/>
    <x v="187"/>
    <x v="7"/>
  </r>
  <r>
    <x v="241"/>
    <s v="Beatriz Ribeiro"/>
    <d v="2025-12-30T00:00:00"/>
    <x v="0"/>
    <x v="3"/>
    <x v="7"/>
    <n v="3"/>
    <x v="7"/>
    <n v="81.17"/>
    <x v="188"/>
    <x v="3"/>
  </r>
  <r>
    <x v="242"/>
    <s v="João Pereira"/>
    <d v="2025-10-27T00:00:00"/>
    <x v="4"/>
    <x v="0"/>
    <x v="0"/>
    <n v="4"/>
    <x v="0"/>
    <n v="301.62"/>
    <x v="189"/>
    <x v="4"/>
  </r>
  <r>
    <x v="243"/>
    <s v="Ricardo Carvalho"/>
    <d v="2025-10-12T00:00:00"/>
    <x v="2"/>
    <x v="3"/>
    <x v="3"/>
    <n v="2"/>
    <x v="3"/>
    <n v="0"/>
    <x v="190"/>
    <x v="6"/>
  </r>
  <r>
    <x v="244"/>
    <s v="Beatriz Ribeiro"/>
    <d v="2025-04-29T00:00:00"/>
    <x v="2"/>
    <x v="1"/>
    <x v="9"/>
    <n v="2"/>
    <x v="9"/>
    <n v="3.37"/>
    <x v="191"/>
    <x v="1"/>
  </r>
  <r>
    <x v="245"/>
    <s v="Marcos Rodrigues"/>
    <d v="2025-05-01T00:00:00"/>
    <x v="2"/>
    <x v="3"/>
    <x v="3"/>
    <n v="2"/>
    <x v="3"/>
    <n v="0"/>
    <x v="190"/>
    <x v="7"/>
  </r>
  <r>
    <x v="246"/>
    <s v="João Pereira"/>
    <d v="2025-01-22T00:00:00"/>
    <x v="4"/>
    <x v="1"/>
    <x v="14"/>
    <n v="4"/>
    <x v="14"/>
    <n v="4.99"/>
    <x v="192"/>
    <x v="0"/>
  </r>
  <r>
    <x v="247"/>
    <s v="Fernanda Lima"/>
    <d v="2025-10-08T00:00:00"/>
    <x v="4"/>
    <x v="2"/>
    <x v="6"/>
    <n v="1"/>
    <x v="6"/>
    <n v="4.57"/>
    <x v="193"/>
    <x v="1"/>
  </r>
  <r>
    <x v="248"/>
    <s v="Fernanda Lima"/>
    <d v="2025-01-14T00:00:00"/>
    <x v="4"/>
    <x v="2"/>
    <x v="6"/>
    <n v="4"/>
    <x v="6"/>
    <n v="0"/>
    <x v="38"/>
    <x v="2"/>
  </r>
  <r>
    <x v="249"/>
    <s v="Patricia Gomes"/>
    <d v="2025-05-16T00:00:00"/>
    <x v="0"/>
    <x v="1"/>
    <x v="14"/>
    <n v="3"/>
    <x v="14"/>
    <n v="9.15"/>
    <x v="194"/>
    <x v="0"/>
  </r>
  <r>
    <x v="250"/>
    <s v="Ana Souza"/>
    <d v="2025-12-04T00:00:00"/>
    <x v="4"/>
    <x v="0"/>
    <x v="13"/>
    <n v="5"/>
    <x v="13"/>
    <n v="0"/>
    <x v="90"/>
    <x v="4"/>
  </r>
  <r>
    <x v="251"/>
    <s v="Ana Souza"/>
    <d v="2025-02-04T00:00:00"/>
    <x v="4"/>
    <x v="3"/>
    <x v="12"/>
    <n v="5"/>
    <x v="12"/>
    <n v="3254.04"/>
    <x v="195"/>
    <x v="4"/>
  </r>
  <r>
    <x v="252"/>
    <s v="Marcos Rodrigues"/>
    <d v="2025-11-06T00:00:00"/>
    <x v="3"/>
    <x v="2"/>
    <x v="2"/>
    <n v="2"/>
    <x v="2"/>
    <n v="0.5"/>
    <x v="196"/>
    <x v="0"/>
  </r>
  <r>
    <x v="253"/>
    <s v="Lucas Almeida"/>
    <d v="2025-01-21T00:00:00"/>
    <x v="2"/>
    <x v="2"/>
    <x v="2"/>
    <n v="5"/>
    <x v="2"/>
    <n v="0"/>
    <x v="57"/>
    <x v="0"/>
  </r>
  <r>
    <x v="254"/>
    <s v="Ricardo Carvalho"/>
    <d v="2025-02-15T00:00:00"/>
    <x v="0"/>
    <x v="0"/>
    <x v="4"/>
    <n v="3"/>
    <x v="4"/>
    <n v="0"/>
    <x v="26"/>
    <x v="7"/>
  </r>
  <r>
    <x v="255"/>
    <s v="Juliana Costa"/>
    <d v="2025-06-17T00:00:00"/>
    <x v="3"/>
    <x v="1"/>
    <x v="1"/>
    <n v="3"/>
    <x v="1"/>
    <n v="0"/>
    <x v="1"/>
    <x v="2"/>
  </r>
  <r>
    <x v="256"/>
    <s v="Marcos Rodrigues"/>
    <d v="2025-04-02T00:00:00"/>
    <x v="0"/>
    <x v="3"/>
    <x v="12"/>
    <n v="1"/>
    <x v="12"/>
    <n v="655.86"/>
    <x v="197"/>
    <x v="7"/>
  </r>
  <r>
    <x v="257"/>
    <s v="Juliana Costa"/>
    <d v="2025-02-18T00:00:00"/>
    <x v="4"/>
    <x v="0"/>
    <x v="13"/>
    <n v="5"/>
    <x v="13"/>
    <n v="15.58"/>
    <x v="198"/>
    <x v="3"/>
  </r>
  <r>
    <x v="258"/>
    <s v="João Pereira"/>
    <d v="2025-05-23T00:00:00"/>
    <x v="0"/>
    <x v="0"/>
    <x v="15"/>
    <n v="5"/>
    <x v="15"/>
    <n v="114.07"/>
    <x v="199"/>
    <x v="0"/>
  </r>
  <r>
    <x v="259"/>
    <s v="Patricia Gomes"/>
    <d v="2025-12-05T00:00:00"/>
    <x v="1"/>
    <x v="2"/>
    <x v="6"/>
    <n v="1"/>
    <x v="6"/>
    <n v="24.71"/>
    <x v="200"/>
    <x v="1"/>
  </r>
  <r>
    <x v="260"/>
    <s v="Marcos Rodrigues"/>
    <d v="2025-08-11T00:00:00"/>
    <x v="1"/>
    <x v="0"/>
    <x v="15"/>
    <n v="5"/>
    <x v="15"/>
    <n v="0"/>
    <x v="152"/>
    <x v="0"/>
  </r>
  <r>
    <x v="261"/>
    <s v="Carlos Silva"/>
    <d v="2025-12-05T00:00:00"/>
    <x v="1"/>
    <x v="2"/>
    <x v="10"/>
    <n v="4"/>
    <x v="10"/>
    <n v="119.32"/>
    <x v="201"/>
    <x v="3"/>
  </r>
  <r>
    <x v="262"/>
    <s v="Juliana Costa"/>
    <d v="2025-11-18T00:00:00"/>
    <x v="3"/>
    <x v="1"/>
    <x v="9"/>
    <n v="3"/>
    <x v="9"/>
    <n v="16.07"/>
    <x v="202"/>
    <x v="2"/>
  </r>
  <r>
    <x v="263"/>
    <s v="Juliana Costa"/>
    <d v="2025-10-15T00:00:00"/>
    <x v="1"/>
    <x v="3"/>
    <x v="3"/>
    <n v="5"/>
    <x v="3"/>
    <n v="205.52"/>
    <x v="203"/>
    <x v="4"/>
  </r>
  <r>
    <x v="264"/>
    <s v="Marcos Rodrigues"/>
    <d v="2025-04-20T00:00:00"/>
    <x v="0"/>
    <x v="2"/>
    <x v="11"/>
    <n v="3"/>
    <x v="11"/>
    <n v="10.95"/>
    <x v="204"/>
    <x v="6"/>
  </r>
  <r>
    <x v="265"/>
    <s v="Carlos Silva"/>
    <d v="2025-11-29T00:00:00"/>
    <x v="3"/>
    <x v="0"/>
    <x v="15"/>
    <n v="3"/>
    <x v="15"/>
    <n v="0"/>
    <x v="126"/>
    <x v="5"/>
  </r>
  <r>
    <x v="266"/>
    <s v="Roberto Santos"/>
    <d v="2025-04-07T00:00:00"/>
    <x v="3"/>
    <x v="3"/>
    <x v="7"/>
    <n v="1"/>
    <x v="7"/>
    <n v="44.87"/>
    <x v="205"/>
    <x v="3"/>
  </r>
  <r>
    <x v="267"/>
    <s v="Maria Oliveira"/>
    <d v="2025-10-02T00:00:00"/>
    <x v="0"/>
    <x v="2"/>
    <x v="11"/>
    <n v="4"/>
    <x v="11"/>
    <n v="72.069999999999993"/>
    <x v="206"/>
    <x v="1"/>
  </r>
  <r>
    <x v="268"/>
    <s v="Patricia Gomes"/>
    <d v="2025-07-08T00:00:00"/>
    <x v="2"/>
    <x v="3"/>
    <x v="12"/>
    <n v="4"/>
    <x v="12"/>
    <n v="0"/>
    <x v="102"/>
    <x v="0"/>
  </r>
  <r>
    <x v="269"/>
    <s v="Juliana Costa"/>
    <d v="2025-09-24T00:00:00"/>
    <x v="3"/>
    <x v="3"/>
    <x v="8"/>
    <n v="4"/>
    <x v="8"/>
    <n v="1481.66"/>
    <x v="207"/>
    <x v="4"/>
  </r>
  <r>
    <x v="270"/>
    <s v="Ricardo Carvalho"/>
    <d v="2025-12-20T00:00:00"/>
    <x v="2"/>
    <x v="2"/>
    <x v="11"/>
    <n v="1"/>
    <x v="11"/>
    <n v="19.2"/>
    <x v="208"/>
    <x v="6"/>
  </r>
  <r>
    <x v="271"/>
    <s v="Fernanda Lima"/>
    <d v="2025-08-10T00:00:00"/>
    <x v="4"/>
    <x v="2"/>
    <x v="10"/>
    <n v="5"/>
    <x v="10"/>
    <n v="0"/>
    <x v="155"/>
    <x v="6"/>
  </r>
  <r>
    <x v="272"/>
    <s v="Ana Souza"/>
    <d v="2025-01-18T00:00:00"/>
    <x v="1"/>
    <x v="1"/>
    <x v="5"/>
    <n v="2"/>
    <x v="5"/>
    <n v="0"/>
    <x v="8"/>
    <x v="6"/>
  </r>
  <r>
    <x v="273"/>
    <s v="Lucas Almeida"/>
    <d v="2026-02-05T00:00:00"/>
    <x v="1"/>
    <x v="2"/>
    <x v="11"/>
    <n v="1"/>
    <x v="11"/>
    <n v="4.6500000000000004"/>
    <x v="209"/>
    <x v="1"/>
  </r>
  <r>
    <x v="274"/>
    <s v="Fernanda Lima"/>
    <d v="2025-09-11T00:00:00"/>
    <x v="0"/>
    <x v="3"/>
    <x v="3"/>
    <n v="4"/>
    <x v="3"/>
    <n v="0"/>
    <x v="210"/>
    <x v="4"/>
  </r>
  <r>
    <x v="275"/>
    <s v="Ricardo Carvalho"/>
    <d v="2025-04-21T00:00:00"/>
    <x v="1"/>
    <x v="1"/>
    <x v="1"/>
    <n v="4"/>
    <x v="1"/>
    <n v="0"/>
    <x v="46"/>
    <x v="4"/>
  </r>
  <r>
    <x v="276"/>
    <s v="Patricia Gomes"/>
    <d v="2025-10-20T00:00:00"/>
    <x v="0"/>
    <x v="2"/>
    <x v="2"/>
    <n v="1"/>
    <x v="2"/>
    <n v="8.1300000000000008"/>
    <x v="211"/>
    <x v="6"/>
  </r>
  <r>
    <x v="277"/>
    <s v="Patricia Gomes"/>
    <d v="2025-04-30T00:00:00"/>
    <x v="0"/>
    <x v="1"/>
    <x v="9"/>
    <n v="1"/>
    <x v="9"/>
    <n v="4.03"/>
    <x v="212"/>
    <x v="1"/>
  </r>
  <r>
    <x v="278"/>
    <s v="Patricia Gomes"/>
    <d v="2025-04-16T00:00:00"/>
    <x v="1"/>
    <x v="2"/>
    <x v="6"/>
    <n v="3"/>
    <x v="6"/>
    <n v="0"/>
    <x v="213"/>
    <x v="3"/>
  </r>
  <r>
    <x v="279"/>
    <s v="Roberto Santos"/>
    <d v="2025-01-05T00:00:00"/>
    <x v="4"/>
    <x v="1"/>
    <x v="1"/>
    <n v="5"/>
    <x v="1"/>
    <n v="0"/>
    <x v="158"/>
    <x v="0"/>
  </r>
  <r>
    <x v="280"/>
    <s v="Fernanda Lima"/>
    <d v="2025-07-10T00:00:00"/>
    <x v="2"/>
    <x v="0"/>
    <x v="4"/>
    <n v="1"/>
    <x v="4"/>
    <n v="29.71"/>
    <x v="214"/>
    <x v="5"/>
  </r>
  <r>
    <x v="281"/>
    <s v="Roberto Santos"/>
    <d v="2025-10-09T00:00:00"/>
    <x v="2"/>
    <x v="1"/>
    <x v="1"/>
    <n v="5"/>
    <x v="1"/>
    <n v="0"/>
    <x v="158"/>
    <x v="3"/>
  </r>
  <r>
    <x v="282"/>
    <s v="Juliana Costa"/>
    <d v="2025-05-23T00:00:00"/>
    <x v="0"/>
    <x v="2"/>
    <x v="6"/>
    <n v="3"/>
    <x v="6"/>
    <n v="0"/>
    <x v="213"/>
    <x v="3"/>
  </r>
  <r>
    <x v="283"/>
    <s v="Fernanda Lima"/>
    <d v="2025-04-07T00:00:00"/>
    <x v="4"/>
    <x v="1"/>
    <x v="5"/>
    <n v="5"/>
    <x v="5"/>
    <n v="0"/>
    <x v="71"/>
    <x v="3"/>
  </r>
  <r>
    <x v="284"/>
    <s v="Juliana Costa"/>
    <d v="2025-08-18T00:00:00"/>
    <x v="1"/>
    <x v="1"/>
    <x v="9"/>
    <n v="1"/>
    <x v="9"/>
    <n v="0"/>
    <x v="215"/>
    <x v="7"/>
  </r>
  <r>
    <x v="285"/>
    <s v="Ana Souza"/>
    <d v="2025-02-05T00:00:00"/>
    <x v="0"/>
    <x v="3"/>
    <x v="3"/>
    <n v="1"/>
    <x v="3"/>
    <n v="21.2"/>
    <x v="216"/>
    <x v="5"/>
  </r>
  <r>
    <x v="286"/>
    <s v="Ana Souza"/>
    <d v="2025-03-22T00:00:00"/>
    <x v="2"/>
    <x v="1"/>
    <x v="9"/>
    <n v="4"/>
    <x v="9"/>
    <n v="0"/>
    <x v="34"/>
    <x v="4"/>
  </r>
  <r>
    <x v="287"/>
    <s v="Juliana Costa"/>
    <d v="2025-04-04T00:00:00"/>
    <x v="2"/>
    <x v="3"/>
    <x v="3"/>
    <n v="2"/>
    <x v="3"/>
    <n v="0"/>
    <x v="190"/>
    <x v="2"/>
  </r>
  <r>
    <x v="288"/>
    <s v="Marcos Rodrigues"/>
    <d v="2025-06-24T00:00:00"/>
    <x v="1"/>
    <x v="2"/>
    <x v="10"/>
    <n v="5"/>
    <x v="10"/>
    <n v="0"/>
    <x v="155"/>
    <x v="5"/>
  </r>
  <r>
    <x v="289"/>
    <s v="Carlos Silva"/>
    <d v="2025-08-25T00:00:00"/>
    <x v="1"/>
    <x v="3"/>
    <x v="7"/>
    <n v="2"/>
    <x v="7"/>
    <n v="0"/>
    <x v="10"/>
    <x v="4"/>
  </r>
  <r>
    <x v="290"/>
    <s v="João Pereira"/>
    <d v="2025-07-10T00:00:00"/>
    <x v="0"/>
    <x v="3"/>
    <x v="12"/>
    <n v="2"/>
    <x v="12"/>
    <n v="0"/>
    <x v="23"/>
    <x v="2"/>
  </r>
  <r>
    <x v="291"/>
    <s v="Beatriz Ribeiro"/>
    <d v="2025-07-08T00:00:00"/>
    <x v="0"/>
    <x v="1"/>
    <x v="1"/>
    <n v="4"/>
    <x v="1"/>
    <n v="48.68"/>
    <x v="217"/>
    <x v="7"/>
  </r>
  <r>
    <x v="292"/>
    <s v="Carlos Silva"/>
    <d v="2025-09-14T00:00:00"/>
    <x v="4"/>
    <x v="0"/>
    <x v="4"/>
    <n v="2"/>
    <x v="4"/>
    <n v="0"/>
    <x v="90"/>
    <x v="5"/>
  </r>
  <r>
    <x v="293"/>
    <s v="Ricardo Carvalho"/>
    <d v="2025-01-14T00:00:00"/>
    <x v="3"/>
    <x v="1"/>
    <x v="9"/>
    <n v="1"/>
    <x v="9"/>
    <n v="0"/>
    <x v="215"/>
    <x v="5"/>
  </r>
  <r>
    <x v="294"/>
    <s v="Roberto Santos"/>
    <d v="2025-09-11T00:00:00"/>
    <x v="2"/>
    <x v="2"/>
    <x v="2"/>
    <n v="4"/>
    <x v="2"/>
    <n v="29.74"/>
    <x v="218"/>
    <x v="1"/>
  </r>
  <r>
    <x v="295"/>
    <s v="Patricia Gomes"/>
    <d v="2025-07-19T00:00:00"/>
    <x v="3"/>
    <x v="3"/>
    <x v="7"/>
    <n v="5"/>
    <x v="7"/>
    <n v="544.66999999999996"/>
    <x v="219"/>
    <x v="4"/>
  </r>
  <r>
    <x v="296"/>
    <s v="Roberto Santos"/>
    <d v="2025-11-22T00:00:00"/>
    <x v="1"/>
    <x v="0"/>
    <x v="15"/>
    <n v="3"/>
    <x v="15"/>
    <n v="0"/>
    <x v="126"/>
    <x v="3"/>
  </r>
  <r>
    <x v="297"/>
    <s v="Juliana Costa"/>
    <d v="2025-04-30T00:00:00"/>
    <x v="1"/>
    <x v="2"/>
    <x v="2"/>
    <n v="3"/>
    <x v="2"/>
    <n v="0"/>
    <x v="146"/>
    <x v="1"/>
  </r>
  <r>
    <x v="298"/>
    <s v="Maria Oliveira"/>
    <d v="2025-02-24T00:00:00"/>
    <x v="1"/>
    <x v="3"/>
    <x v="8"/>
    <n v="5"/>
    <x v="8"/>
    <n v="0"/>
    <x v="58"/>
    <x v="6"/>
  </r>
  <r>
    <x v="299"/>
    <s v="Ana Souza"/>
    <d v="2025-09-19T00:00:00"/>
    <x v="4"/>
    <x v="0"/>
    <x v="0"/>
    <n v="1"/>
    <x v="0"/>
    <n v="0"/>
    <x v="41"/>
    <x v="1"/>
  </r>
  <r>
    <x v="300"/>
    <s v="Roberto Santos"/>
    <d v="2025-02-05T00:00:00"/>
    <x v="4"/>
    <x v="2"/>
    <x v="6"/>
    <n v="1"/>
    <x v="6"/>
    <n v="0"/>
    <x v="187"/>
    <x v="6"/>
  </r>
  <r>
    <x v="301"/>
    <s v="João Pereira"/>
    <d v="2025-09-09T00:00:00"/>
    <x v="1"/>
    <x v="1"/>
    <x v="5"/>
    <n v="1"/>
    <x v="5"/>
    <n v="0"/>
    <x v="29"/>
    <x v="0"/>
  </r>
  <r>
    <x v="302"/>
    <s v="Marcos Rodrigues"/>
    <d v="2025-08-11T00:00:00"/>
    <x v="1"/>
    <x v="2"/>
    <x v="10"/>
    <n v="1"/>
    <x v="10"/>
    <n v="19.440000000000001"/>
    <x v="220"/>
    <x v="6"/>
  </r>
  <r>
    <x v="303"/>
    <s v="Fernanda Lima"/>
    <d v="2025-08-01T00:00:00"/>
    <x v="3"/>
    <x v="0"/>
    <x v="15"/>
    <n v="4"/>
    <x v="15"/>
    <n v="0"/>
    <x v="221"/>
    <x v="2"/>
  </r>
  <r>
    <x v="304"/>
    <s v="Roberto Santos"/>
    <d v="2025-10-11T00:00:00"/>
    <x v="3"/>
    <x v="2"/>
    <x v="6"/>
    <n v="4"/>
    <x v="6"/>
    <n v="65.75"/>
    <x v="222"/>
    <x v="7"/>
  </r>
  <r>
    <x v="305"/>
    <s v="Marcos Rodrigues"/>
    <d v="2025-08-26T00:00:00"/>
    <x v="2"/>
    <x v="0"/>
    <x v="0"/>
    <n v="4"/>
    <x v="0"/>
    <n v="0"/>
    <x v="128"/>
    <x v="4"/>
  </r>
  <r>
    <x v="306"/>
    <s v="Juliana Costa"/>
    <d v="2025-03-07T00:00:00"/>
    <x v="1"/>
    <x v="0"/>
    <x v="15"/>
    <n v="5"/>
    <x v="15"/>
    <n v="0"/>
    <x v="152"/>
    <x v="7"/>
  </r>
  <r>
    <x v="307"/>
    <s v="Patricia Gomes"/>
    <d v="2025-06-13T00:00:00"/>
    <x v="2"/>
    <x v="2"/>
    <x v="2"/>
    <n v="4"/>
    <x v="2"/>
    <n v="33.67"/>
    <x v="223"/>
    <x v="3"/>
  </r>
  <r>
    <x v="308"/>
    <s v="Lucas Almeida"/>
    <d v="2025-05-15T00:00:00"/>
    <x v="3"/>
    <x v="2"/>
    <x v="11"/>
    <n v="2"/>
    <x v="11"/>
    <n v="17.98"/>
    <x v="224"/>
    <x v="0"/>
  </r>
  <r>
    <x v="309"/>
    <s v="Patricia Gomes"/>
    <d v="2025-04-25T00:00:00"/>
    <x v="0"/>
    <x v="1"/>
    <x v="1"/>
    <n v="3"/>
    <x v="1"/>
    <n v="0"/>
    <x v="1"/>
    <x v="0"/>
  </r>
  <r>
    <x v="310"/>
    <s v="Marcos Rodrigues"/>
    <d v="2025-10-04T00:00:00"/>
    <x v="3"/>
    <x v="3"/>
    <x v="12"/>
    <n v="1"/>
    <x v="12"/>
    <n v="61.84"/>
    <x v="225"/>
    <x v="7"/>
  </r>
  <r>
    <x v="311"/>
    <s v="Ricardo Carvalho"/>
    <d v="2025-10-17T00:00:00"/>
    <x v="2"/>
    <x v="0"/>
    <x v="15"/>
    <n v="2"/>
    <x v="15"/>
    <n v="81.709999999999994"/>
    <x v="226"/>
    <x v="0"/>
  </r>
  <r>
    <x v="312"/>
    <s v="Carlos Silva"/>
    <d v="2025-10-06T00:00:00"/>
    <x v="3"/>
    <x v="1"/>
    <x v="9"/>
    <n v="2"/>
    <x v="9"/>
    <n v="0"/>
    <x v="227"/>
    <x v="6"/>
  </r>
  <r>
    <x v="313"/>
    <s v="Juliana Costa"/>
    <d v="2025-02-09T00:00:00"/>
    <x v="0"/>
    <x v="0"/>
    <x v="13"/>
    <n v="4"/>
    <x v="13"/>
    <n v="0"/>
    <x v="27"/>
    <x v="3"/>
  </r>
  <r>
    <x v="314"/>
    <s v="Marcos Rodrigues"/>
    <d v="2025-07-01T00:00:00"/>
    <x v="4"/>
    <x v="3"/>
    <x v="8"/>
    <n v="2"/>
    <x v="8"/>
    <n v="0"/>
    <x v="13"/>
    <x v="1"/>
  </r>
  <r>
    <x v="315"/>
    <s v="Beatriz Ribeiro"/>
    <d v="2025-02-17T00:00:00"/>
    <x v="2"/>
    <x v="3"/>
    <x v="12"/>
    <n v="5"/>
    <x v="12"/>
    <n v="0"/>
    <x v="43"/>
    <x v="5"/>
  </r>
  <r>
    <x v="316"/>
    <s v="João Pereira"/>
    <d v="2025-03-16T00:00:00"/>
    <x v="3"/>
    <x v="2"/>
    <x v="2"/>
    <n v="2"/>
    <x v="2"/>
    <n v="14.97"/>
    <x v="228"/>
    <x v="6"/>
  </r>
  <r>
    <x v="317"/>
    <s v="Lucas Almeida"/>
    <d v="2025-10-14T00:00:00"/>
    <x v="4"/>
    <x v="0"/>
    <x v="4"/>
    <n v="3"/>
    <x v="4"/>
    <n v="183.8"/>
    <x v="229"/>
    <x v="5"/>
  </r>
  <r>
    <x v="318"/>
    <s v="Juliana Costa"/>
    <d v="2025-06-23T00:00:00"/>
    <x v="2"/>
    <x v="2"/>
    <x v="2"/>
    <n v="5"/>
    <x v="2"/>
    <n v="0"/>
    <x v="57"/>
    <x v="0"/>
  </r>
  <r>
    <x v="319"/>
    <s v="Patricia Gomes"/>
    <d v="2025-12-01T00:00:00"/>
    <x v="0"/>
    <x v="1"/>
    <x v="14"/>
    <n v="4"/>
    <x v="14"/>
    <n v="6.23"/>
    <x v="230"/>
    <x v="3"/>
  </r>
  <r>
    <x v="320"/>
    <s v="Ana Souza"/>
    <d v="2025-01-09T00:00:00"/>
    <x v="0"/>
    <x v="0"/>
    <x v="4"/>
    <n v="5"/>
    <x v="4"/>
    <n v="99.44"/>
    <x v="231"/>
    <x v="3"/>
  </r>
  <r>
    <x v="321"/>
    <s v="Fernanda Lima"/>
    <d v="2025-09-16T00:00:00"/>
    <x v="3"/>
    <x v="3"/>
    <x v="12"/>
    <n v="4"/>
    <x v="12"/>
    <n v="1896.3"/>
    <x v="232"/>
    <x v="7"/>
  </r>
  <r>
    <x v="322"/>
    <s v="Marcos Rodrigues"/>
    <d v="2025-04-21T00:00:00"/>
    <x v="4"/>
    <x v="0"/>
    <x v="13"/>
    <n v="5"/>
    <x v="13"/>
    <n v="109.92"/>
    <x v="233"/>
    <x v="6"/>
  </r>
  <r>
    <x v="323"/>
    <s v="Patricia Gomes"/>
    <d v="2025-10-06T00:00:00"/>
    <x v="4"/>
    <x v="1"/>
    <x v="1"/>
    <n v="4"/>
    <x v="1"/>
    <n v="11.87"/>
    <x v="234"/>
    <x v="6"/>
  </r>
  <r>
    <x v="324"/>
    <s v="Roberto Santos"/>
    <d v="2025-08-15T00:00:00"/>
    <x v="0"/>
    <x v="0"/>
    <x v="4"/>
    <n v="5"/>
    <x v="4"/>
    <n v="0"/>
    <x v="121"/>
    <x v="0"/>
  </r>
  <r>
    <x v="325"/>
    <s v="Lucas Almeida"/>
    <d v="2025-06-23T00:00:00"/>
    <x v="0"/>
    <x v="3"/>
    <x v="7"/>
    <n v="1"/>
    <x v="7"/>
    <n v="40.880000000000003"/>
    <x v="235"/>
    <x v="2"/>
  </r>
  <r>
    <x v="326"/>
    <s v="Juliana Costa"/>
    <d v="2025-03-19T00:00:00"/>
    <x v="0"/>
    <x v="0"/>
    <x v="13"/>
    <n v="4"/>
    <x v="13"/>
    <n v="91.09"/>
    <x v="236"/>
    <x v="3"/>
  </r>
  <r>
    <x v="327"/>
    <s v="Ricardo Carvalho"/>
    <d v="2025-09-08T00:00:00"/>
    <x v="4"/>
    <x v="2"/>
    <x v="10"/>
    <n v="2"/>
    <x v="10"/>
    <n v="61.63"/>
    <x v="237"/>
    <x v="6"/>
  </r>
  <r>
    <x v="328"/>
    <s v="Fernanda Lima"/>
    <d v="2025-02-03T00:00:00"/>
    <x v="0"/>
    <x v="1"/>
    <x v="9"/>
    <n v="5"/>
    <x v="9"/>
    <n v="3.88"/>
    <x v="238"/>
    <x v="2"/>
  </r>
  <r>
    <x v="329"/>
    <s v="Fernanda Lima"/>
    <d v="2025-04-22T00:00:00"/>
    <x v="0"/>
    <x v="2"/>
    <x v="2"/>
    <n v="2"/>
    <x v="2"/>
    <n v="0"/>
    <x v="21"/>
    <x v="5"/>
  </r>
  <r>
    <x v="330"/>
    <s v="Carlos Silva"/>
    <d v="2025-04-10T00:00:00"/>
    <x v="2"/>
    <x v="2"/>
    <x v="6"/>
    <n v="1"/>
    <x v="6"/>
    <n v="21.62"/>
    <x v="239"/>
    <x v="7"/>
  </r>
  <r>
    <x v="331"/>
    <s v="Carlos Silva"/>
    <d v="2025-05-01T00:00:00"/>
    <x v="3"/>
    <x v="1"/>
    <x v="5"/>
    <n v="1"/>
    <x v="5"/>
    <n v="0"/>
    <x v="29"/>
    <x v="2"/>
  </r>
  <r>
    <x v="332"/>
    <s v="Juliana Costa"/>
    <d v="2025-04-13T00:00:00"/>
    <x v="0"/>
    <x v="2"/>
    <x v="10"/>
    <n v="5"/>
    <x v="10"/>
    <n v="0"/>
    <x v="155"/>
    <x v="3"/>
  </r>
  <r>
    <x v="333"/>
    <s v="Carlos Silva"/>
    <d v="2026-01-01T00:00:00"/>
    <x v="3"/>
    <x v="0"/>
    <x v="4"/>
    <n v="1"/>
    <x v="4"/>
    <n v="45.62"/>
    <x v="240"/>
    <x v="7"/>
  </r>
  <r>
    <x v="334"/>
    <s v="Ana Souza"/>
    <d v="2025-01-27T00:00:00"/>
    <x v="0"/>
    <x v="1"/>
    <x v="14"/>
    <n v="1"/>
    <x v="14"/>
    <n v="4.01"/>
    <x v="241"/>
    <x v="4"/>
  </r>
  <r>
    <x v="335"/>
    <s v="Beatriz Ribeiro"/>
    <d v="2025-11-24T00:00:00"/>
    <x v="3"/>
    <x v="0"/>
    <x v="15"/>
    <n v="2"/>
    <x v="15"/>
    <n v="101.57"/>
    <x v="242"/>
    <x v="1"/>
  </r>
  <r>
    <x v="336"/>
    <s v="Ana Souza"/>
    <d v="2025-07-05T00:00:00"/>
    <x v="2"/>
    <x v="1"/>
    <x v="14"/>
    <n v="1"/>
    <x v="14"/>
    <n v="0"/>
    <x v="106"/>
    <x v="5"/>
  </r>
  <r>
    <x v="337"/>
    <s v="Ana Souza"/>
    <d v="2025-07-02T00:00:00"/>
    <x v="2"/>
    <x v="2"/>
    <x v="2"/>
    <n v="3"/>
    <x v="2"/>
    <n v="0"/>
    <x v="146"/>
    <x v="7"/>
  </r>
  <r>
    <x v="338"/>
    <s v="Beatriz Ribeiro"/>
    <d v="2026-01-07T00:00:00"/>
    <x v="4"/>
    <x v="1"/>
    <x v="5"/>
    <n v="5"/>
    <x v="5"/>
    <n v="14.74"/>
    <x v="243"/>
    <x v="2"/>
  </r>
  <r>
    <x v="339"/>
    <s v="Carlos Silva"/>
    <d v="2025-12-14T00:00:00"/>
    <x v="2"/>
    <x v="1"/>
    <x v="14"/>
    <n v="2"/>
    <x v="14"/>
    <n v="0"/>
    <x v="171"/>
    <x v="4"/>
  </r>
  <r>
    <x v="340"/>
    <s v="Lucas Almeida"/>
    <d v="2025-12-17T00:00:00"/>
    <x v="0"/>
    <x v="0"/>
    <x v="13"/>
    <n v="2"/>
    <x v="13"/>
    <n v="14.92"/>
    <x v="244"/>
    <x v="7"/>
  </r>
  <r>
    <x v="341"/>
    <s v="Ana Souza"/>
    <d v="2025-12-18T00:00:00"/>
    <x v="1"/>
    <x v="2"/>
    <x v="2"/>
    <n v="4"/>
    <x v="2"/>
    <n v="0"/>
    <x v="149"/>
    <x v="5"/>
  </r>
  <r>
    <x v="342"/>
    <s v="Carlos Silva"/>
    <d v="2025-07-05T00:00:00"/>
    <x v="0"/>
    <x v="2"/>
    <x v="10"/>
    <n v="3"/>
    <x v="10"/>
    <n v="0"/>
    <x v="18"/>
    <x v="2"/>
  </r>
  <r>
    <x v="343"/>
    <s v="Juliana Costa"/>
    <d v="2025-11-08T00:00:00"/>
    <x v="0"/>
    <x v="3"/>
    <x v="7"/>
    <n v="2"/>
    <x v="7"/>
    <n v="0"/>
    <x v="10"/>
    <x v="7"/>
  </r>
  <r>
    <x v="344"/>
    <s v="João Pereira"/>
    <d v="2025-04-05T00:00:00"/>
    <x v="0"/>
    <x v="1"/>
    <x v="1"/>
    <n v="1"/>
    <x v="1"/>
    <n v="0.31"/>
    <x v="245"/>
    <x v="3"/>
  </r>
  <r>
    <x v="345"/>
    <s v="Maria Oliveira"/>
    <d v="2025-09-05T00:00:00"/>
    <x v="0"/>
    <x v="2"/>
    <x v="6"/>
    <n v="4"/>
    <x v="6"/>
    <n v="0"/>
    <x v="38"/>
    <x v="7"/>
  </r>
  <r>
    <x v="346"/>
    <s v="Maria Oliveira"/>
    <d v="2025-05-25T00:00:00"/>
    <x v="2"/>
    <x v="3"/>
    <x v="7"/>
    <n v="3"/>
    <x v="7"/>
    <n v="0"/>
    <x v="246"/>
    <x v="7"/>
  </r>
  <r>
    <x v="347"/>
    <s v="Juliana Costa"/>
    <d v="2025-12-12T00:00:00"/>
    <x v="4"/>
    <x v="2"/>
    <x v="2"/>
    <n v="1"/>
    <x v="2"/>
    <n v="4.5999999999999996"/>
    <x v="247"/>
    <x v="1"/>
  </r>
  <r>
    <x v="348"/>
    <s v="Beatriz Ribeiro"/>
    <d v="2025-04-21T00:00:00"/>
    <x v="3"/>
    <x v="1"/>
    <x v="5"/>
    <n v="3"/>
    <x v="5"/>
    <n v="0"/>
    <x v="161"/>
    <x v="6"/>
  </r>
  <r>
    <x v="349"/>
    <s v="João Pereira"/>
    <d v="2025-09-12T00:00:00"/>
    <x v="3"/>
    <x v="0"/>
    <x v="0"/>
    <n v="5"/>
    <x v="0"/>
    <n v="0"/>
    <x v="42"/>
    <x v="2"/>
  </r>
  <r>
    <x v="350"/>
    <s v="Ana Souza"/>
    <d v="2025-04-27T00:00:00"/>
    <x v="4"/>
    <x v="0"/>
    <x v="0"/>
    <n v="2"/>
    <x v="0"/>
    <n v="0"/>
    <x v="68"/>
    <x v="7"/>
  </r>
  <r>
    <x v="351"/>
    <s v="Maria Oliveira"/>
    <d v="2026-01-25T00:00:00"/>
    <x v="2"/>
    <x v="2"/>
    <x v="6"/>
    <n v="4"/>
    <x v="6"/>
    <n v="32.75"/>
    <x v="248"/>
    <x v="4"/>
  </r>
  <r>
    <x v="352"/>
    <s v="Juliana Costa"/>
    <d v="2025-12-13T00:00:00"/>
    <x v="3"/>
    <x v="2"/>
    <x v="11"/>
    <n v="3"/>
    <x v="11"/>
    <n v="55.79"/>
    <x v="249"/>
    <x v="7"/>
  </r>
  <r>
    <x v="353"/>
    <s v="Marcos Rodrigues"/>
    <d v="2025-07-15T00:00:00"/>
    <x v="1"/>
    <x v="0"/>
    <x v="0"/>
    <n v="3"/>
    <x v="0"/>
    <n v="0"/>
    <x v="74"/>
    <x v="7"/>
  </r>
  <r>
    <x v="354"/>
    <s v="Carlos Silva"/>
    <d v="2026-01-01T00:00:00"/>
    <x v="4"/>
    <x v="0"/>
    <x v="13"/>
    <n v="1"/>
    <x v="13"/>
    <n v="17.440000000000001"/>
    <x v="250"/>
    <x v="4"/>
  </r>
  <r>
    <x v="355"/>
    <s v="Maria Oliveira"/>
    <d v="2025-11-13T00:00:00"/>
    <x v="4"/>
    <x v="0"/>
    <x v="4"/>
    <n v="4"/>
    <x v="4"/>
    <n v="0"/>
    <x v="251"/>
    <x v="5"/>
  </r>
  <r>
    <x v="356"/>
    <s v="Patricia Gomes"/>
    <d v="2025-10-05T00:00:00"/>
    <x v="0"/>
    <x v="0"/>
    <x v="4"/>
    <n v="2"/>
    <x v="4"/>
    <n v="89.1"/>
    <x v="252"/>
    <x v="1"/>
  </r>
  <r>
    <x v="357"/>
    <s v="Maria Oliveira"/>
    <d v="2025-05-26T00:00:00"/>
    <x v="0"/>
    <x v="3"/>
    <x v="3"/>
    <n v="1"/>
    <x v="3"/>
    <n v="41.99"/>
    <x v="253"/>
    <x v="3"/>
  </r>
  <r>
    <x v="358"/>
    <s v="João Pereira"/>
    <d v="2025-08-23T00:00:00"/>
    <x v="1"/>
    <x v="0"/>
    <x v="0"/>
    <n v="3"/>
    <x v="0"/>
    <n v="0"/>
    <x v="74"/>
    <x v="5"/>
  </r>
  <r>
    <x v="359"/>
    <s v="Fernanda Lima"/>
    <d v="2025-09-20T00:00:00"/>
    <x v="0"/>
    <x v="0"/>
    <x v="15"/>
    <n v="3"/>
    <x v="15"/>
    <n v="0"/>
    <x v="126"/>
    <x v="6"/>
  </r>
  <r>
    <x v="360"/>
    <s v="Carlos Silva"/>
    <d v="2025-11-30T00:00:00"/>
    <x v="2"/>
    <x v="2"/>
    <x v="10"/>
    <n v="3"/>
    <x v="10"/>
    <n v="32.880000000000003"/>
    <x v="254"/>
    <x v="7"/>
  </r>
  <r>
    <x v="361"/>
    <s v="Juliana Costa"/>
    <d v="2025-12-18T00:00:00"/>
    <x v="3"/>
    <x v="1"/>
    <x v="14"/>
    <n v="4"/>
    <x v="14"/>
    <n v="0"/>
    <x v="143"/>
    <x v="0"/>
  </r>
  <r>
    <x v="362"/>
    <s v="Juliana Costa"/>
    <d v="2025-04-24T00:00:00"/>
    <x v="4"/>
    <x v="3"/>
    <x v="8"/>
    <n v="2"/>
    <x v="8"/>
    <n v="0"/>
    <x v="13"/>
    <x v="4"/>
  </r>
  <r>
    <x v="363"/>
    <s v="João Pereira"/>
    <d v="2025-09-19T00:00:00"/>
    <x v="2"/>
    <x v="3"/>
    <x v="3"/>
    <n v="5"/>
    <x v="3"/>
    <n v="33.43"/>
    <x v="255"/>
    <x v="1"/>
  </r>
  <r>
    <x v="364"/>
    <s v="Carlos Silva"/>
    <d v="2026-01-12T00:00:00"/>
    <x v="1"/>
    <x v="2"/>
    <x v="10"/>
    <n v="5"/>
    <x v="10"/>
    <n v="0"/>
    <x v="155"/>
    <x v="7"/>
  </r>
  <r>
    <x v="365"/>
    <s v="Marcos Rodrigues"/>
    <d v="2025-10-17T00:00:00"/>
    <x v="1"/>
    <x v="2"/>
    <x v="11"/>
    <n v="1"/>
    <x v="11"/>
    <n v="11.32"/>
    <x v="256"/>
    <x v="2"/>
  </r>
  <r>
    <x v="366"/>
    <s v="Ricardo Carvalho"/>
    <d v="2025-05-06T00:00:00"/>
    <x v="4"/>
    <x v="1"/>
    <x v="5"/>
    <n v="1"/>
    <x v="5"/>
    <n v="0.65"/>
    <x v="257"/>
    <x v="6"/>
  </r>
  <r>
    <x v="367"/>
    <s v="Ricardo Carvalho"/>
    <d v="2026-02-02T00:00:00"/>
    <x v="1"/>
    <x v="1"/>
    <x v="1"/>
    <n v="4"/>
    <x v="1"/>
    <n v="0"/>
    <x v="46"/>
    <x v="3"/>
  </r>
  <r>
    <x v="368"/>
    <s v="Fernanda Lima"/>
    <d v="2025-06-17T00:00:00"/>
    <x v="1"/>
    <x v="3"/>
    <x v="12"/>
    <n v="1"/>
    <x v="12"/>
    <n v="0"/>
    <x v="33"/>
    <x v="2"/>
  </r>
  <r>
    <x v="369"/>
    <s v="Maria Oliveira"/>
    <d v="2025-01-25T00:00:00"/>
    <x v="3"/>
    <x v="0"/>
    <x v="4"/>
    <n v="4"/>
    <x v="4"/>
    <n v="0"/>
    <x v="251"/>
    <x v="7"/>
  </r>
  <r>
    <x v="370"/>
    <s v="Fernanda Lima"/>
    <d v="2025-11-06T00:00:00"/>
    <x v="3"/>
    <x v="3"/>
    <x v="12"/>
    <n v="2"/>
    <x v="12"/>
    <n v="948.09"/>
    <x v="258"/>
    <x v="3"/>
  </r>
  <r>
    <x v="371"/>
    <s v="Patricia Gomes"/>
    <d v="2025-12-10T00:00:00"/>
    <x v="1"/>
    <x v="0"/>
    <x v="13"/>
    <n v="4"/>
    <x v="13"/>
    <n v="0"/>
    <x v="27"/>
    <x v="3"/>
  </r>
  <r>
    <x v="372"/>
    <s v="Roberto Santos"/>
    <d v="2026-01-20T00:00:00"/>
    <x v="0"/>
    <x v="2"/>
    <x v="6"/>
    <n v="3"/>
    <x v="6"/>
    <n v="49.41"/>
    <x v="259"/>
    <x v="0"/>
  </r>
  <r>
    <x v="373"/>
    <s v="Carlos Silva"/>
    <d v="2025-09-04T00:00:00"/>
    <x v="1"/>
    <x v="2"/>
    <x v="2"/>
    <n v="2"/>
    <x v="2"/>
    <n v="1.06"/>
    <x v="260"/>
    <x v="7"/>
  </r>
  <r>
    <x v="374"/>
    <s v="Ricardo Carvalho"/>
    <d v="2025-04-30T00:00:00"/>
    <x v="0"/>
    <x v="0"/>
    <x v="4"/>
    <n v="5"/>
    <x v="4"/>
    <n v="5.2"/>
    <x v="261"/>
    <x v="3"/>
  </r>
  <r>
    <x v="375"/>
    <s v="Ana Souza"/>
    <d v="2025-07-02T00:00:00"/>
    <x v="4"/>
    <x v="3"/>
    <x v="12"/>
    <n v="1"/>
    <x v="12"/>
    <n v="0"/>
    <x v="33"/>
    <x v="1"/>
  </r>
  <r>
    <x v="376"/>
    <s v="Maria Oliveira"/>
    <d v="2025-10-17T00:00:00"/>
    <x v="4"/>
    <x v="0"/>
    <x v="15"/>
    <n v="5"/>
    <x v="15"/>
    <n v="189.5"/>
    <x v="262"/>
    <x v="6"/>
  </r>
  <r>
    <x v="377"/>
    <s v="Marcos Rodrigues"/>
    <d v="2025-09-23T00:00:00"/>
    <x v="0"/>
    <x v="3"/>
    <x v="12"/>
    <n v="1"/>
    <x v="12"/>
    <n v="571.63"/>
    <x v="263"/>
    <x v="1"/>
  </r>
  <r>
    <x v="378"/>
    <s v="Ricardo Carvalho"/>
    <d v="2025-01-22T00:00:00"/>
    <x v="3"/>
    <x v="2"/>
    <x v="6"/>
    <n v="1"/>
    <x v="6"/>
    <n v="0"/>
    <x v="187"/>
    <x v="5"/>
  </r>
  <r>
    <x v="379"/>
    <s v="Juliana Costa"/>
    <d v="2025-07-05T00:00:00"/>
    <x v="0"/>
    <x v="2"/>
    <x v="6"/>
    <n v="3"/>
    <x v="6"/>
    <n v="0"/>
    <x v="213"/>
    <x v="5"/>
  </r>
  <r>
    <x v="380"/>
    <s v="Ricardo Carvalho"/>
    <d v="2025-11-23T00:00:00"/>
    <x v="2"/>
    <x v="1"/>
    <x v="9"/>
    <n v="2"/>
    <x v="9"/>
    <n v="0"/>
    <x v="227"/>
    <x v="6"/>
  </r>
  <r>
    <x v="381"/>
    <s v="Beatriz Ribeiro"/>
    <d v="2025-07-02T00:00:00"/>
    <x v="0"/>
    <x v="0"/>
    <x v="15"/>
    <n v="2"/>
    <x v="15"/>
    <n v="0"/>
    <x v="61"/>
    <x v="0"/>
  </r>
  <r>
    <x v="382"/>
    <s v="Marcos Rodrigues"/>
    <d v="2025-08-11T00:00:00"/>
    <x v="1"/>
    <x v="1"/>
    <x v="5"/>
    <n v="2"/>
    <x v="5"/>
    <n v="0"/>
    <x v="8"/>
    <x v="4"/>
  </r>
  <r>
    <x v="383"/>
    <s v="Fernanda Lima"/>
    <d v="2025-04-09T00:00:00"/>
    <x v="4"/>
    <x v="2"/>
    <x v="11"/>
    <n v="4"/>
    <x v="11"/>
    <n v="77.180000000000007"/>
    <x v="264"/>
    <x v="1"/>
  </r>
  <r>
    <x v="384"/>
    <s v="Lucas Almeida"/>
    <d v="2025-06-18T00:00:00"/>
    <x v="4"/>
    <x v="1"/>
    <x v="14"/>
    <n v="4"/>
    <x v="14"/>
    <n v="0"/>
    <x v="143"/>
    <x v="1"/>
  </r>
  <r>
    <x v="385"/>
    <s v="João Pereira"/>
    <d v="2025-06-24T00:00:00"/>
    <x v="1"/>
    <x v="1"/>
    <x v="9"/>
    <n v="5"/>
    <x v="9"/>
    <n v="17.899999999999999"/>
    <x v="265"/>
    <x v="3"/>
  </r>
  <r>
    <x v="386"/>
    <s v="Roberto Santos"/>
    <d v="2025-10-13T00:00:00"/>
    <x v="1"/>
    <x v="3"/>
    <x v="7"/>
    <n v="4"/>
    <x v="7"/>
    <n v="133.94999999999999"/>
    <x v="266"/>
    <x v="0"/>
  </r>
  <r>
    <x v="387"/>
    <s v="Roberto Santos"/>
    <d v="2025-05-17T00:00:00"/>
    <x v="3"/>
    <x v="2"/>
    <x v="11"/>
    <n v="4"/>
    <x v="11"/>
    <n v="0"/>
    <x v="267"/>
    <x v="3"/>
  </r>
  <r>
    <x v="388"/>
    <s v="João Pereira"/>
    <d v="2025-09-21T00:00:00"/>
    <x v="1"/>
    <x v="2"/>
    <x v="11"/>
    <n v="5"/>
    <x v="11"/>
    <n v="0"/>
    <x v="147"/>
    <x v="4"/>
  </r>
  <r>
    <x v="389"/>
    <s v="Beatriz Ribeiro"/>
    <d v="2025-05-14T00:00:00"/>
    <x v="2"/>
    <x v="0"/>
    <x v="15"/>
    <n v="3"/>
    <x v="15"/>
    <n v="0"/>
    <x v="126"/>
    <x v="6"/>
  </r>
  <r>
    <x v="390"/>
    <s v="Marcos Rodrigues"/>
    <d v="2025-08-08T00:00:00"/>
    <x v="1"/>
    <x v="3"/>
    <x v="8"/>
    <n v="2"/>
    <x v="8"/>
    <n v="0"/>
    <x v="13"/>
    <x v="6"/>
  </r>
  <r>
    <x v="391"/>
    <s v="Fernanda Lima"/>
    <d v="2025-09-27T00:00:00"/>
    <x v="3"/>
    <x v="1"/>
    <x v="5"/>
    <n v="2"/>
    <x v="5"/>
    <n v="0"/>
    <x v="8"/>
    <x v="5"/>
  </r>
  <r>
    <x v="392"/>
    <s v="Lucas Almeida"/>
    <d v="2025-03-08T00:00:00"/>
    <x v="1"/>
    <x v="3"/>
    <x v="8"/>
    <n v="1"/>
    <x v="8"/>
    <n v="141.71"/>
    <x v="268"/>
    <x v="4"/>
  </r>
  <r>
    <x v="393"/>
    <s v="Patricia Gomes"/>
    <d v="2025-12-22T00:00:00"/>
    <x v="3"/>
    <x v="3"/>
    <x v="3"/>
    <n v="2"/>
    <x v="3"/>
    <n v="4.3899999999999997"/>
    <x v="269"/>
    <x v="1"/>
  </r>
  <r>
    <x v="394"/>
    <s v="Ana Souza"/>
    <d v="2025-07-22T00:00:00"/>
    <x v="1"/>
    <x v="3"/>
    <x v="3"/>
    <n v="5"/>
    <x v="3"/>
    <n v="133.81"/>
    <x v="270"/>
    <x v="5"/>
  </r>
  <r>
    <x v="395"/>
    <s v="Marcos Rodrigues"/>
    <d v="2025-03-31T00:00:00"/>
    <x v="2"/>
    <x v="1"/>
    <x v="9"/>
    <n v="3"/>
    <x v="9"/>
    <n v="13.05"/>
    <x v="271"/>
    <x v="1"/>
  </r>
  <r>
    <x v="396"/>
    <s v="Lucas Almeida"/>
    <d v="2025-05-17T00:00:00"/>
    <x v="1"/>
    <x v="1"/>
    <x v="5"/>
    <n v="4"/>
    <x v="5"/>
    <n v="0"/>
    <x v="95"/>
    <x v="2"/>
  </r>
  <r>
    <x v="397"/>
    <s v="Ricardo Carvalho"/>
    <d v="2025-08-17T00:00:00"/>
    <x v="3"/>
    <x v="0"/>
    <x v="0"/>
    <n v="1"/>
    <x v="0"/>
    <n v="0"/>
    <x v="41"/>
    <x v="1"/>
  </r>
  <r>
    <x v="398"/>
    <s v="Ricardo Carvalho"/>
    <d v="2025-10-21T00:00:00"/>
    <x v="1"/>
    <x v="1"/>
    <x v="14"/>
    <n v="3"/>
    <x v="14"/>
    <n v="7.45"/>
    <x v="272"/>
    <x v="5"/>
  </r>
  <r>
    <x v="399"/>
    <s v="Carlos Silva"/>
    <d v="2025-11-16T00:00:00"/>
    <x v="4"/>
    <x v="3"/>
    <x v="8"/>
    <n v="3"/>
    <x v="8"/>
    <n v="649.45000000000005"/>
    <x v="273"/>
    <x v="2"/>
  </r>
  <r>
    <x v="400"/>
    <s v="Maria Oliveira"/>
    <d v="2025-09-09T00:00:00"/>
    <x v="1"/>
    <x v="2"/>
    <x v="6"/>
    <n v="5"/>
    <x v="6"/>
    <n v="38.76"/>
    <x v="274"/>
    <x v="1"/>
  </r>
  <r>
    <x v="401"/>
    <s v="Fernanda Lima"/>
    <d v="2025-03-10T00:00:00"/>
    <x v="2"/>
    <x v="2"/>
    <x v="2"/>
    <n v="2"/>
    <x v="2"/>
    <n v="0"/>
    <x v="21"/>
    <x v="2"/>
  </r>
  <r>
    <x v="402"/>
    <s v="Carlos Silva"/>
    <d v="2025-12-08T00:00:00"/>
    <x v="2"/>
    <x v="3"/>
    <x v="8"/>
    <n v="5"/>
    <x v="8"/>
    <n v="969.41"/>
    <x v="275"/>
    <x v="6"/>
  </r>
  <r>
    <x v="403"/>
    <s v="Marcos Rodrigues"/>
    <d v="2025-11-05T00:00:00"/>
    <x v="2"/>
    <x v="1"/>
    <x v="5"/>
    <n v="5"/>
    <x v="5"/>
    <n v="21.33"/>
    <x v="276"/>
    <x v="3"/>
  </r>
  <r>
    <x v="404"/>
    <s v="Marcos Rodrigues"/>
    <d v="2025-05-04T00:00:00"/>
    <x v="0"/>
    <x v="0"/>
    <x v="13"/>
    <n v="2"/>
    <x v="13"/>
    <n v="35.21"/>
    <x v="169"/>
    <x v="5"/>
  </r>
  <r>
    <x v="405"/>
    <s v="Juliana Costa"/>
    <d v="2025-05-14T00:00:00"/>
    <x v="0"/>
    <x v="2"/>
    <x v="11"/>
    <n v="5"/>
    <x v="11"/>
    <n v="85.61"/>
    <x v="277"/>
    <x v="3"/>
  </r>
  <r>
    <x v="406"/>
    <s v="João Pereira"/>
    <d v="2025-12-11T00:00:00"/>
    <x v="2"/>
    <x v="3"/>
    <x v="3"/>
    <n v="2"/>
    <x v="3"/>
    <n v="60.63"/>
    <x v="278"/>
    <x v="2"/>
  </r>
  <r>
    <x v="407"/>
    <s v="Ana Souza"/>
    <d v="2025-09-03T00:00:00"/>
    <x v="2"/>
    <x v="0"/>
    <x v="4"/>
    <n v="1"/>
    <x v="4"/>
    <n v="61.87"/>
    <x v="279"/>
    <x v="0"/>
  </r>
  <r>
    <x v="408"/>
    <s v="Lucas Almeida"/>
    <d v="2025-01-09T00:00:00"/>
    <x v="4"/>
    <x v="1"/>
    <x v="5"/>
    <n v="3"/>
    <x v="5"/>
    <n v="0"/>
    <x v="161"/>
    <x v="3"/>
  </r>
  <r>
    <x v="409"/>
    <s v="João Pereira"/>
    <d v="2025-07-09T00:00:00"/>
    <x v="0"/>
    <x v="3"/>
    <x v="8"/>
    <n v="4"/>
    <x v="8"/>
    <n v="0"/>
    <x v="280"/>
    <x v="5"/>
  </r>
  <r>
    <x v="410"/>
    <s v="Lucas Almeida"/>
    <d v="2025-05-07T00:00:00"/>
    <x v="1"/>
    <x v="3"/>
    <x v="7"/>
    <n v="2"/>
    <x v="7"/>
    <n v="126.95"/>
    <x v="281"/>
    <x v="4"/>
  </r>
  <r>
    <x v="411"/>
    <s v="Beatriz Ribeiro"/>
    <d v="2025-02-02T00:00:00"/>
    <x v="3"/>
    <x v="0"/>
    <x v="15"/>
    <n v="5"/>
    <x v="15"/>
    <n v="101.87"/>
    <x v="282"/>
    <x v="4"/>
  </r>
  <r>
    <x v="412"/>
    <s v="Lucas Almeida"/>
    <d v="2025-01-17T00:00:00"/>
    <x v="3"/>
    <x v="3"/>
    <x v="8"/>
    <n v="3"/>
    <x v="8"/>
    <n v="191.98"/>
    <x v="283"/>
    <x v="1"/>
  </r>
  <r>
    <x v="413"/>
    <s v="Carlos Silva"/>
    <d v="2025-09-18T00:00:00"/>
    <x v="3"/>
    <x v="0"/>
    <x v="4"/>
    <n v="4"/>
    <x v="4"/>
    <n v="0"/>
    <x v="251"/>
    <x v="2"/>
  </r>
  <r>
    <x v="414"/>
    <s v="João Pereira"/>
    <d v="2025-11-22T00:00:00"/>
    <x v="2"/>
    <x v="3"/>
    <x v="8"/>
    <n v="2"/>
    <x v="8"/>
    <n v="492.45"/>
    <x v="284"/>
    <x v="2"/>
  </r>
  <r>
    <x v="415"/>
    <s v="Maria Oliveira"/>
    <d v="2025-02-27T00:00:00"/>
    <x v="4"/>
    <x v="1"/>
    <x v="9"/>
    <n v="2"/>
    <x v="9"/>
    <n v="5.47"/>
    <x v="285"/>
    <x v="7"/>
  </r>
  <r>
    <x v="416"/>
    <s v="Juliana Costa"/>
    <d v="2025-05-18T00:00:00"/>
    <x v="0"/>
    <x v="2"/>
    <x v="11"/>
    <n v="1"/>
    <x v="11"/>
    <n v="0"/>
    <x v="63"/>
    <x v="7"/>
  </r>
  <r>
    <x v="417"/>
    <s v="Maria Oliveira"/>
    <d v="2025-12-13T00:00:00"/>
    <x v="0"/>
    <x v="3"/>
    <x v="7"/>
    <n v="4"/>
    <x v="7"/>
    <n v="0"/>
    <x v="44"/>
    <x v="0"/>
  </r>
  <r>
    <x v="418"/>
    <s v="Fernanda Lima"/>
    <d v="2026-02-03T00:00:00"/>
    <x v="4"/>
    <x v="3"/>
    <x v="7"/>
    <n v="3"/>
    <x v="7"/>
    <n v="0"/>
    <x v="246"/>
    <x v="5"/>
  </r>
  <r>
    <x v="419"/>
    <s v="Ana Souza"/>
    <d v="2025-11-01T00:00:00"/>
    <x v="1"/>
    <x v="2"/>
    <x v="11"/>
    <n v="2"/>
    <x v="11"/>
    <n v="0"/>
    <x v="79"/>
    <x v="0"/>
  </r>
  <r>
    <x v="420"/>
    <s v="Patricia Gomes"/>
    <d v="2025-10-09T00:00:00"/>
    <x v="0"/>
    <x v="2"/>
    <x v="11"/>
    <n v="3"/>
    <x v="11"/>
    <n v="30.6"/>
    <x v="286"/>
    <x v="4"/>
  </r>
  <r>
    <x v="421"/>
    <s v="Sem Dados"/>
    <d v="2025-04-12T00:00:00"/>
    <x v="0"/>
    <x v="3"/>
    <x v="7"/>
    <n v="1"/>
    <x v="7"/>
    <n v="0"/>
    <x v="287"/>
    <x v="6"/>
  </r>
  <r>
    <x v="422"/>
    <s v="Marcos Rodrigues"/>
    <d v="2026-01-03T00:00:00"/>
    <x v="0"/>
    <x v="3"/>
    <x v="3"/>
    <n v="3"/>
    <x v="3"/>
    <n v="35.04"/>
    <x v="288"/>
    <x v="2"/>
  </r>
  <r>
    <x v="423"/>
    <s v="Lucas Almeida"/>
    <d v="2025-06-20T00:00:00"/>
    <x v="0"/>
    <x v="2"/>
    <x v="10"/>
    <n v="2"/>
    <x v="10"/>
    <n v="15.5"/>
    <x v="289"/>
    <x v="6"/>
  </r>
  <r>
    <x v="424"/>
    <s v="Juliana Costa"/>
    <d v="2025-09-26T00:00:00"/>
    <x v="2"/>
    <x v="2"/>
    <x v="10"/>
    <n v="3"/>
    <x v="10"/>
    <n v="0"/>
    <x v="18"/>
    <x v="3"/>
  </r>
  <r>
    <x v="425"/>
    <s v="Ricardo Carvalho"/>
    <d v="2025-07-20T00:00:00"/>
    <x v="1"/>
    <x v="3"/>
    <x v="12"/>
    <n v="1"/>
    <x v="12"/>
    <n v="0"/>
    <x v="33"/>
    <x v="5"/>
  </r>
  <r>
    <x v="426"/>
    <s v="João Pereira"/>
    <d v="2025-12-05T00:00:00"/>
    <x v="2"/>
    <x v="0"/>
    <x v="0"/>
    <n v="5"/>
    <x v="0"/>
    <n v="303.33"/>
    <x v="290"/>
    <x v="2"/>
  </r>
  <r>
    <x v="427"/>
    <s v="Marcos Rodrigues"/>
    <d v="2025-08-26T00:00:00"/>
    <x v="4"/>
    <x v="2"/>
    <x v="11"/>
    <n v="2"/>
    <x v="11"/>
    <n v="7.59"/>
    <x v="291"/>
    <x v="5"/>
  </r>
  <r>
    <x v="428"/>
    <s v="Fernanda Lima"/>
    <d v="2025-08-31T00:00:00"/>
    <x v="2"/>
    <x v="2"/>
    <x v="6"/>
    <n v="2"/>
    <x v="6"/>
    <n v="33.17"/>
    <x v="292"/>
    <x v="2"/>
  </r>
  <r>
    <x v="429"/>
    <s v="Carlos Silva"/>
    <d v="2025-04-08T00:00:00"/>
    <x v="3"/>
    <x v="0"/>
    <x v="0"/>
    <n v="3"/>
    <x v="0"/>
    <n v="0"/>
    <x v="74"/>
    <x v="2"/>
  </r>
  <r>
    <x v="430"/>
    <s v="Ana Souza"/>
    <d v="2025-07-12T00:00:00"/>
    <x v="3"/>
    <x v="2"/>
    <x v="2"/>
    <n v="5"/>
    <x v="2"/>
    <n v="0"/>
    <x v="57"/>
    <x v="2"/>
  </r>
  <r>
    <x v="431"/>
    <s v="Lucas Almeida"/>
    <d v="2025-12-30T00:00:00"/>
    <x v="2"/>
    <x v="1"/>
    <x v="5"/>
    <n v="5"/>
    <x v="5"/>
    <n v="7.84"/>
    <x v="293"/>
    <x v="5"/>
  </r>
  <r>
    <x v="432"/>
    <s v="João Pereira"/>
    <d v="2025-08-26T00:00:00"/>
    <x v="3"/>
    <x v="2"/>
    <x v="10"/>
    <n v="2"/>
    <x v="10"/>
    <n v="0"/>
    <x v="116"/>
    <x v="0"/>
  </r>
  <r>
    <x v="433"/>
    <s v="Fernanda Lima"/>
    <d v="2025-03-15T00:00:00"/>
    <x v="0"/>
    <x v="1"/>
    <x v="14"/>
    <n v="3"/>
    <x v="14"/>
    <n v="7.63"/>
    <x v="294"/>
    <x v="0"/>
  </r>
  <r>
    <x v="434"/>
    <s v="Beatriz Ribeiro"/>
    <d v="2025-12-04T00:00:00"/>
    <x v="4"/>
    <x v="1"/>
    <x v="1"/>
    <n v="1"/>
    <x v="1"/>
    <n v="11.48"/>
    <x v="295"/>
    <x v="2"/>
  </r>
  <r>
    <x v="435"/>
    <s v="Marcos Rodrigues"/>
    <d v="2025-03-04T00:00:00"/>
    <x v="4"/>
    <x v="1"/>
    <x v="9"/>
    <n v="5"/>
    <x v="9"/>
    <n v="7.69"/>
    <x v="296"/>
    <x v="1"/>
  </r>
  <r>
    <x v="436"/>
    <s v="Fernanda Lima"/>
    <d v="2025-04-14T00:00:00"/>
    <x v="2"/>
    <x v="0"/>
    <x v="4"/>
    <n v="1"/>
    <x v="4"/>
    <n v="0"/>
    <x v="17"/>
    <x v="7"/>
  </r>
  <r>
    <x v="437"/>
    <s v="Fernanda Lima"/>
    <d v="2026-01-27T00:00:00"/>
    <x v="2"/>
    <x v="0"/>
    <x v="0"/>
    <n v="3"/>
    <x v="0"/>
    <n v="75.23"/>
    <x v="297"/>
    <x v="1"/>
  </r>
  <r>
    <x v="438"/>
    <s v="Fernanda Lima"/>
    <d v="2025-04-28T00:00:00"/>
    <x v="3"/>
    <x v="1"/>
    <x v="1"/>
    <n v="2"/>
    <x v="1"/>
    <n v="0.5"/>
    <x v="298"/>
    <x v="0"/>
  </r>
  <r>
    <x v="439"/>
    <s v="Marcos Rodrigues"/>
    <d v="2025-07-15T00:00:00"/>
    <x v="3"/>
    <x v="0"/>
    <x v="13"/>
    <n v="4"/>
    <x v="13"/>
    <n v="50.29"/>
    <x v="299"/>
    <x v="6"/>
  </r>
  <r>
    <x v="440"/>
    <s v="Lucas Almeida"/>
    <d v="2025-09-24T00:00:00"/>
    <x v="3"/>
    <x v="1"/>
    <x v="14"/>
    <n v="4"/>
    <x v="14"/>
    <n v="34.4"/>
    <x v="300"/>
    <x v="6"/>
  </r>
  <r>
    <x v="441"/>
    <s v="Roberto Santos"/>
    <d v="2025-07-17T00:00:00"/>
    <x v="0"/>
    <x v="3"/>
    <x v="3"/>
    <n v="5"/>
    <x v="3"/>
    <n v="0"/>
    <x v="301"/>
    <x v="7"/>
  </r>
  <r>
    <x v="442"/>
    <s v="Ricardo Carvalho"/>
    <d v="2025-03-14T00:00:00"/>
    <x v="0"/>
    <x v="3"/>
    <x v="12"/>
    <n v="4"/>
    <x v="12"/>
    <n v="1954.5"/>
    <x v="302"/>
    <x v="0"/>
  </r>
  <r>
    <x v="443"/>
    <s v="Maria Oliveira"/>
    <d v="2025-04-06T00:00:00"/>
    <x v="3"/>
    <x v="0"/>
    <x v="15"/>
    <n v="5"/>
    <x v="15"/>
    <n v="0"/>
    <x v="152"/>
    <x v="1"/>
  </r>
  <r>
    <x v="444"/>
    <s v="Roberto Santos"/>
    <d v="2025-10-02T00:00:00"/>
    <x v="1"/>
    <x v="1"/>
    <x v="5"/>
    <n v="5"/>
    <x v="5"/>
    <n v="0"/>
    <x v="71"/>
    <x v="3"/>
  </r>
  <r>
    <x v="445"/>
    <s v="Ricardo Carvalho"/>
    <d v="2025-06-07T00:00:00"/>
    <x v="4"/>
    <x v="2"/>
    <x v="6"/>
    <n v="4"/>
    <x v="6"/>
    <n v="0"/>
    <x v="38"/>
    <x v="6"/>
  </r>
  <r>
    <x v="446"/>
    <s v="Ana Souza"/>
    <d v="2025-08-19T00:00:00"/>
    <x v="0"/>
    <x v="1"/>
    <x v="5"/>
    <n v="3"/>
    <x v="5"/>
    <n v="0.94"/>
    <x v="303"/>
    <x v="3"/>
  </r>
  <r>
    <x v="447"/>
    <s v="Patricia Gomes"/>
    <d v="2025-10-20T00:00:00"/>
    <x v="2"/>
    <x v="3"/>
    <x v="8"/>
    <n v="2"/>
    <x v="8"/>
    <n v="0"/>
    <x v="13"/>
    <x v="4"/>
  </r>
  <r>
    <x v="448"/>
    <s v="Juliana Costa"/>
    <d v="2025-06-30T00:00:00"/>
    <x v="4"/>
    <x v="1"/>
    <x v="5"/>
    <n v="2"/>
    <x v="5"/>
    <n v="0"/>
    <x v="8"/>
    <x v="4"/>
  </r>
  <r>
    <x v="449"/>
    <s v="Ricardo Carvalho"/>
    <d v="2025-02-24T00:00:00"/>
    <x v="1"/>
    <x v="2"/>
    <x v="11"/>
    <n v="4"/>
    <x v="11"/>
    <n v="0.28000000000000003"/>
    <x v="304"/>
    <x v="6"/>
  </r>
  <r>
    <x v="450"/>
    <s v="Maria Oliveira"/>
    <d v="2025-09-15T00:00:00"/>
    <x v="4"/>
    <x v="3"/>
    <x v="3"/>
    <n v="4"/>
    <x v="3"/>
    <n v="0"/>
    <x v="210"/>
    <x v="7"/>
  </r>
  <r>
    <x v="451"/>
    <s v="Patricia Gomes"/>
    <d v="2025-06-08T00:00:00"/>
    <x v="0"/>
    <x v="1"/>
    <x v="5"/>
    <n v="1"/>
    <x v="5"/>
    <n v="1.54"/>
    <x v="305"/>
    <x v="2"/>
  </r>
  <r>
    <x v="452"/>
    <s v="Carlos Silva"/>
    <d v="2025-07-13T00:00:00"/>
    <x v="2"/>
    <x v="3"/>
    <x v="7"/>
    <n v="1"/>
    <x v="7"/>
    <n v="19.64"/>
    <x v="306"/>
    <x v="0"/>
  </r>
  <r>
    <x v="453"/>
    <s v="Juliana Costa"/>
    <d v="2025-05-10T00:00:00"/>
    <x v="2"/>
    <x v="1"/>
    <x v="1"/>
    <n v="2"/>
    <x v="1"/>
    <n v="3.13"/>
    <x v="307"/>
    <x v="1"/>
  </r>
  <r>
    <x v="454"/>
    <s v="Ricardo Carvalho"/>
    <d v="2025-05-20T00:00:00"/>
    <x v="1"/>
    <x v="1"/>
    <x v="1"/>
    <n v="2"/>
    <x v="1"/>
    <n v="5.57"/>
    <x v="308"/>
    <x v="3"/>
  </r>
  <r>
    <x v="455"/>
    <s v="Fernanda Lima"/>
    <d v="2025-06-11T00:00:00"/>
    <x v="3"/>
    <x v="2"/>
    <x v="2"/>
    <n v="1"/>
    <x v="2"/>
    <n v="4.28"/>
    <x v="309"/>
    <x v="1"/>
  </r>
  <r>
    <x v="456"/>
    <s v="Juliana Costa"/>
    <d v="2025-04-26T00:00:00"/>
    <x v="4"/>
    <x v="3"/>
    <x v="3"/>
    <n v="1"/>
    <x v="3"/>
    <n v="0"/>
    <x v="66"/>
    <x v="6"/>
  </r>
  <r>
    <x v="457"/>
    <s v="Roberto Santos"/>
    <d v="2025-05-13T00:00:00"/>
    <x v="1"/>
    <x v="2"/>
    <x v="2"/>
    <n v="4"/>
    <x v="2"/>
    <n v="0"/>
    <x v="149"/>
    <x v="2"/>
  </r>
  <r>
    <x v="458"/>
    <s v="Fernanda Lima"/>
    <d v="2025-03-23T00:00:00"/>
    <x v="4"/>
    <x v="3"/>
    <x v="3"/>
    <n v="3"/>
    <x v="3"/>
    <n v="0"/>
    <x v="310"/>
    <x v="0"/>
  </r>
  <r>
    <x v="459"/>
    <s v="Juliana Costa"/>
    <d v="2025-11-04T00:00:00"/>
    <x v="2"/>
    <x v="1"/>
    <x v="9"/>
    <n v="1"/>
    <x v="9"/>
    <n v="0"/>
    <x v="215"/>
    <x v="3"/>
  </r>
  <r>
    <x v="460"/>
    <s v="Carlos Silva"/>
    <d v="2025-10-17T00:00:00"/>
    <x v="0"/>
    <x v="2"/>
    <x v="10"/>
    <n v="1"/>
    <x v="10"/>
    <n v="15.06"/>
    <x v="311"/>
    <x v="6"/>
  </r>
  <r>
    <x v="461"/>
    <s v="Carlos Silva"/>
    <d v="2025-09-07T00:00:00"/>
    <x v="3"/>
    <x v="0"/>
    <x v="4"/>
    <n v="3"/>
    <x v="4"/>
    <n v="0"/>
    <x v="26"/>
    <x v="1"/>
  </r>
  <r>
    <x v="462"/>
    <s v="Patricia Gomes"/>
    <d v="2025-01-18T00:00:00"/>
    <x v="4"/>
    <x v="0"/>
    <x v="4"/>
    <n v="4"/>
    <x v="4"/>
    <n v="6.57"/>
    <x v="312"/>
    <x v="4"/>
  </r>
  <r>
    <x v="463"/>
    <s v="Lucas Almeida"/>
    <d v="2025-07-09T00:00:00"/>
    <x v="1"/>
    <x v="2"/>
    <x v="6"/>
    <n v="2"/>
    <x v="6"/>
    <n v="0"/>
    <x v="313"/>
    <x v="5"/>
  </r>
  <r>
    <x v="464"/>
    <s v="Juliana Costa"/>
    <d v="2026-01-20T00:00:00"/>
    <x v="3"/>
    <x v="1"/>
    <x v="1"/>
    <n v="2"/>
    <x v="1"/>
    <n v="0"/>
    <x v="98"/>
    <x v="3"/>
  </r>
  <r>
    <x v="465"/>
    <s v="João Pereira"/>
    <d v="2025-04-06T00:00:00"/>
    <x v="4"/>
    <x v="1"/>
    <x v="1"/>
    <n v="4"/>
    <x v="1"/>
    <n v="0"/>
    <x v="46"/>
    <x v="6"/>
  </r>
  <r>
    <x v="466"/>
    <s v="Patricia Gomes"/>
    <d v="2025-07-11T00:00:00"/>
    <x v="3"/>
    <x v="0"/>
    <x v="13"/>
    <n v="4"/>
    <x v="13"/>
    <n v="16.82"/>
    <x v="314"/>
    <x v="7"/>
  </r>
  <r>
    <x v="467"/>
    <s v="Roberto Santos"/>
    <d v="2025-12-02T00:00:00"/>
    <x v="2"/>
    <x v="3"/>
    <x v="8"/>
    <n v="2"/>
    <x v="8"/>
    <n v="359.67"/>
    <x v="315"/>
    <x v="3"/>
  </r>
  <r>
    <x v="468"/>
    <s v="Carlos Silva"/>
    <d v="2025-07-31T00:00:00"/>
    <x v="3"/>
    <x v="3"/>
    <x v="12"/>
    <n v="1"/>
    <x v="12"/>
    <n v="0"/>
    <x v="33"/>
    <x v="7"/>
  </r>
  <r>
    <x v="469"/>
    <s v="João Pereira"/>
    <d v="2025-04-10T00:00:00"/>
    <x v="4"/>
    <x v="3"/>
    <x v="7"/>
    <n v="2"/>
    <x v="7"/>
    <n v="0"/>
    <x v="10"/>
    <x v="2"/>
  </r>
  <r>
    <x v="470"/>
    <s v="Ricardo Carvalho"/>
    <d v="2025-02-24T00:00:00"/>
    <x v="0"/>
    <x v="1"/>
    <x v="1"/>
    <n v="1"/>
    <x v="1"/>
    <n v="5.23"/>
    <x v="316"/>
    <x v="6"/>
  </r>
  <r>
    <x v="471"/>
    <s v="Carlos Silva"/>
    <d v="2025-12-03T00:00:00"/>
    <x v="0"/>
    <x v="3"/>
    <x v="7"/>
    <n v="5"/>
    <x v="7"/>
    <n v="0"/>
    <x v="184"/>
    <x v="1"/>
  </r>
  <r>
    <x v="472"/>
    <s v="Ricardo Carvalho"/>
    <d v="2025-04-18T00:00:00"/>
    <x v="2"/>
    <x v="3"/>
    <x v="8"/>
    <n v="4"/>
    <x v="8"/>
    <n v="162.63999999999999"/>
    <x v="317"/>
    <x v="0"/>
  </r>
  <r>
    <x v="473"/>
    <s v="Fernanda Lima"/>
    <d v="2025-08-31T00:00:00"/>
    <x v="0"/>
    <x v="2"/>
    <x v="10"/>
    <n v="4"/>
    <x v="10"/>
    <n v="96.84"/>
    <x v="318"/>
    <x v="0"/>
  </r>
  <r>
    <x v="474"/>
    <s v="Juliana Costa"/>
    <d v="2025-01-03T00:00:00"/>
    <x v="3"/>
    <x v="1"/>
    <x v="1"/>
    <n v="1"/>
    <x v="1"/>
    <n v="2.2999999999999998"/>
    <x v="319"/>
    <x v="3"/>
  </r>
  <r>
    <x v="475"/>
    <s v="Beatriz Ribeiro"/>
    <d v="2025-11-19T00:00:00"/>
    <x v="2"/>
    <x v="0"/>
    <x v="13"/>
    <n v="2"/>
    <x v="13"/>
    <n v="0"/>
    <x v="89"/>
    <x v="5"/>
  </r>
  <r>
    <x v="476"/>
    <s v="Carlos Silva"/>
    <d v="2025-11-16T00:00:00"/>
    <x v="0"/>
    <x v="2"/>
    <x v="2"/>
    <n v="5"/>
    <x v="2"/>
    <n v="31.72"/>
    <x v="320"/>
    <x v="2"/>
  </r>
  <r>
    <x v="477"/>
    <s v="João Pereira"/>
    <d v="2025-03-22T00:00:00"/>
    <x v="4"/>
    <x v="3"/>
    <x v="7"/>
    <n v="5"/>
    <x v="7"/>
    <n v="0"/>
    <x v="184"/>
    <x v="6"/>
  </r>
  <r>
    <x v="478"/>
    <s v="Ricardo Carvalho"/>
    <d v="2025-12-20T00:00:00"/>
    <x v="4"/>
    <x v="1"/>
    <x v="9"/>
    <n v="3"/>
    <x v="9"/>
    <n v="0"/>
    <x v="16"/>
    <x v="5"/>
  </r>
  <r>
    <x v="479"/>
    <s v="Carlos Silva"/>
    <d v="2025-10-05T00:00:00"/>
    <x v="4"/>
    <x v="3"/>
    <x v="8"/>
    <n v="5"/>
    <x v="8"/>
    <n v="983.87"/>
    <x v="321"/>
    <x v="2"/>
  </r>
  <r>
    <x v="480"/>
    <s v="Sem Dados"/>
    <d v="2026-02-04T00:00:00"/>
    <x v="2"/>
    <x v="2"/>
    <x v="11"/>
    <n v="1"/>
    <x v="11"/>
    <n v="16.32"/>
    <x v="322"/>
    <x v="6"/>
  </r>
  <r>
    <x v="481"/>
    <s v="Maria Oliveira"/>
    <d v="2025-10-17T00:00:00"/>
    <x v="3"/>
    <x v="3"/>
    <x v="8"/>
    <n v="4"/>
    <x v="8"/>
    <n v="0"/>
    <x v="280"/>
    <x v="6"/>
  </r>
  <r>
    <x v="482"/>
    <s v="João Pereira"/>
    <d v="2025-09-09T00:00:00"/>
    <x v="0"/>
    <x v="0"/>
    <x v="0"/>
    <n v="2"/>
    <x v="0"/>
    <n v="56.56"/>
    <x v="323"/>
    <x v="2"/>
  </r>
  <r>
    <x v="483"/>
    <s v="Roberto Santos"/>
    <d v="2025-02-27T00:00:00"/>
    <x v="0"/>
    <x v="3"/>
    <x v="8"/>
    <n v="1"/>
    <x v="8"/>
    <n v="0"/>
    <x v="56"/>
    <x v="0"/>
  </r>
  <r>
    <x v="484"/>
    <s v="Ricardo Carvalho"/>
    <d v="2025-09-24T00:00:00"/>
    <x v="1"/>
    <x v="1"/>
    <x v="14"/>
    <n v="4"/>
    <x v="14"/>
    <n v="34.89"/>
    <x v="324"/>
    <x v="0"/>
  </r>
  <r>
    <x v="485"/>
    <s v="Patricia Gomes"/>
    <d v="2025-11-07T00:00:00"/>
    <x v="1"/>
    <x v="2"/>
    <x v="2"/>
    <n v="4"/>
    <x v="2"/>
    <n v="27.24"/>
    <x v="325"/>
    <x v="1"/>
  </r>
  <r>
    <x v="486"/>
    <s v="Patricia Gomes"/>
    <d v="2025-02-14T00:00:00"/>
    <x v="1"/>
    <x v="3"/>
    <x v="8"/>
    <n v="5"/>
    <x v="8"/>
    <n v="0"/>
    <x v="58"/>
    <x v="5"/>
  </r>
  <r>
    <x v="487"/>
    <s v="Lucas Almeida"/>
    <d v="2025-08-09T00:00:00"/>
    <x v="4"/>
    <x v="0"/>
    <x v="13"/>
    <n v="5"/>
    <x v="13"/>
    <n v="0"/>
    <x v="90"/>
    <x v="1"/>
  </r>
  <r>
    <x v="488"/>
    <s v="Juliana Costa"/>
    <d v="2025-06-30T00:00:00"/>
    <x v="1"/>
    <x v="1"/>
    <x v="9"/>
    <n v="1"/>
    <x v="9"/>
    <n v="0"/>
    <x v="215"/>
    <x v="6"/>
  </r>
  <r>
    <x v="489"/>
    <s v="Patricia Gomes"/>
    <d v="2025-02-18T00:00:00"/>
    <x v="1"/>
    <x v="1"/>
    <x v="14"/>
    <n v="2"/>
    <x v="14"/>
    <n v="0"/>
    <x v="171"/>
    <x v="1"/>
  </r>
  <r>
    <x v="490"/>
    <s v="Patricia Gomes"/>
    <d v="2025-11-10T00:00:00"/>
    <x v="2"/>
    <x v="3"/>
    <x v="12"/>
    <n v="2"/>
    <x v="12"/>
    <n v="470.76"/>
    <x v="326"/>
    <x v="1"/>
  </r>
  <r>
    <x v="491"/>
    <s v="Maria Oliveira"/>
    <d v="2025-12-18T00:00:00"/>
    <x v="2"/>
    <x v="0"/>
    <x v="13"/>
    <n v="4"/>
    <x v="13"/>
    <n v="0"/>
    <x v="27"/>
    <x v="1"/>
  </r>
  <r>
    <x v="492"/>
    <s v="Roberto Santos"/>
    <d v="2025-04-03T00:00:00"/>
    <x v="2"/>
    <x v="1"/>
    <x v="1"/>
    <n v="3"/>
    <x v="1"/>
    <n v="0"/>
    <x v="1"/>
    <x v="6"/>
  </r>
  <r>
    <x v="493"/>
    <s v="João Pereira"/>
    <d v="2025-08-10T00:00:00"/>
    <x v="4"/>
    <x v="1"/>
    <x v="1"/>
    <n v="1"/>
    <x v="1"/>
    <n v="0"/>
    <x v="160"/>
    <x v="1"/>
  </r>
  <r>
    <x v="494"/>
    <s v="Marcos Rodrigues"/>
    <d v="2025-09-24T00:00:00"/>
    <x v="2"/>
    <x v="1"/>
    <x v="1"/>
    <n v="1"/>
    <x v="1"/>
    <n v="0"/>
    <x v="160"/>
    <x v="4"/>
  </r>
  <r>
    <x v="495"/>
    <s v="Juliana Costa"/>
    <d v="2025-08-09T00:00:00"/>
    <x v="0"/>
    <x v="3"/>
    <x v="3"/>
    <n v="1"/>
    <x v="3"/>
    <n v="0"/>
    <x v="66"/>
    <x v="2"/>
  </r>
  <r>
    <x v="496"/>
    <s v="Ricardo Carvalho"/>
    <d v="2025-07-31T00:00:00"/>
    <x v="0"/>
    <x v="3"/>
    <x v="8"/>
    <n v="1"/>
    <x v="8"/>
    <n v="0"/>
    <x v="56"/>
    <x v="7"/>
  </r>
  <r>
    <x v="497"/>
    <s v="Ana Souza"/>
    <d v="2025-02-28T00:00:00"/>
    <x v="2"/>
    <x v="3"/>
    <x v="8"/>
    <n v="3"/>
    <x v="8"/>
    <n v="0"/>
    <x v="115"/>
    <x v="0"/>
  </r>
  <r>
    <x v="498"/>
    <s v="Maria Oliveira"/>
    <d v="2025-04-16T00:00:00"/>
    <x v="3"/>
    <x v="1"/>
    <x v="9"/>
    <n v="4"/>
    <x v="9"/>
    <n v="5.92"/>
    <x v="327"/>
    <x v="6"/>
  </r>
  <r>
    <x v="499"/>
    <s v="Roberto Santos"/>
    <d v="2025-09-28T00:00:00"/>
    <x v="1"/>
    <x v="2"/>
    <x v="2"/>
    <n v="3"/>
    <x v="2"/>
    <n v="10.119999999999999"/>
    <x v="328"/>
    <x v="5"/>
  </r>
  <r>
    <x v="500"/>
    <s v="Maria Oliveira"/>
    <d v="2025-10-16T00:00:00"/>
    <x v="3"/>
    <x v="2"/>
    <x v="6"/>
    <n v="2"/>
    <x v="6"/>
    <n v="0"/>
    <x v="313"/>
    <x v="0"/>
  </r>
  <r>
    <x v="501"/>
    <s v="João Pereira"/>
    <d v="2025-11-30T00:00:00"/>
    <x v="2"/>
    <x v="3"/>
    <x v="12"/>
    <n v="4"/>
    <x v="12"/>
    <n v="1143.76"/>
    <x v="329"/>
    <x v="7"/>
  </r>
  <r>
    <x v="502"/>
    <s v="Beatriz Ribeiro"/>
    <d v="2025-08-11T00:00:00"/>
    <x v="2"/>
    <x v="0"/>
    <x v="13"/>
    <n v="4"/>
    <x v="13"/>
    <n v="84.2"/>
    <x v="330"/>
    <x v="1"/>
  </r>
  <r>
    <x v="503"/>
    <s v="Juliana Costa"/>
    <d v="2025-11-01T00:00:00"/>
    <x v="2"/>
    <x v="3"/>
    <x v="7"/>
    <n v="4"/>
    <x v="7"/>
    <n v="0"/>
    <x v="44"/>
    <x v="6"/>
  </r>
  <r>
    <x v="504"/>
    <s v="Roberto Santos"/>
    <d v="2025-12-25T00:00:00"/>
    <x v="3"/>
    <x v="0"/>
    <x v="13"/>
    <n v="2"/>
    <x v="13"/>
    <n v="12.01"/>
    <x v="331"/>
    <x v="2"/>
  </r>
  <r>
    <x v="505"/>
    <s v="Roberto Santos"/>
    <d v="2025-10-13T00:00:00"/>
    <x v="2"/>
    <x v="2"/>
    <x v="2"/>
    <n v="5"/>
    <x v="2"/>
    <n v="0"/>
    <x v="57"/>
    <x v="4"/>
  </r>
  <r>
    <x v="506"/>
    <s v="Beatriz Ribeiro"/>
    <d v="2025-03-31T00:00:00"/>
    <x v="0"/>
    <x v="3"/>
    <x v="8"/>
    <n v="5"/>
    <x v="8"/>
    <n v="80.58"/>
    <x v="332"/>
    <x v="6"/>
  </r>
  <r>
    <x v="507"/>
    <s v="Ricardo Carvalho"/>
    <d v="2025-10-07T00:00:00"/>
    <x v="1"/>
    <x v="1"/>
    <x v="5"/>
    <n v="5"/>
    <x v="5"/>
    <n v="23.56"/>
    <x v="333"/>
    <x v="5"/>
  </r>
  <r>
    <x v="508"/>
    <s v="Patricia Gomes"/>
    <d v="2025-10-14T00:00:00"/>
    <x v="2"/>
    <x v="2"/>
    <x v="10"/>
    <n v="5"/>
    <x v="10"/>
    <n v="65.94"/>
    <x v="334"/>
    <x v="5"/>
  </r>
  <r>
    <x v="509"/>
    <s v="Fernanda Lima"/>
    <d v="2025-11-13T00:00:00"/>
    <x v="4"/>
    <x v="1"/>
    <x v="5"/>
    <n v="5"/>
    <x v="5"/>
    <n v="0"/>
    <x v="71"/>
    <x v="7"/>
  </r>
  <r>
    <x v="510"/>
    <s v="Maria Oliveira"/>
    <d v="2026-01-30T00:00:00"/>
    <x v="4"/>
    <x v="3"/>
    <x v="7"/>
    <n v="4"/>
    <x v="7"/>
    <n v="0"/>
    <x v="44"/>
    <x v="3"/>
  </r>
  <r>
    <x v="511"/>
    <s v="Fernanda Lima"/>
    <d v="2025-06-29T00:00:00"/>
    <x v="4"/>
    <x v="3"/>
    <x v="8"/>
    <n v="2"/>
    <x v="8"/>
    <n v="0"/>
    <x v="13"/>
    <x v="1"/>
  </r>
  <r>
    <x v="512"/>
    <s v="Roberto Santos"/>
    <d v="2025-05-21T00:00:00"/>
    <x v="2"/>
    <x v="0"/>
    <x v="4"/>
    <n v="3"/>
    <x v="4"/>
    <n v="112.36"/>
    <x v="335"/>
    <x v="7"/>
  </r>
  <r>
    <x v="513"/>
    <s v="Fernanda Lima"/>
    <d v="2025-01-15T00:00:00"/>
    <x v="1"/>
    <x v="3"/>
    <x v="12"/>
    <n v="2"/>
    <x v="12"/>
    <n v="1064.29"/>
    <x v="336"/>
    <x v="2"/>
  </r>
  <r>
    <x v="514"/>
    <s v="Lucas Almeida"/>
    <d v="2025-04-25T00:00:00"/>
    <x v="1"/>
    <x v="2"/>
    <x v="11"/>
    <n v="4"/>
    <x v="11"/>
    <n v="0"/>
    <x v="267"/>
    <x v="2"/>
  </r>
  <r>
    <x v="515"/>
    <s v="Patricia Gomes"/>
    <d v="2026-01-14T00:00:00"/>
    <x v="1"/>
    <x v="0"/>
    <x v="4"/>
    <n v="1"/>
    <x v="4"/>
    <n v="63.87"/>
    <x v="337"/>
    <x v="1"/>
  </r>
  <r>
    <x v="516"/>
    <s v="Ricardo Carvalho"/>
    <d v="2025-08-16T00:00:00"/>
    <x v="3"/>
    <x v="2"/>
    <x v="11"/>
    <n v="4"/>
    <x v="11"/>
    <n v="65.86"/>
    <x v="338"/>
    <x v="0"/>
  </r>
  <r>
    <x v="517"/>
    <s v="Carlos Silva"/>
    <d v="2025-08-30T00:00:00"/>
    <x v="0"/>
    <x v="0"/>
    <x v="15"/>
    <n v="1"/>
    <x v="15"/>
    <n v="43.51"/>
    <x v="339"/>
    <x v="7"/>
  </r>
  <r>
    <x v="518"/>
    <s v="Carlos Silva"/>
    <d v="2025-07-04T00:00:00"/>
    <x v="0"/>
    <x v="0"/>
    <x v="13"/>
    <n v="3"/>
    <x v="13"/>
    <n v="53.85"/>
    <x v="340"/>
    <x v="3"/>
  </r>
  <r>
    <x v="519"/>
    <s v="Beatriz Ribeiro"/>
    <d v="2025-12-23T00:00:00"/>
    <x v="1"/>
    <x v="3"/>
    <x v="7"/>
    <n v="3"/>
    <x v="7"/>
    <n v="0"/>
    <x v="246"/>
    <x v="0"/>
  </r>
  <r>
    <x v="520"/>
    <s v="Maria Oliveira"/>
    <d v="2025-12-01T00:00:00"/>
    <x v="1"/>
    <x v="3"/>
    <x v="7"/>
    <n v="1"/>
    <x v="7"/>
    <n v="2.2999999999999998"/>
    <x v="341"/>
    <x v="1"/>
  </r>
  <r>
    <x v="521"/>
    <s v="Marcos Rodrigues"/>
    <d v="2025-05-04T00:00:00"/>
    <x v="2"/>
    <x v="3"/>
    <x v="3"/>
    <n v="1"/>
    <x v="3"/>
    <n v="12.25"/>
    <x v="342"/>
    <x v="0"/>
  </r>
  <r>
    <x v="522"/>
    <s v="Maria Oliveira"/>
    <d v="2025-10-29T00:00:00"/>
    <x v="0"/>
    <x v="2"/>
    <x v="6"/>
    <n v="1"/>
    <x v="6"/>
    <n v="20.63"/>
    <x v="343"/>
    <x v="7"/>
  </r>
  <r>
    <x v="523"/>
    <s v="Ana Souza"/>
    <d v="2026-01-14T00:00:00"/>
    <x v="2"/>
    <x v="3"/>
    <x v="12"/>
    <n v="4"/>
    <x v="12"/>
    <n v="1114.6199999999999"/>
    <x v="344"/>
    <x v="5"/>
  </r>
  <r>
    <x v="524"/>
    <s v="Roberto Santos"/>
    <d v="2025-10-20T00:00:00"/>
    <x v="2"/>
    <x v="1"/>
    <x v="14"/>
    <n v="1"/>
    <x v="14"/>
    <n v="0"/>
    <x v="106"/>
    <x v="0"/>
  </r>
  <r>
    <x v="525"/>
    <s v="Maria Oliveira"/>
    <d v="2025-10-01T00:00:00"/>
    <x v="0"/>
    <x v="1"/>
    <x v="14"/>
    <n v="5"/>
    <x v="14"/>
    <n v="0"/>
    <x v="92"/>
    <x v="0"/>
  </r>
  <r>
    <x v="526"/>
    <s v="Ricardo Carvalho"/>
    <d v="2025-12-16T00:00:00"/>
    <x v="4"/>
    <x v="3"/>
    <x v="8"/>
    <n v="3"/>
    <x v="8"/>
    <n v="475.99"/>
    <x v="345"/>
    <x v="6"/>
  </r>
  <r>
    <x v="527"/>
    <s v="Juliana Costa"/>
    <d v="2025-01-29T00:00:00"/>
    <x v="3"/>
    <x v="3"/>
    <x v="3"/>
    <n v="4"/>
    <x v="3"/>
    <n v="0"/>
    <x v="210"/>
    <x v="7"/>
  </r>
  <r>
    <x v="528"/>
    <s v="Maria Oliveira"/>
    <d v="2025-08-15T00:00:00"/>
    <x v="0"/>
    <x v="2"/>
    <x v="2"/>
    <n v="4"/>
    <x v="2"/>
    <n v="47.01"/>
    <x v="346"/>
    <x v="4"/>
  </r>
  <r>
    <x v="529"/>
    <s v="Ana Souza"/>
    <d v="2026-01-24T00:00:00"/>
    <x v="1"/>
    <x v="0"/>
    <x v="15"/>
    <n v="3"/>
    <x v="15"/>
    <n v="10.82"/>
    <x v="347"/>
    <x v="2"/>
  </r>
  <r>
    <x v="530"/>
    <s v="Ricardo Carvalho"/>
    <d v="2025-11-14T00:00:00"/>
    <x v="0"/>
    <x v="2"/>
    <x v="10"/>
    <n v="4"/>
    <x v="10"/>
    <n v="0"/>
    <x v="348"/>
    <x v="0"/>
  </r>
  <r>
    <x v="531"/>
    <s v="Beatriz Ribeiro"/>
    <d v="2025-10-15T00:00:00"/>
    <x v="3"/>
    <x v="0"/>
    <x v="13"/>
    <n v="5"/>
    <x v="13"/>
    <n v="0"/>
    <x v="90"/>
    <x v="2"/>
  </r>
  <r>
    <x v="532"/>
    <s v="Patricia Gomes"/>
    <d v="2025-03-05T00:00:00"/>
    <x v="0"/>
    <x v="2"/>
    <x v="2"/>
    <n v="1"/>
    <x v="2"/>
    <n v="0"/>
    <x v="85"/>
    <x v="3"/>
  </r>
  <r>
    <x v="533"/>
    <s v="Patricia Gomes"/>
    <d v="2025-06-11T00:00:00"/>
    <x v="3"/>
    <x v="2"/>
    <x v="6"/>
    <n v="3"/>
    <x v="6"/>
    <n v="40.07"/>
    <x v="349"/>
    <x v="0"/>
  </r>
  <r>
    <x v="534"/>
    <s v="Maria Oliveira"/>
    <d v="2025-02-15T00:00:00"/>
    <x v="1"/>
    <x v="2"/>
    <x v="10"/>
    <n v="3"/>
    <x v="10"/>
    <n v="42.46"/>
    <x v="350"/>
    <x v="6"/>
  </r>
  <r>
    <x v="535"/>
    <s v="Marcos Rodrigues"/>
    <d v="2025-01-18T00:00:00"/>
    <x v="1"/>
    <x v="0"/>
    <x v="15"/>
    <n v="2"/>
    <x v="15"/>
    <n v="92.35"/>
    <x v="351"/>
    <x v="5"/>
  </r>
  <r>
    <x v="536"/>
    <s v="Juliana Costa"/>
    <d v="2026-01-15T00:00:00"/>
    <x v="2"/>
    <x v="2"/>
    <x v="11"/>
    <n v="4"/>
    <x v="11"/>
    <n v="83.62"/>
    <x v="352"/>
    <x v="0"/>
  </r>
  <r>
    <x v="537"/>
    <s v="Ricardo Carvalho"/>
    <d v="2025-04-16T00:00:00"/>
    <x v="3"/>
    <x v="2"/>
    <x v="10"/>
    <n v="3"/>
    <x v="10"/>
    <n v="0"/>
    <x v="18"/>
    <x v="5"/>
  </r>
  <r>
    <x v="538"/>
    <s v="Lucas Almeida"/>
    <d v="2025-04-30T00:00:00"/>
    <x v="3"/>
    <x v="2"/>
    <x v="2"/>
    <n v="3"/>
    <x v="2"/>
    <n v="0"/>
    <x v="146"/>
    <x v="0"/>
  </r>
  <r>
    <x v="539"/>
    <s v="João Pereira"/>
    <d v="2025-09-06T00:00:00"/>
    <x v="0"/>
    <x v="3"/>
    <x v="3"/>
    <n v="2"/>
    <x v="3"/>
    <n v="0"/>
    <x v="190"/>
    <x v="1"/>
  </r>
  <r>
    <x v="540"/>
    <s v="Ricardo Carvalho"/>
    <d v="2025-07-23T00:00:00"/>
    <x v="3"/>
    <x v="2"/>
    <x v="2"/>
    <n v="2"/>
    <x v="2"/>
    <n v="2.2599999999999998"/>
    <x v="353"/>
    <x v="7"/>
  </r>
  <r>
    <x v="541"/>
    <s v="João Pereira"/>
    <d v="2026-01-19T00:00:00"/>
    <x v="2"/>
    <x v="1"/>
    <x v="14"/>
    <n v="5"/>
    <x v="14"/>
    <n v="29.95"/>
    <x v="354"/>
    <x v="6"/>
  </r>
  <r>
    <x v="542"/>
    <s v="Patricia Gomes"/>
    <d v="2025-06-09T00:00:00"/>
    <x v="0"/>
    <x v="2"/>
    <x v="10"/>
    <n v="1"/>
    <x v="10"/>
    <n v="0"/>
    <x v="355"/>
    <x v="2"/>
  </r>
  <r>
    <x v="543"/>
    <s v="Marcos Rodrigues"/>
    <d v="2025-03-01T00:00:00"/>
    <x v="1"/>
    <x v="3"/>
    <x v="12"/>
    <n v="1"/>
    <x v="12"/>
    <n v="387.01"/>
    <x v="356"/>
    <x v="5"/>
  </r>
  <r>
    <x v="544"/>
    <s v="Lucas Almeida"/>
    <d v="2025-07-09T00:00:00"/>
    <x v="1"/>
    <x v="2"/>
    <x v="11"/>
    <n v="1"/>
    <x v="11"/>
    <n v="10.79"/>
    <x v="357"/>
    <x v="0"/>
  </r>
  <r>
    <x v="545"/>
    <s v="Roberto Santos"/>
    <d v="2025-05-17T00:00:00"/>
    <x v="2"/>
    <x v="2"/>
    <x v="2"/>
    <n v="5"/>
    <x v="2"/>
    <n v="0"/>
    <x v="57"/>
    <x v="4"/>
  </r>
  <r>
    <x v="546"/>
    <s v="Ricardo Carvalho"/>
    <d v="2025-02-14T00:00:00"/>
    <x v="4"/>
    <x v="1"/>
    <x v="1"/>
    <n v="2"/>
    <x v="1"/>
    <n v="12.85"/>
    <x v="358"/>
    <x v="4"/>
  </r>
  <r>
    <x v="547"/>
    <s v="Juliana Costa"/>
    <d v="2026-01-31T00:00:00"/>
    <x v="4"/>
    <x v="1"/>
    <x v="1"/>
    <n v="3"/>
    <x v="1"/>
    <n v="0"/>
    <x v="1"/>
    <x v="0"/>
  </r>
  <r>
    <x v="548"/>
    <s v="Maria Oliveira"/>
    <d v="2025-08-06T00:00:00"/>
    <x v="0"/>
    <x v="1"/>
    <x v="9"/>
    <n v="2"/>
    <x v="9"/>
    <n v="6.91"/>
    <x v="359"/>
    <x v="7"/>
  </r>
  <r>
    <x v="549"/>
    <s v="Marcos Rodrigues"/>
    <d v="2025-05-27T00:00:00"/>
    <x v="4"/>
    <x v="3"/>
    <x v="12"/>
    <n v="1"/>
    <x v="12"/>
    <n v="0"/>
    <x v="33"/>
    <x v="5"/>
  </r>
  <r>
    <x v="550"/>
    <s v="Patricia Gomes"/>
    <d v="2025-08-28T00:00:00"/>
    <x v="4"/>
    <x v="0"/>
    <x v="0"/>
    <n v="5"/>
    <x v="0"/>
    <n v="96.8"/>
    <x v="360"/>
    <x v="0"/>
  </r>
  <r>
    <x v="551"/>
    <s v="Roberto Santos"/>
    <d v="2025-10-14T00:00:00"/>
    <x v="3"/>
    <x v="0"/>
    <x v="0"/>
    <n v="1"/>
    <x v="0"/>
    <n v="0"/>
    <x v="41"/>
    <x v="2"/>
  </r>
  <r>
    <x v="552"/>
    <s v="Maria Oliveira"/>
    <d v="2025-07-26T00:00:00"/>
    <x v="2"/>
    <x v="3"/>
    <x v="7"/>
    <n v="5"/>
    <x v="7"/>
    <n v="0"/>
    <x v="184"/>
    <x v="5"/>
  </r>
  <r>
    <x v="553"/>
    <s v="Marcos Rodrigues"/>
    <d v="2025-09-03T00:00:00"/>
    <x v="2"/>
    <x v="3"/>
    <x v="12"/>
    <n v="1"/>
    <x v="12"/>
    <n v="0"/>
    <x v="33"/>
    <x v="6"/>
  </r>
  <r>
    <x v="554"/>
    <s v="Ricardo Carvalho"/>
    <d v="2025-07-31T00:00:00"/>
    <x v="4"/>
    <x v="3"/>
    <x v="7"/>
    <n v="3"/>
    <x v="7"/>
    <n v="344.91"/>
    <x v="361"/>
    <x v="1"/>
  </r>
  <r>
    <x v="555"/>
    <s v="Carlos Silva"/>
    <d v="2025-12-26T00:00:00"/>
    <x v="0"/>
    <x v="3"/>
    <x v="8"/>
    <n v="4"/>
    <x v="8"/>
    <n v="0"/>
    <x v="280"/>
    <x v="1"/>
  </r>
  <r>
    <x v="556"/>
    <s v="Carlos Silva"/>
    <d v="2025-01-14T00:00:00"/>
    <x v="4"/>
    <x v="1"/>
    <x v="5"/>
    <n v="1"/>
    <x v="5"/>
    <n v="4.53"/>
    <x v="362"/>
    <x v="4"/>
  </r>
  <r>
    <x v="557"/>
    <s v="Fernanda Lima"/>
    <d v="2025-01-26T00:00:00"/>
    <x v="4"/>
    <x v="0"/>
    <x v="15"/>
    <n v="1"/>
    <x v="15"/>
    <n v="23.06"/>
    <x v="363"/>
    <x v="5"/>
  </r>
  <r>
    <x v="558"/>
    <s v="Lucas Almeida"/>
    <d v="2025-01-20T00:00:00"/>
    <x v="1"/>
    <x v="1"/>
    <x v="14"/>
    <n v="2"/>
    <x v="14"/>
    <n v="0"/>
    <x v="171"/>
    <x v="0"/>
  </r>
  <r>
    <x v="559"/>
    <s v="Marcos Rodrigues"/>
    <d v="2025-06-04T00:00:00"/>
    <x v="0"/>
    <x v="3"/>
    <x v="3"/>
    <n v="1"/>
    <x v="3"/>
    <n v="14.05"/>
    <x v="364"/>
    <x v="5"/>
  </r>
  <r>
    <x v="560"/>
    <s v="Carlos Silva"/>
    <d v="2025-11-30T00:00:00"/>
    <x v="1"/>
    <x v="0"/>
    <x v="15"/>
    <n v="3"/>
    <x v="15"/>
    <n v="0"/>
    <x v="126"/>
    <x v="1"/>
  </r>
  <r>
    <x v="561"/>
    <s v="Patricia Gomes"/>
    <d v="2025-07-14T00:00:00"/>
    <x v="4"/>
    <x v="0"/>
    <x v="15"/>
    <n v="3"/>
    <x v="15"/>
    <n v="0"/>
    <x v="126"/>
    <x v="5"/>
  </r>
  <r>
    <x v="562"/>
    <s v="Marcos Rodrigues"/>
    <d v="2025-08-11T00:00:00"/>
    <x v="3"/>
    <x v="3"/>
    <x v="12"/>
    <n v="1"/>
    <x v="12"/>
    <n v="0"/>
    <x v="33"/>
    <x v="0"/>
  </r>
  <r>
    <x v="563"/>
    <s v="Lucas Almeida"/>
    <d v="2025-02-20T00:00:00"/>
    <x v="2"/>
    <x v="3"/>
    <x v="7"/>
    <n v="1"/>
    <x v="7"/>
    <n v="78.23"/>
    <x v="365"/>
    <x v="3"/>
  </r>
  <r>
    <x v="564"/>
    <s v="Maria Oliveira"/>
    <d v="2025-03-04T00:00:00"/>
    <x v="4"/>
    <x v="3"/>
    <x v="8"/>
    <n v="3"/>
    <x v="8"/>
    <n v="12.61"/>
    <x v="366"/>
    <x v="5"/>
  </r>
  <r>
    <x v="565"/>
    <s v="Ana Souza"/>
    <d v="2025-02-09T00:00:00"/>
    <x v="1"/>
    <x v="2"/>
    <x v="2"/>
    <n v="3"/>
    <x v="2"/>
    <n v="8.58"/>
    <x v="367"/>
    <x v="5"/>
  </r>
  <r>
    <x v="566"/>
    <s v="Ana Souza"/>
    <d v="2025-05-02T00:00:00"/>
    <x v="2"/>
    <x v="0"/>
    <x v="0"/>
    <n v="3"/>
    <x v="0"/>
    <n v="258.26"/>
    <x v="368"/>
    <x v="5"/>
  </r>
  <r>
    <x v="567"/>
    <s v="Patricia Gomes"/>
    <d v="2025-05-14T00:00:00"/>
    <x v="2"/>
    <x v="1"/>
    <x v="9"/>
    <n v="1"/>
    <x v="9"/>
    <n v="3.64"/>
    <x v="369"/>
    <x v="4"/>
  </r>
  <r>
    <x v="568"/>
    <s v="Ricardo Carvalho"/>
    <d v="2025-02-02T00:00:00"/>
    <x v="0"/>
    <x v="1"/>
    <x v="9"/>
    <n v="2"/>
    <x v="9"/>
    <n v="9.58"/>
    <x v="370"/>
    <x v="7"/>
  </r>
  <r>
    <x v="569"/>
    <s v="João Pereira"/>
    <d v="2025-06-26T00:00:00"/>
    <x v="3"/>
    <x v="1"/>
    <x v="1"/>
    <n v="4"/>
    <x v="1"/>
    <n v="0"/>
    <x v="46"/>
    <x v="1"/>
  </r>
  <r>
    <x v="570"/>
    <s v="Lucas Almeida"/>
    <d v="2025-08-14T00:00:00"/>
    <x v="0"/>
    <x v="0"/>
    <x v="13"/>
    <n v="2"/>
    <x v="13"/>
    <n v="0"/>
    <x v="89"/>
    <x v="0"/>
  </r>
  <r>
    <x v="571"/>
    <s v="Lucas Almeida"/>
    <d v="2025-11-23T00:00:00"/>
    <x v="1"/>
    <x v="0"/>
    <x v="0"/>
    <n v="3"/>
    <x v="0"/>
    <n v="0"/>
    <x v="74"/>
    <x v="5"/>
  </r>
  <r>
    <x v="572"/>
    <s v="Juliana Costa"/>
    <d v="2025-09-27T00:00:00"/>
    <x v="2"/>
    <x v="3"/>
    <x v="3"/>
    <n v="2"/>
    <x v="3"/>
    <n v="71.42"/>
    <x v="371"/>
    <x v="3"/>
  </r>
  <r>
    <x v="573"/>
    <s v="Maria Oliveira"/>
    <d v="2025-10-22T00:00:00"/>
    <x v="0"/>
    <x v="1"/>
    <x v="9"/>
    <n v="2"/>
    <x v="9"/>
    <n v="2.2400000000000002"/>
    <x v="372"/>
    <x v="0"/>
  </r>
  <r>
    <x v="574"/>
    <s v="Marcos Rodrigues"/>
    <d v="2025-05-23T00:00:00"/>
    <x v="3"/>
    <x v="0"/>
    <x v="0"/>
    <n v="5"/>
    <x v="0"/>
    <n v="192.77"/>
    <x v="373"/>
    <x v="7"/>
  </r>
  <r>
    <x v="575"/>
    <s v="Juliana Costa"/>
    <d v="2025-07-07T00:00:00"/>
    <x v="3"/>
    <x v="2"/>
    <x v="6"/>
    <n v="3"/>
    <x v="6"/>
    <n v="0"/>
    <x v="213"/>
    <x v="0"/>
  </r>
  <r>
    <x v="576"/>
    <s v="Roberto Santos"/>
    <d v="2025-12-26T00:00:00"/>
    <x v="4"/>
    <x v="0"/>
    <x v="0"/>
    <n v="2"/>
    <x v="0"/>
    <n v="59.25"/>
    <x v="374"/>
    <x v="6"/>
  </r>
  <r>
    <x v="577"/>
    <s v="Juliana Costa"/>
    <d v="2025-06-24T00:00:00"/>
    <x v="0"/>
    <x v="0"/>
    <x v="13"/>
    <n v="3"/>
    <x v="13"/>
    <n v="0"/>
    <x v="375"/>
    <x v="7"/>
  </r>
  <r>
    <x v="578"/>
    <s v="Ricardo Carvalho"/>
    <d v="2025-05-23T00:00:00"/>
    <x v="3"/>
    <x v="0"/>
    <x v="0"/>
    <n v="2"/>
    <x v="0"/>
    <n v="0"/>
    <x v="68"/>
    <x v="4"/>
  </r>
  <r>
    <x v="579"/>
    <s v="Lucas Almeida"/>
    <d v="2025-05-17T00:00:00"/>
    <x v="3"/>
    <x v="2"/>
    <x v="10"/>
    <n v="4"/>
    <x v="10"/>
    <n v="1.98"/>
    <x v="376"/>
    <x v="4"/>
  </r>
  <r>
    <x v="580"/>
    <s v="Maria Oliveira"/>
    <d v="2025-09-07T00:00:00"/>
    <x v="1"/>
    <x v="0"/>
    <x v="0"/>
    <n v="2"/>
    <x v="0"/>
    <n v="0.56000000000000005"/>
    <x v="377"/>
    <x v="2"/>
  </r>
  <r>
    <x v="581"/>
    <s v="João Pereira"/>
    <d v="2025-05-17T00:00:00"/>
    <x v="4"/>
    <x v="3"/>
    <x v="3"/>
    <n v="1"/>
    <x v="3"/>
    <n v="12.23"/>
    <x v="378"/>
    <x v="0"/>
  </r>
  <r>
    <x v="582"/>
    <s v="Fernanda Lima"/>
    <d v="2025-01-22T00:00:00"/>
    <x v="1"/>
    <x v="2"/>
    <x v="6"/>
    <n v="4"/>
    <x v="6"/>
    <n v="45.78"/>
    <x v="379"/>
    <x v="1"/>
  </r>
  <r>
    <x v="583"/>
    <s v="Roberto Santos"/>
    <d v="2025-11-12T00:00:00"/>
    <x v="4"/>
    <x v="0"/>
    <x v="0"/>
    <n v="4"/>
    <x v="0"/>
    <n v="0"/>
    <x v="128"/>
    <x v="3"/>
  </r>
  <r>
    <x v="584"/>
    <s v="Roberto Santos"/>
    <d v="2026-01-26T00:00:00"/>
    <x v="4"/>
    <x v="1"/>
    <x v="5"/>
    <n v="1"/>
    <x v="5"/>
    <n v="0"/>
    <x v="29"/>
    <x v="1"/>
  </r>
  <r>
    <x v="585"/>
    <s v="Beatriz Ribeiro"/>
    <d v="2025-01-01T00:00:00"/>
    <x v="0"/>
    <x v="0"/>
    <x v="13"/>
    <n v="5"/>
    <x v="13"/>
    <n v="0"/>
    <x v="90"/>
    <x v="7"/>
  </r>
  <r>
    <x v="586"/>
    <s v="Lucas Almeida"/>
    <d v="2025-06-26T00:00:00"/>
    <x v="3"/>
    <x v="3"/>
    <x v="8"/>
    <n v="2"/>
    <x v="8"/>
    <n v="0"/>
    <x v="13"/>
    <x v="7"/>
  </r>
  <r>
    <x v="587"/>
    <s v="Juliana Costa"/>
    <d v="2025-03-06T00:00:00"/>
    <x v="2"/>
    <x v="2"/>
    <x v="10"/>
    <n v="1"/>
    <x v="10"/>
    <n v="0"/>
    <x v="355"/>
    <x v="0"/>
  </r>
  <r>
    <x v="588"/>
    <s v="Lucas Almeida"/>
    <d v="2025-10-20T00:00:00"/>
    <x v="3"/>
    <x v="0"/>
    <x v="13"/>
    <n v="3"/>
    <x v="13"/>
    <n v="17.91"/>
    <x v="380"/>
    <x v="4"/>
  </r>
  <r>
    <x v="589"/>
    <s v="Ricardo Carvalho"/>
    <d v="2026-01-19T00:00:00"/>
    <x v="0"/>
    <x v="3"/>
    <x v="3"/>
    <n v="5"/>
    <x v="3"/>
    <n v="0"/>
    <x v="301"/>
    <x v="7"/>
  </r>
  <r>
    <x v="590"/>
    <s v="Carlos Silva"/>
    <d v="2025-10-23T00:00:00"/>
    <x v="4"/>
    <x v="1"/>
    <x v="1"/>
    <n v="3"/>
    <x v="1"/>
    <n v="0"/>
    <x v="1"/>
    <x v="5"/>
  </r>
  <r>
    <x v="591"/>
    <s v="Patricia Gomes"/>
    <d v="2025-05-13T00:00:00"/>
    <x v="4"/>
    <x v="2"/>
    <x v="10"/>
    <n v="1"/>
    <x v="10"/>
    <n v="0"/>
    <x v="355"/>
    <x v="1"/>
  </r>
  <r>
    <x v="592"/>
    <s v="Roberto Santos"/>
    <d v="2025-03-10T00:00:00"/>
    <x v="1"/>
    <x v="0"/>
    <x v="4"/>
    <n v="3"/>
    <x v="4"/>
    <n v="5.04"/>
    <x v="381"/>
    <x v="3"/>
  </r>
  <r>
    <x v="593"/>
    <s v="Beatriz Ribeiro"/>
    <d v="2025-10-12T00:00:00"/>
    <x v="1"/>
    <x v="1"/>
    <x v="5"/>
    <n v="5"/>
    <x v="5"/>
    <n v="5.2"/>
    <x v="382"/>
    <x v="3"/>
  </r>
  <r>
    <x v="594"/>
    <s v="Marcos Rodrigues"/>
    <d v="2025-11-04T00:00:00"/>
    <x v="2"/>
    <x v="3"/>
    <x v="12"/>
    <n v="4"/>
    <x v="12"/>
    <n v="2300.34"/>
    <x v="383"/>
    <x v="7"/>
  </r>
  <r>
    <x v="595"/>
    <s v="Marcos Rodrigues"/>
    <d v="2025-08-09T00:00:00"/>
    <x v="1"/>
    <x v="3"/>
    <x v="7"/>
    <n v="1"/>
    <x v="7"/>
    <n v="0"/>
    <x v="287"/>
    <x v="1"/>
  </r>
  <r>
    <x v="596"/>
    <s v="Beatriz Ribeiro"/>
    <d v="2026-02-05T00:00:00"/>
    <x v="4"/>
    <x v="0"/>
    <x v="15"/>
    <n v="1"/>
    <x v="15"/>
    <n v="0"/>
    <x v="384"/>
    <x v="4"/>
  </r>
  <r>
    <x v="597"/>
    <s v="Fernanda Lima"/>
    <d v="2025-03-12T00:00:00"/>
    <x v="3"/>
    <x v="0"/>
    <x v="4"/>
    <n v="4"/>
    <x v="4"/>
    <n v="119.94"/>
    <x v="385"/>
    <x v="6"/>
  </r>
  <r>
    <x v="598"/>
    <s v="Roberto Santos"/>
    <d v="2025-04-14T00:00:00"/>
    <x v="1"/>
    <x v="0"/>
    <x v="0"/>
    <n v="1"/>
    <x v="0"/>
    <n v="0"/>
    <x v="41"/>
    <x v="5"/>
  </r>
  <r>
    <x v="599"/>
    <s v="Carlos Silva"/>
    <d v="2025-07-27T00:00:00"/>
    <x v="3"/>
    <x v="0"/>
    <x v="0"/>
    <n v="4"/>
    <x v="0"/>
    <n v="295.98"/>
    <x v="386"/>
    <x v="3"/>
  </r>
  <r>
    <x v="600"/>
    <s v="Lucas Almeida"/>
    <d v="2025-08-01T00:00:00"/>
    <x v="4"/>
    <x v="0"/>
    <x v="15"/>
    <n v="3"/>
    <x v="15"/>
    <n v="0"/>
    <x v="126"/>
    <x v="0"/>
  </r>
  <r>
    <x v="601"/>
    <s v="Ana Souza"/>
    <d v="2025-05-07T00:00:00"/>
    <x v="0"/>
    <x v="0"/>
    <x v="0"/>
    <n v="2"/>
    <x v="0"/>
    <n v="133.1"/>
    <x v="387"/>
    <x v="0"/>
  </r>
  <r>
    <x v="602"/>
    <s v="Ana Souza"/>
    <d v="2025-02-26T00:00:00"/>
    <x v="1"/>
    <x v="2"/>
    <x v="11"/>
    <n v="4"/>
    <x v="11"/>
    <n v="0"/>
    <x v="267"/>
    <x v="6"/>
  </r>
  <r>
    <x v="603"/>
    <s v="Fernanda Lima"/>
    <d v="2025-09-27T00:00:00"/>
    <x v="4"/>
    <x v="0"/>
    <x v="13"/>
    <n v="5"/>
    <x v="13"/>
    <n v="61.81"/>
    <x v="388"/>
    <x v="5"/>
  </r>
  <r>
    <x v="604"/>
    <s v="Patricia Gomes"/>
    <d v="2025-11-13T00:00:00"/>
    <x v="4"/>
    <x v="2"/>
    <x v="2"/>
    <n v="5"/>
    <x v="2"/>
    <n v="30.11"/>
    <x v="389"/>
    <x v="1"/>
  </r>
  <r>
    <x v="605"/>
    <s v="Lucas Almeida"/>
    <d v="2025-08-15T00:00:00"/>
    <x v="0"/>
    <x v="3"/>
    <x v="7"/>
    <n v="4"/>
    <x v="7"/>
    <n v="104.16"/>
    <x v="390"/>
    <x v="0"/>
  </r>
  <r>
    <x v="606"/>
    <s v="Marcos Rodrigues"/>
    <d v="2025-04-14T00:00:00"/>
    <x v="2"/>
    <x v="1"/>
    <x v="14"/>
    <n v="3"/>
    <x v="14"/>
    <n v="19.829999999999998"/>
    <x v="391"/>
    <x v="7"/>
  </r>
  <r>
    <x v="607"/>
    <s v="Carlos Silva"/>
    <d v="2025-12-31T00:00:00"/>
    <x v="4"/>
    <x v="3"/>
    <x v="12"/>
    <n v="1"/>
    <x v="12"/>
    <n v="0"/>
    <x v="33"/>
    <x v="4"/>
  </r>
  <r>
    <x v="608"/>
    <s v="Carlos Silva"/>
    <d v="2025-02-14T00:00:00"/>
    <x v="3"/>
    <x v="3"/>
    <x v="3"/>
    <n v="4"/>
    <x v="3"/>
    <n v="151.35"/>
    <x v="392"/>
    <x v="4"/>
  </r>
  <r>
    <x v="609"/>
    <s v="Juliana Costa"/>
    <d v="2025-12-26T00:00:00"/>
    <x v="2"/>
    <x v="3"/>
    <x v="8"/>
    <n v="2"/>
    <x v="8"/>
    <n v="574.07000000000005"/>
    <x v="393"/>
    <x v="6"/>
  </r>
  <r>
    <x v="610"/>
    <s v="Juliana Costa"/>
    <d v="2025-01-02T00:00:00"/>
    <x v="0"/>
    <x v="1"/>
    <x v="1"/>
    <n v="2"/>
    <x v="1"/>
    <n v="16.82"/>
    <x v="394"/>
    <x v="0"/>
  </r>
  <r>
    <x v="611"/>
    <s v="Juliana Costa"/>
    <d v="2025-03-07T00:00:00"/>
    <x v="3"/>
    <x v="1"/>
    <x v="9"/>
    <n v="1"/>
    <x v="9"/>
    <n v="5.39"/>
    <x v="395"/>
    <x v="4"/>
  </r>
  <r>
    <x v="612"/>
    <s v="Ricardo Carvalho"/>
    <d v="2025-07-23T00:00:00"/>
    <x v="1"/>
    <x v="3"/>
    <x v="12"/>
    <n v="3"/>
    <x v="12"/>
    <n v="0"/>
    <x v="28"/>
    <x v="4"/>
  </r>
  <r>
    <x v="613"/>
    <s v="Roberto Santos"/>
    <d v="2025-08-27T00:00:00"/>
    <x v="0"/>
    <x v="1"/>
    <x v="5"/>
    <n v="4"/>
    <x v="5"/>
    <n v="0"/>
    <x v="95"/>
    <x v="7"/>
  </r>
  <r>
    <x v="614"/>
    <s v="Carlos Silva"/>
    <d v="2025-10-25T00:00:00"/>
    <x v="1"/>
    <x v="0"/>
    <x v="0"/>
    <n v="4"/>
    <x v="0"/>
    <n v="0"/>
    <x v="128"/>
    <x v="0"/>
  </r>
  <r>
    <x v="615"/>
    <s v="Fernanda Lima"/>
    <d v="2025-10-07T00:00:00"/>
    <x v="4"/>
    <x v="0"/>
    <x v="4"/>
    <n v="5"/>
    <x v="4"/>
    <n v="161.06"/>
    <x v="396"/>
    <x v="6"/>
  </r>
  <r>
    <x v="616"/>
    <s v="Patricia Gomes"/>
    <d v="2025-08-04T00:00:00"/>
    <x v="1"/>
    <x v="1"/>
    <x v="9"/>
    <n v="3"/>
    <x v="9"/>
    <n v="0"/>
    <x v="16"/>
    <x v="6"/>
  </r>
  <r>
    <x v="617"/>
    <s v="Maria Oliveira"/>
    <d v="2025-03-07T00:00:00"/>
    <x v="4"/>
    <x v="0"/>
    <x v="15"/>
    <n v="1"/>
    <x v="15"/>
    <n v="0"/>
    <x v="384"/>
    <x v="5"/>
  </r>
  <r>
    <x v="618"/>
    <s v="Maria Oliveira"/>
    <d v="2025-03-12T00:00:00"/>
    <x v="0"/>
    <x v="3"/>
    <x v="3"/>
    <n v="3"/>
    <x v="3"/>
    <n v="0"/>
    <x v="310"/>
    <x v="2"/>
  </r>
  <r>
    <x v="619"/>
    <s v="Fernanda Lima"/>
    <d v="2025-03-18T00:00:00"/>
    <x v="4"/>
    <x v="3"/>
    <x v="12"/>
    <n v="4"/>
    <x v="12"/>
    <n v="1135.19"/>
    <x v="397"/>
    <x v="5"/>
  </r>
  <r>
    <x v="620"/>
    <s v="Ana Souza"/>
    <d v="2025-11-26T00:00:00"/>
    <x v="0"/>
    <x v="1"/>
    <x v="9"/>
    <n v="2"/>
    <x v="9"/>
    <n v="2.52"/>
    <x v="398"/>
    <x v="4"/>
  </r>
  <r>
    <x v="621"/>
    <s v="Patricia Gomes"/>
    <d v="2025-08-07T00:00:00"/>
    <x v="4"/>
    <x v="3"/>
    <x v="3"/>
    <n v="4"/>
    <x v="3"/>
    <n v="155.04"/>
    <x v="399"/>
    <x v="5"/>
  </r>
  <r>
    <x v="622"/>
    <s v="Ricardo Carvalho"/>
    <d v="2025-04-06T00:00:00"/>
    <x v="4"/>
    <x v="3"/>
    <x v="8"/>
    <n v="4"/>
    <x v="8"/>
    <n v="0"/>
    <x v="280"/>
    <x v="7"/>
  </r>
  <r>
    <x v="623"/>
    <s v="Patricia Gomes"/>
    <d v="2025-11-07T00:00:00"/>
    <x v="0"/>
    <x v="0"/>
    <x v="13"/>
    <n v="1"/>
    <x v="13"/>
    <n v="0"/>
    <x v="95"/>
    <x v="5"/>
  </r>
  <r>
    <x v="624"/>
    <s v="Juliana Costa"/>
    <d v="2025-09-18T00:00:00"/>
    <x v="2"/>
    <x v="0"/>
    <x v="0"/>
    <n v="3"/>
    <x v="0"/>
    <n v="180.12"/>
    <x v="400"/>
    <x v="4"/>
  </r>
  <r>
    <x v="625"/>
    <s v="Juliana Costa"/>
    <d v="2025-10-30T00:00:00"/>
    <x v="3"/>
    <x v="2"/>
    <x v="2"/>
    <n v="4"/>
    <x v="2"/>
    <n v="0"/>
    <x v="149"/>
    <x v="5"/>
  </r>
  <r>
    <x v="626"/>
    <s v="Patricia Gomes"/>
    <d v="2025-08-12T00:00:00"/>
    <x v="1"/>
    <x v="1"/>
    <x v="5"/>
    <n v="1"/>
    <x v="5"/>
    <n v="0"/>
    <x v="29"/>
    <x v="1"/>
  </r>
  <r>
    <x v="627"/>
    <s v="Maria Oliveira"/>
    <d v="2025-07-31T00:00:00"/>
    <x v="4"/>
    <x v="3"/>
    <x v="12"/>
    <n v="1"/>
    <x v="12"/>
    <n v="0"/>
    <x v="33"/>
    <x v="6"/>
  </r>
  <r>
    <x v="628"/>
    <s v="Beatriz Ribeiro"/>
    <d v="2025-12-05T00:00:00"/>
    <x v="0"/>
    <x v="2"/>
    <x v="11"/>
    <n v="3"/>
    <x v="11"/>
    <n v="0"/>
    <x v="49"/>
    <x v="7"/>
  </r>
  <r>
    <x v="629"/>
    <s v="Carlos Silva"/>
    <d v="2025-02-06T00:00:00"/>
    <x v="4"/>
    <x v="1"/>
    <x v="14"/>
    <n v="2"/>
    <x v="14"/>
    <n v="0.15"/>
    <x v="401"/>
    <x v="5"/>
  </r>
  <r>
    <x v="630"/>
    <s v="Lucas Almeida"/>
    <d v="2025-04-30T00:00:00"/>
    <x v="0"/>
    <x v="0"/>
    <x v="4"/>
    <n v="2"/>
    <x v="4"/>
    <n v="0"/>
    <x v="90"/>
    <x v="0"/>
  </r>
  <r>
    <x v="631"/>
    <s v="Ana Souza"/>
    <d v="2025-03-09T00:00:00"/>
    <x v="2"/>
    <x v="2"/>
    <x v="2"/>
    <n v="1"/>
    <x v="2"/>
    <n v="11.01"/>
    <x v="402"/>
    <x v="1"/>
  </r>
  <r>
    <x v="632"/>
    <s v="Carlos Silva"/>
    <d v="2025-06-23T00:00:00"/>
    <x v="3"/>
    <x v="3"/>
    <x v="12"/>
    <n v="2"/>
    <x v="12"/>
    <n v="0"/>
    <x v="23"/>
    <x v="4"/>
  </r>
  <r>
    <x v="633"/>
    <s v="Carlos Silva"/>
    <d v="2025-05-08T00:00:00"/>
    <x v="1"/>
    <x v="3"/>
    <x v="8"/>
    <n v="5"/>
    <x v="8"/>
    <n v="0"/>
    <x v="58"/>
    <x v="5"/>
  </r>
  <r>
    <x v="634"/>
    <s v="João Pereira"/>
    <d v="2025-02-16T00:00:00"/>
    <x v="4"/>
    <x v="1"/>
    <x v="14"/>
    <n v="5"/>
    <x v="14"/>
    <n v="25.77"/>
    <x v="403"/>
    <x v="3"/>
  </r>
  <r>
    <x v="635"/>
    <s v="Ana Souza"/>
    <d v="2025-04-19T00:00:00"/>
    <x v="2"/>
    <x v="2"/>
    <x v="2"/>
    <n v="5"/>
    <x v="2"/>
    <n v="0"/>
    <x v="57"/>
    <x v="0"/>
  </r>
  <r>
    <x v="636"/>
    <s v="Ricardo Carvalho"/>
    <d v="2025-11-07T00:00:00"/>
    <x v="2"/>
    <x v="0"/>
    <x v="0"/>
    <n v="5"/>
    <x v="0"/>
    <n v="426.42"/>
    <x v="404"/>
    <x v="7"/>
  </r>
  <r>
    <x v="637"/>
    <s v="Beatriz Ribeiro"/>
    <d v="2025-09-25T00:00:00"/>
    <x v="4"/>
    <x v="3"/>
    <x v="8"/>
    <n v="1"/>
    <x v="8"/>
    <n v="0"/>
    <x v="56"/>
    <x v="0"/>
  </r>
  <r>
    <x v="638"/>
    <s v="Beatriz Ribeiro"/>
    <d v="2025-03-01T00:00:00"/>
    <x v="1"/>
    <x v="1"/>
    <x v="5"/>
    <n v="4"/>
    <x v="5"/>
    <n v="0"/>
    <x v="95"/>
    <x v="1"/>
  </r>
  <r>
    <x v="639"/>
    <s v="Fernanda Lima"/>
    <d v="2026-01-01T00:00:00"/>
    <x v="4"/>
    <x v="3"/>
    <x v="8"/>
    <n v="2"/>
    <x v="8"/>
    <n v="0"/>
    <x v="13"/>
    <x v="7"/>
  </r>
  <r>
    <x v="640"/>
    <s v="Lucas Almeida"/>
    <d v="2025-05-23T00:00:00"/>
    <x v="3"/>
    <x v="1"/>
    <x v="1"/>
    <n v="5"/>
    <x v="1"/>
    <n v="0"/>
    <x v="158"/>
    <x v="5"/>
  </r>
  <r>
    <x v="641"/>
    <s v="Marcos Rodrigues"/>
    <d v="2025-06-28T00:00:00"/>
    <x v="0"/>
    <x v="1"/>
    <x v="5"/>
    <n v="5"/>
    <x v="5"/>
    <n v="1.81"/>
    <x v="405"/>
    <x v="5"/>
  </r>
  <r>
    <x v="642"/>
    <s v="Beatriz Ribeiro"/>
    <d v="2025-08-23T00:00:00"/>
    <x v="4"/>
    <x v="1"/>
    <x v="9"/>
    <n v="4"/>
    <x v="9"/>
    <n v="15.21"/>
    <x v="406"/>
    <x v="1"/>
  </r>
  <r>
    <x v="643"/>
    <s v="Beatriz Ribeiro"/>
    <d v="2025-12-07T00:00:00"/>
    <x v="4"/>
    <x v="0"/>
    <x v="13"/>
    <n v="5"/>
    <x v="13"/>
    <n v="0"/>
    <x v="90"/>
    <x v="3"/>
  </r>
  <r>
    <x v="644"/>
    <s v="João Pereira"/>
    <d v="2025-03-09T00:00:00"/>
    <x v="2"/>
    <x v="3"/>
    <x v="12"/>
    <n v="5"/>
    <x v="12"/>
    <n v="747.75"/>
    <x v="407"/>
    <x v="5"/>
  </r>
  <r>
    <x v="645"/>
    <s v="João Pereira"/>
    <d v="2025-07-12T00:00:00"/>
    <x v="4"/>
    <x v="1"/>
    <x v="1"/>
    <n v="1"/>
    <x v="1"/>
    <n v="0"/>
    <x v="160"/>
    <x v="2"/>
  </r>
  <r>
    <x v="646"/>
    <s v="Roberto Santos"/>
    <d v="2025-12-07T00:00:00"/>
    <x v="0"/>
    <x v="2"/>
    <x v="10"/>
    <n v="4"/>
    <x v="10"/>
    <n v="108.02"/>
    <x v="408"/>
    <x v="2"/>
  </r>
  <r>
    <x v="647"/>
    <s v="Marcos Rodrigues"/>
    <d v="2025-06-23T00:00:00"/>
    <x v="3"/>
    <x v="1"/>
    <x v="5"/>
    <n v="2"/>
    <x v="5"/>
    <n v="0"/>
    <x v="8"/>
    <x v="4"/>
  </r>
  <r>
    <x v="648"/>
    <s v="Lucas Almeida"/>
    <d v="2025-05-31T00:00:00"/>
    <x v="1"/>
    <x v="1"/>
    <x v="5"/>
    <n v="1"/>
    <x v="5"/>
    <n v="1.99"/>
    <x v="409"/>
    <x v="4"/>
  </r>
  <r>
    <x v="649"/>
    <s v="Lucas Almeida"/>
    <d v="2025-12-15T00:00:00"/>
    <x v="3"/>
    <x v="0"/>
    <x v="4"/>
    <n v="4"/>
    <x v="4"/>
    <n v="0"/>
    <x v="251"/>
    <x v="3"/>
  </r>
  <r>
    <x v="650"/>
    <s v="Carlos Silva"/>
    <d v="2025-02-12T00:00:00"/>
    <x v="4"/>
    <x v="3"/>
    <x v="7"/>
    <n v="5"/>
    <x v="7"/>
    <n v="306.52999999999997"/>
    <x v="410"/>
    <x v="3"/>
  </r>
  <r>
    <x v="651"/>
    <s v="Maria Oliveira"/>
    <d v="2025-07-08T00:00:00"/>
    <x v="2"/>
    <x v="2"/>
    <x v="2"/>
    <n v="5"/>
    <x v="2"/>
    <n v="37.299999999999997"/>
    <x v="411"/>
    <x v="0"/>
  </r>
  <r>
    <x v="652"/>
    <s v="Lucas Almeida"/>
    <d v="2025-07-26T00:00:00"/>
    <x v="3"/>
    <x v="2"/>
    <x v="11"/>
    <n v="2"/>
    <x v="11"/>
    <n v="42.01"/>
    <x v="412"/>
    <x v="6"/>
  </r>
  <r>
    <x v="653"/>
    <s v="Ana Souza"/>
    <d v="2025-05-22T00:00:00"/>
    <x v="3"/>
    <x v="0"/>
    <x v="15"/>
    <n v="3"/>
    <x v="15"/>
    <n v="0"/>
    <x v="126"/>
    <x v="6"/>
  </r>
  <r>
    <x v="654"/>
    <s v="Ricardo Carvalho"/>
    <d v="2025-12-17T00:00:00"/>
    <x v="4"/>
    <x v="2"/>
    <x v="10"/>
    <n v="1"/>
    <x v="10"/>
    <n v="26.36"/>
    <x v="413"/>
    <x v="4"/>
  </r>
  <r>
    <x v="655"/>
    <s v="Carlos Silva"/>
    <d v="2025-10-10T00:00:00"/>
    <x v="0"/>
    <x v="3"/>
    <x v="3"/>
    <n v="1"/>
    <x v="3"/>
    <n v="19.649999999999999"/>
    <x v="414"/>
    <x v="4"/>
  </r>
  <r>
    <x v="656"/>
    <s v="Carlos Silva"/>
    <d v="2025-12-22T00:00:00"/>
    <x v="1"/>
    <x v="3"/>
    <x v="12"/>
    <n v="3"/>
    <x v="12"/>
    <n v="570.78"/>
    <x v="415"/>
    <x v="4"/>
  </r>
  <r>
    <x v="657"/>
    <s v="Carlos Silva"/>
    <d v="2025-05-15T00:00:00"/>
    <x v="4"/>
    <x v="1"/>
    <x v="14"/>
    <n v="2"/>
    <x v="14"/>
    <n v="16.559999999999999"/>
    <x v="416"/>
    <x v="4"/>
  </r>
  <r>
    <x v="658"/>
    <s v="Lucas Almeida"/>
    <d v="2025-07-16T00:00:00"/>
    <x v="0"/>
    <x v="3"/>
    <x v="7"/>
    <n v="3"/>
    <x v="7"/>
    <n v="28.41"/>
    <x v="417"/>
    <x v="4"/>
  </r>
  <r>
    <x v="659"/>
    <s v="Beatriz Ribeiro"/>
    <d v="2025-08-31T00:00:00"/>
    <x v="2"/>
    <x v="2"/>
    <x v="2"/>
    <n v="1"/>
    <x v="2"/>
    <n v="0.65"/>
    <x v="418"/>
    <x v="2"/>
  </r>
  <r>
    <x v="660"/>
    <s v="Ana Souza"/>
    <d v="2025-04-08T00:00:00"/>
    <x v="3"/>
    <x v="2"/>
    <x v="11"/>
    <n v="5"/>
    <x v="11"/>
    <n v="0"/>
    <x v="147"/>
    <x v="5"/>
  </r>
  <r>
    <x v="661"/>
    <s v="Ana Souza"/>
    <d v="2025-06-26T00:00:00"/>
    <x v="0"/>
    <x v="2"/>
    <x v="10"/>
    <n v="3"/>
    <x v="10"/>
    <n v="0"/>
    <x v="18"/>
    <x v="4"/>
  </r>
  <r>
    <x v="662"/>
    <s v="João Pereira"/>
    <d v="2025-07-17T00:00:00"/>
    <x v="4"/>
    <x v="3"/>
    <x v="8"/>
    <n v="4"/>
    <x v="8"/>
    <n v="1148.6300000000001"/>
    <x v="419"/>
    <x v="2"/>
  </r>
  <r>
    <x v="663"/>
    <s v="Lucas Almeida"/>
    <d v="2025-01-15T00:00:00"/>
    <x v="2"/>
    <x v="1"/>
    <x v="9"/>
    <n v="3"/>
    <x v="9"/>
    <n v="0.95"/>
    <x v="420"/>
    <x v="6"/>
  </r>
  <r>
    <x v="664"/>
    <s v="Fernanda Lima"/>
    <d v="2025-07-30T00:00:00"/>
    <x v="1"/>
    <x v="0"/>
    <x v="13"/>
    <n v="1"/>
    <x v="13"/>
    <n v="0"/>
    <x v="95"/>
    <x v="4"/>
  </r>
  <r>
    <x v="665"/>
    <s v="Juliana Costa"/>
    <d v="2025-10-10T00:00:00"/>
    <x v="3"/>
    <x v="1"/>
    <x v="9"/>
    <n v="4"/>
    <x v="9"/>
    <n v="0"/>
    <x v="34"/>
    <x v="6"/>
  </r>
  <r>
    <x v="666"/>
    <s v="Carlos Silva"/>
    <d v="2025-09-19T00:00:00"/>
    <x v="4"/>
    <x v="2"/>
    <x v="10"/>
    <n v="5"/>
    <x v="10"/>
    <n v="0"/>
    <x v="155"/>
    <x v="7"/>
  </r>
  <r>
    <x v="667"/>
    <s v="Juliana Costa"/>
    <d v="2025-01-24T00:00:00"/>
    <x v="0"/>
    <x v="2"/>
    <x v="10"/>
    <n v="3"/>
    <x v="10"/>
    <n v="52.26"/>
    <x v="421"/>
    <x v="4"/>
  </r>
  <r>
    <x v="668"/>
    <s v="Patricia Gomes"/>
    <d v="2025-01-13T00:00:00"/>
    <x v="3"/>
    <x v="3"/>
    <x v="12"/>
    <n v="3"/>
    <x v="12"/>
    <n v="0"/>
    <x v="28"/>
    <x v="0"/>
  </r>
  <r>
    <x v="669"/>
    <s v="Roberto Santos"/>
    <d v="2025-05-24T00:00:00"/>
    <x v="3"/>
    <x v="2"/>
    <x v="6"/>
    <n v="5"/>
    <x v="6"/>
    <n v="68.03"/>
    <x v="422"/>
    <x v="2"/>
  </r>
  <r>
    <x v="670"/>
    <s v="João Pereira"/>
    <d v="2026-01-18T00:00:00"/>
    <x v="3"/>
    <x v="1"/>
    <x v="1"/>
    <n v="4"/>
    <x v="1"/>
    <n v="3.15"/>
    <x v="423"/>
    <x v="2"/>
  </r>
  <r>
    <x v="671"/>
    <s v="Fernanda Lima"/>
    <d v="2025-11-09T00:00:00"/>
    <x v="4"/>
    <x v="3"/>
    <x v="8"/>
    <n v="4"/>
    <x v="8"/>
    <n v="0"/>
    <x v="280"/>
    <x v="0"/>
  </r>
  <r>
    <x v="672"/>
    <s v="Marcos Rodrigues"/>
    <d v="2025-06-16T00:00:00"/>
    <x v="3"/>
    <x v="3"/>
    <x v="3"/>
    <n v="5"/>
    <x v="3"/>
    <n v="0"/>
    <x v="301"/>
    <x v="3"/>
  </r>
  <r>
    <x v="673"/>
    <s v="Lucas Almeida"/>
    <d v="2025-08-20T00:00:00"/>
    <x v="0"/>
    <x v="2"/>
    <x v="2"/>
    <n v="2"/>
    <x v="2"/>
    <n v="0"/>
    <x v="21"/>
    <x v="2"/>
  </r>
  <r>
    <x v="674"/>
    <s v="Beatriz Ribeiro"/>
    <d v="2025-04-24T00:00:00"/>
    <x v="4"/>
    <x v="2"/>
    <x v="2"/>
    <n v="3"/>
    <x v="2"/>
    <n v="18.45"/>
    <x v="424"/>
    <x v="5"/>
  </r>
  <r>
    <x v="675"/>
    <s v="Beatriz Ribeiro"/>
    <d v="2025-09-24T00:00:00"/>
    <x v="3"/>
    <x v="3"/>
    <x v="3"/>
    <n v="1"/>
    <x v="3"/>
    <n v="2.25"/>
    <x v="425"/>
    <x v="3"/>
  </r>
  <r>
    <x v="676"/>
    <s v="Ricardo Carvalho"/>
    <d v="2025-12-31T00:00:00"/>
    <x v="4"/>
    <x v="2"/>
    <x v="2"/>
    <n v="2"/>
    <x v="2"/>
    <n v="0"/>
    <x v="21"/>
    <x v="1"/>
  </r>
  <r>
    <x v="677"/>
    <s v="Lucas Almeida"/>
    <d v="2025-10-10T00:00:00"/>
    <x v="2"/>
    <x v="1"/>
    <x v="9"/>
    <n v="2"/>
    <x v="9"/>
    <n v="2.83"/>
    <x v="426"/>
    <x v="0"/>
  </r>
  <r>
    <x v="678"/>
    <s v="Lucas Almeida"/>
    <d v="2025-01-30T00:00:00"/>
    <x v="2"/>
    <x v="1"/>
    <x v="5"/>
    <n v="3"/>
    <x v="5"/>
    <n v="4.5599999999999996"/>
    <x v="427"/>
    <x v="6"/>
  </r>
  <r>
    <x v="679"/>
    <s v="Fernanda Lima"/>
    <d v="2025-12-14T00:00:00"/>
    <x v="0"/>
    <x v="1"/>
    <x v="9"/>
    <n v="2"/>
    <x v="9"/>
    <n v="9.0299999999999994"/>
    <x v="428"/>
    <x v="3"/>
  </r>
  <r>
    <x v="680"/>
    <s v="Marcos Rodrigues"/>
    <d v="2025-03-09T00:00:00"/>
    <x v="4"/>
    <x v="3"/>
    <x v="7"/>
    <n v="2"/>
    <x v="7"/>
    <n v="0"/>
    <x v="10"/>
    <x v="4"/>
  </r>
  <r>
    <x v="681"/>
    <s v="Ricardo Carvalho"/>
    <d v="2025-10-09T00:00:00"/>
    <x v="2"/>
    <x v="2"/>
    <x v="6"/>
    <n v="3"/>
    <x v="6"/>
    <n v="71.75"/>
    <x v="429"/>
    <x v="0"/>
  </r>
  <r>
    <x v="682"/>
    <s v="Maria Oliveira"/>
    <d v="2025-03-27T00:00:00"/>
    <x v="4"/>
    <x v="1"/>
    <x v="5"/>
    <n v="3"/>
    <x v="5"/>
    <n v="0"/>
    <x v="161"/>
    <x v="5"/>
  </r>
  <r>
    <x v="683"/>
    <s v="Juliana Costa"/>
    <d v="2025-03-17T00:00:00"/>
    <x v="1"/>
    <x v="2"/>
    <x v="10"/>
    <n v="5"/>
    <x v="10"/>
    <n v="0"/>
    <x v="155"/>
    <x v="1"/>
  </r>
  <r>
    <x v="684"/>
    <s v="Marcos Rodrigues"/>
    <d v="2025-11-17T00:00:00"/>
    <x v="0"/>
    <x v="2"/>
    <x v="10"/>
    <n v="2"/>
    <x v="10"/>
    <n v="64.17"/>
    <x v="430"/>
    <x v="0"/>
  </r>
  <r>
    <x v="685"/>
    <s v="Juliana Costa"/>
    <d v="2025-09-29T00:00:00"/>
    <x v="3"/>
    <x v="0"/>
    <x v="13"/>
    <n v="5"/>
    <x v="13"/>
    <n v="0"/>
    <x v="90"/>
    <x v="5"/>
  </r>
  <r>
    <x v="686"/>
    <s v="Maria Oliveira"/>
    <d v="2025-12-31T00:00:00"/>
    <x v="4"/>
    <x v="1"/>
    <x v="1"/>
    <n v="3"/>
    <x v="1"/>
    <n v="0"/>
    <x v="1"/>
    <x v="7"/>
  </r>
  <r>
    <x v="687"/>
    <s v="Roberto Santos"/>
    <d v="2025-01-02T00:00:00"/>
    <x v="3"/>
    <x v="3"/>
    <x v="3"/>
    <n v="2"/>
    <x v="3"/>
    <n v="0"/>
    <x v="190"/>
    <x v="3"/>
  </r>
  <r>
    <x v="688"/>
    <s v="Patricia Gomes"/>
    <d v="2025-11-15T00:00:00"/>
    <x v="4"/>
    <x v="0"/>
    <x v="15"/>
    <n v="2"/>
    <x v="15"/>
    <n v="0"/>
    <x v="61"/>
    <x v="2"/>
  </r>
  <r>
    <x v="689"/>
    <s v="Ricardo Carvalho"/>
    <d v="2025-05-12T00:00:00"/>
    <x v="2"/>
    <x v="0"/>
    <x v="0"/>
    <n v="1"/>
    <x v="0"/>
    <n v="85.71"/>
    <x v="431"/>
    <x v="2"/>
  </r>
  <r>
    <x v="690"/>
    <s v="Lucas Almeida"/>
    <d v="2025-06-10T00:00:00"/>
    <x v="3"/>
    <x v="3"/>
    <x v="3"/>
    <n v="5"/>
    <x v="3"/>
    <n v="40.08"/>
    <x v="432"/>
    <x v="4"/>
  </r>
  <r>
    <x v="691"/>
    <s v="Carlos Silva"/>
    <d v="2025-11-27T00:00:00"/>
    <x v="0"/>
    <x v="1"/>
    <x v="14"/>
    <n v="2"/>
    <x v="14"/>
    <n v="0"/>
    <x v="171"/>
    <x v="1"/>
  </r>
  <r>
    <x v="692"/>
    <s v="Patricia Gomes"/>
    <d v="2025-09-12T00:00:00"/>
    <x v="0"/>
    <x v="2"/>
    <x v="2"/>
    <n v="5"/>
    <x v="2"/>
    <n v="49.37"/>
    <x v="433"/>
    <x v="2"/>
  </r>
  <r>
    <x v="693"/>
    <s v="Maria Oliveira"/>
    <d v="2025-07-12T00:00:00"/>
    <x v="2"/>
    <x v="3"/>
    <x v="3"/>
    <n v="3"/>
    <x v="3"/>
    <n v="0"/>
    <x v="310"/>
    <x v="2"/>
  </r>
  <r>
    <x v="694"/>
    <s v="João Pereira"/>
    <d v="2025-11-01T00:00:00"/>
    <x v="3"/>
    <x v="2"/>
    <x v="2"/>
    <n v="3"/>
    <x v="2"/>
    <n v="0"/>
    <x v="146"/>
    <x v="1"/>
  </r>
  <r>
    <x v="695"/>
    <s v="Ricardo Carvalho"/>
    <d v="2025-06-16T00:00:00"/>
    <x v="2"/>
    <x v="2"/>
    <x v="10"/>
    <n v="5"/>
    <x v="10"/>
    <n v="0"/>
    <x v="155"/>
    <x v="5"/>
  </r>
  <r>
    <x v="696"/>
    <s v="Roberto Santos"/>
    <d v="2025-07-28T00:00:00"/>
    <x v="0"/>
    <x v="1"/>
    <x v="1"/>
    <n v="5"/>
    <x v="1"/>
    <n v="60.73"/>
    <x v="434"/>
    <x v="7"/>
  </r>
  <r>
    <x v="697"/>
    <s v="Maria Oliveira"/>
    <d v="2025-02-19T00:00:00"/>
    <x v="2"/>
    <x v="0"/>
    <x v="4"/>
    <n v="4"/>
    <x v="4"/>
    <n v="0"/>
    <x v="251"/>
    <x v="2"/>
  </r>
  <r>
    <x v="698"/>
    <s v="Beatriz Ribeiro"/>
    <d v="2025-08-25T00:00:00"/>
    <x v="2"/>
    <x v="0"/>
    <x v="0"/>
    <n v="2"/>
    <x v="0"/>
    <n v="135.86000000000001"/>
    <x v="435"/>
    <x v="0"/>
  </r>
  <r>
    <x v="699"/>
    <s v="Fernanda Lima"/>
    <d v="2025-10-28T00:00:00"/>
    <x v="2"/>
    <x v="3"/>
    <x v="3"/>
    <n v="2"/>
    <x v="3"/>
    <n v="0"/>
    <x v="190"/>
    <x v="1"/>
  </r>
  <r>
    <x v="700"/>
    <s v="Roberto Santos"/>
    <d v="2025-12-15T00:00:00"/>
    <x v="3"/>
    <x v="2"/>
    <x v="10"/>
    <n v="1"/>
    <x v="10"/>
    <n v="26.23"/>
    <x v="436"/>
    <x v="3"/>
  </r>
  <r>
    <x v="701"/>
    <s v="Carlos Silva"/>
    <d v="2025-03-14T00:00:00"/>
    <x v="3"/>
    <x v="0"/>
    <x v="15"/>
    <n v="5"/>
    <x v="15"/>
    <n v="195.27"/>
    <x v="437"/>
    <x v="1"/>
  </r>
  <r>
    <x v="702"/>
    <s v="Fernanda Lima"/>
    <d v="2025-12-25T00:00:00"/>
    <x v="0"/>
    <x v="3"/>
    <x v="8"/>
    <n v="1"/>
    <x v="8"/>
    <n v="0"/>
    <x v="56"/>
    <x v="3"/>
  </r>
  <r>
    <x v="703"/>
    <s v="Roberto Santos"/>
    <d v="2025-04-26T00:00:00"/>
    <x v="4"/>
    <x v="0"/>
    <x v="15"/>
    <n v="4"/>
    <x v="15"/>
    <n v="54.94"/>
    <x v="438"/>
    <x v="0"/>
  </r>
  <r>
    <x v="704"/>
    <s v="João Pereira"/>
    <d v="2025-04-13T00:00:00"/>
    <x v="4"/>
    <x v="0"/>
    <x v="15"/>
    <n v="2"/>
    <x v="15"/>
    <n v="13.93"/>
    <x v="439"/>
    <x v="2"/>
  </r>
  <r>
    <x v="705"/>
    <s v="Carlos Silva"/>
    <d v="2025-02-23T00:00:00"/>
    <x v="4"/>
    <x v="3"/>
    <x v="7"/>
    <n v="3"/>
    <x v="7"/>
    <n v="0"/>
    <x v="246"/>
    <x v="7"/>
  </r>
  <r>
    <x v="706"/>
    <s v="Carlos Silva"/>
    <d v="2025-09-08T00:00:00"/>
    <x v="4"/>
    <x v="3"/>
    <x v="7"/>
    <n v="1"/>
    <x v="7"/>
    <n v="50.98"/>
    <x v="440"/>
    <x v="5"/>
  </r>
  <r>
    <x v="707"/>
    <s v="Fernanda Lima"/>
    <d v="2026-01-16T00:00:00"/>
    <x v="4"/>
    <x v="3"/>
    <x v="3"/>
    <n v="4"/>
    <x v="3"/>
    <n v="0"/>
    <x v="210"/>
    <x v="3"/>
  </r>
  <r>
    <x v="708"/>
    <s v="Marcos Rodrigues"/>
    <d v="2025-09-02T00:00:00"/>
    <x v="3"/>
    <x v="0"/>
    <x v="15"/>
    <n v="2"/>
    <x v="15"/>
    <n v="37.89"/>
    <x v="441"/>
    <x v="2"/>
  </r>
  <r>
    <x v="709"/>
    <s v="Ana Souza"/>
    <d v="2025-09-12T00:00:00"/>
    <x v="0"/>
    <x v="0"/>
    <x v="4"/>
    <n v="1"/>
    <x v="4"/>
    <n v="9.99"/>
    <x v="442"/>
    <x v="2"/>
  </r>
  <r>
    <x v="710"/>
    <s v="Patricia Gomes"/>
    <d v="2025-10-16T00:00:00"/>
    <x v="3"/>
    <x v="0"/>
    <x v="0"/>
    <n v="3"/>
    <x v="0"/>
    <n v="177.09"/>
    <x v="443"/>
    <x v="0"/>
  </r>
  <r>
    <x v="711"/>
    <s v="Carlos Silva"/>
    <d v="2025-11-13T00:00:00"/>
    <x v="3"/>
    <x v="0"/>
    <x v="4"/>
    <n v="5"/>
    <x v="4"/>
    <n v="190.48"/>
    <x v="444"/>
    <x v="4"/>
  </r>
  <r>
    <x v="712"/>
    <s v="Roberto Santos"/>
    <d v="2025-08-24T00:00:00"/>
    <x v="0"/>
    <x v="2"/>
    <x v="11"/>
    <n v="1"/>
    <x v="11"/>
    <n v="0"/>
    <x v="63"/>
    <x v="4"/>
  </r>
  <r>
    <x v="713"/>
    <s v="Ricardo Carvalho"/>
    <d v="2026-02-05T00:00:00"/>
    <x v="0"/>
    <x v="2"/>
    <x v="11"/>
    <n v="2"/>
    <x v="11"/>
    <n v="0.89"/>
    <x v="445"/>
    <x v="2"/>
  </r>
  <r>
    <x v="714"/>
    <s v="Juliana Costa"/>
    <d v="2025-09-22T00:00:00"/>
    <x v="4"/>
    <x v="1"/>
    <x v="5"/>
    <n v="3"/>
    <x v="5"/>
    <n v="20.02"/>
    <x v="446"/>
    <x v="4"/>
  </r>
  <r>
    <x v="715"/>
    <s v="Patricia Gomes"/>
    <d v="2025-12-24T00:00:00"/>
    <x v="1"/>
    <x v="3"/>
    <x v="12"/>
    <n v="2"/>
    <x v="12"/>
    <n v="1208.1099999999999"/>
    <x v="447"/>
    <x v="4"/>
  </r>
  <r>
    <x v="716"/>
    <s v="Roberto Santos"/>
    <d v="2025-10-24T00:00:00"/>
    <x v="4"/>
    <x v="3"/>
    <x v="8"/>
    <n v="1"/>
    <x v="8"/>
    <n v="0"/>
    <x v="56"/>
    <x v="2"/>
  </r>
  <r>
    <x v="717"/>
    <s v="Sem Dados"/>
    <d v="2025-12-16T00:00:00"/>
    <x v="2"/>
    <x v="2"/>
    <x v="6"/>
    <n v="1"/>
    <x v="6"/>
    <n v="0"/>
    <x v="187"/>
    <x v="3"/>
  </r>
  <r>
    <x v="718"/>
    <s v="Patricia Gomes"/>
    <d v="2025-12-29T00:00:00"/>
    <x v="0"/>
    <x v="0"/>
    <x v="15"/>
    <n v="2"/>
    <x v="15"/>
    <n v="94.2"/>
    <x v="448"/>
    <x v="5"/>
  </r>
  <r>
    <x v="719"/>
    <s v="Ricardo Carvalho"/>
    <d v="2025-05-01T00:00:00"/>
    <x v="3"/>
    <x v="2"/>
    <x v="10"/>
    <n v="2"/>
    <x v="10"/>
    <n v="0"/>
    <x v="116"/>
    <x v="4"/>
  </r>
  <r>
    <x v="720"/>
    <s v="Lucas Almeida"/>
    <d v="2025-05-03T00:00:00"/>
    <x v="1"/>
    <x v="2"/>
    <x v="2"/>
    <n v="3"/>
    <x v="2"/>
    <n v="19.510000000000002"/>
    <x v="449"/>
    <x v="4"/>
  </r>
  <r>
    <x v="721"/>
    <s v="Marcos Rodrigues"/>
    <d v="2025-06-12T00:00:00"/>
    <x v="1"/>
    <x v="1"/>
    <x v="14"/>
    <n v="2"/>
    <x v="14"/>
    <n v="8.92"/>
    <x v="450"/>
    <x v="0"/>
  </r>
  <r>
    <x v="722"/>
    <s v="Juliana Costa"/>
    <d v="2025-04-11T00:00:00"/>
    <x v="1"/>
    <x v="3"/>
    <x v="7"/>
    <n v="4"/>
    <x v="7"/>
    <n v="0"/>
    <x v="44"/>
    <x v="2"/>
  </r>
  <r>
    <x v="723"/>
    <s v="Fernanda Lima"/>
    <d v="2025-01-14T00:00:00"/>
    <x v="0"/>
    <x v="1"/>
    <x v="1"/>
    <n v="1"/>
    <x v="1"/>
    <n v="4.71"/>
    <x v="451"/>
    <x v="6"/>
  </r>
  <r>
    <x v="724"/>
    <s v="Ana Souza"/>
    <d v="2025-07-01T00:00:00"/>
    <x v="4"/>
    <x v="0"/>
    <x v="0"/>
    <n v="3"/>
    <x v="0"/>
    <n v="52.82"/>
    <x v="452"/>
    <x v="2"/>
  </r>
  <r>
    <x v="725"/>
    <s v="Juliana Costa"/>
    <d v="2026-01-26T00:00:00"/>
    <x v="1"/>
    <x v="2"/>
    <x v="2"/>
    <n v="5"/>
    <x v="2"/>
    <n v="0"/>
    <x v="57"/>
    <x v="7"/>
  </r>
  <r>
    <x v="726"/>
    <s v="Ricardo Carvalho"/>
    <d v="2025-01-22T00:00:00"/>
    <x v="2"/>
    <x v="0"/>
    <x v="15"/>
    <n v="5"/>
    <x v="15"/>
    <n v="0"/>
    <x v="152"/>
    <x v="5"/>
  </r>
  <r>
    <x v="727"/>
    <s v="Fernanda Lima"/>
    <d v="2025-12-25T00:00:00"/>
    <x v="0"/>
    <x v="1"/>
    <x v="9"/>
    <n v="1"/>
    <x v="9"/>
    <n v="0"/>
    <x v="215"/>
    <x v="3"/>
  </r>
  <r>
    <x v="728"/>
    <s v="João Pereira"/>
    <d v="2025-10-04T00:00:00"/>
    <x v="2"/>
    <x v="3"/>
    <x v="8"/>
    <n v="4"/>
    <x v="8"/>
    <n v="1114.42"/>
    <x v="453"/>
    <x v="6"/>
  </r>
  <r>
    <x v="729"/>
    <s v="Ana Souza"/>
    <d v="2026-01-07T00:00:00"/>
    <x v="4"/>
    <x v="2"/>
    <x v="11"/>
    <n v="1"/>
    <x v="11"/>
    <n v="0"/>
    <x v="63"/>
    <x v="7"/>
  </r>
  <r>
    <x v="730"/>
    <s v="Carlos Silva"/>
    <d v="2025-06-28T00:00:00"/>
    <x v="2"/>
    <x v="0"/>
    <x v="13"/>
    <n v="4"/>
    <x v="13"/>
    <n v="40.5"/>
    <x v="454"/>
    <x v="5"/>
  </r>
  <r>
    <x v="731"/>
    <s v="Marcos Rodrigues"/>
    <d v="2025-10-03T00:00:00"/>
    <x v="4"/>
    <x v="2"/>
    <x v="10"/>
    <n v="4"/>
    <x v="10"/>
    <n v="0"/>
    <x v="348"/>
    <x v="0"/>
  </r>
  <r>
    <x v="732"/>
    <s v="Fernanda Lima"/>
    <d v="2025-08-04T00:00:00"/>
    <x v="0"/>
    <x v="3"/>
    <x v="7"/>
    <n v="4"/>
    <x v="7"/>
    <n v="181.27"/>
    <x v="455"/>
    <x v="6"/>
  </r>
  <r>
    <x v="733"/>
    <s v="Roberto Santos"/>
    <d v="2025-06-01T00:00:00"/>
    <x v="2"/>
    <x v="3"/>
    <x v="7"/>
    <n v="2"/>
    <x v="7"/>
    <n v="0"/>
    <x v="10"/>
    <x v="3"/>
  </r>
  <r>
    <x v="734"/>
    <s v="Marcos Rodrigues"/>
    <d v="2025-05-10T00:00:00"/>
    <x v="1"/>
    <x v="0"/>
    <x v="15"/>
    <n v="2"/>
    <x v="15"/>
    <n v="0"/>
    <x v="61"/>
    <x v="3"/>
  </r>
  <r>
    <x v="735"/>
    <s v="Roberto Santos"/>
    <d v="2025-12-30T00:00:00"/>
    <x v="2"/>
    <x v="2"/>
    <x v="6"/>
    <n v="1"/>
    <x v="6"/>
    <n v="0"/>
    <x v="187"/>
    <x v="4"/>
  </r>
  <r>
    <x v="736"/>
    <s v="Ricardo Carvalho"/>
    <d v="2025-05-12T00:00:00"/>
    <x v="0"/>
    <x v="2"/>
    <x v="10"/>
    <n v="5"/>
    <x v="10"/>
    <n v="84.31"/>
    <x v="456"/>
    <x v="2"/>
  </r>
  <r>
    <x v="737"/>
    <s v="Roberto Santos"/>
    <d v="2025-02-25T00:00:00"/>
    <x v="0"/>
    <x v="1"/>
    <x v="1"/>
    <n v="1"/>
    <x v="1"/>
    <n v="12.9"/>
    <x v="457"/>
    <x v="7"/>
  </r>
  <r>
    <x v="738"/>
    <s v="Lucas Almeida"/>
    <d v="2026-01-23T00:00:00"/>
    <x v="2"/>
    <x v="1"/>
    <x v="5"/>
    <n v="4"/>
    <x v="5"/>
    <n v="0"/>
    <x v="95"/>
    <x v="4"/>
  </r>
  <r>
    <x v="739"/>
    <s v="Juliana Costa"/>
    <d v="2025-08-06T00:00:00"/>
    <x v="4"/>
    <x v="2"/>
    <x v="6"/>
    <n v="1"/>
    <x v="6"/>
    <n v="0"/>
    <x v="187"/>
    <x v="5"/>
  </r>
  <r>
    <x v="740"/>
    <s v="Juliana Costa"/>
    <d v="2025-03-13T00:00:00"/>
    <x v="1"/>
    <x v="0"/>
    <x v="15"/>
    <n v="3"/>
    <x v="15"/>
    <n v="0"/>
    <x v="126"/>
    <x v="5"/>
  </r>
  <r>
    <x v="741"/>
    <s v="Beatriz Ribeiro"/>
    <d v="2025-01-14T00:00:00"/>
    <x v="1"/>
    <x v="1"/>
    <x v="9"/>
    <n v="5"/>
    <x v="9"/>
    <n v="22.45"/>
    <x v="458"/>
    <x v="2"/>
  </r>
  <r>
    <x v="742"/>
    <s v="Maria Oliveira"/>
    <d v="2025-05-11T00:00:00"/>
    <x v="1"/>
    <x v="2"/>
    <x v="11"/>
    <n v="2"/>
    <x v="11"/>
    <n v="9.01"/>
    <x v="459"/>
    <x v="4"/>
  </r>
  <r>
    <x v="743"/>
    <s v="Lucas Almeida"/>
    <d v="2025-07-29T00:00:00"/>
    <x v="3"/>
    <x v="1"/>
    <x v="5"/>
    <n v="4"/>
    <x v="5"/>
    <n v="0"/>
    <x v="95"/>
    <x v="1"/>
  </r>
  <r>
    <x v="744"/>
    <s v="Maria Oliveira"/>
    <d v="2025-08-04T00:00:00"/>
    <x v="3"/>
    <x v="3"/>
    <x v="7"/>
    <n v="2"/>
    <x v="7"/>
    <n v="0"/>
    <x v="10"/>
    <x v="6"/>
  </r>
  <r>
    <x v="745"/>
    <s v="Beatriz Ribeiro"/>
    <d v="2026-01-28T00:00:00"/>
    <x v="1"/>
    <x v="2"/>
    <x v="10"/>
    <n v="5"/>
    <x v="10"/>
    <n v="45.43"/>
    <x v="460"/>
    <x v="5"/>
  </r>
  <r>
    <x v="746"/>
    <s v="Lucas Almeida"/>
    <d v="2025-12-21T00:00:00"/>
    <x v="4"/>
    <x v="1"/>
    <x v="1"/>
    <n v="5"/>
    <x v="1"/>
    <n v="0"/>
    <x v="158"/>
    <x v="5"/>
  </r>
  <r>
    <x v="747"/>
    <s v="João Pereira"/>
    <d v="2026-01-07T00:00:00"/>
    <x v="1"/>
    <x v="0"/>
    <x v="4"/>
    <n v="1"/>
    <x v="4"/>
    <n v="0"/>
    <x v="17"/>
    <x v="2"/>
  </r>
  <r>
    <x v="748"/>
    <s v="Ricardo Carvalho"/>
    <d v="2026-02-02T00:00:00"/>
    <x v="1"/>
    <x v="3"/>
    <x v="3"/>
    <n v="4"/>
    <x v="3"/>
    <n v="0"/>
    <x v="210"/>
    <x v="4"/>
  </r>
  <r>
    <x v="749"/>
    <s v="Juliana Costa"/>
    <d v="2025-09-06T00:00:00"/>
    <x v="3"/>
    <x v="3"/>
    <x v="3"/>
    <n v="3"/>
    <x v="3"/>
    <n v="18.7"/>
    <x v="461"/>
    <x v="5"/>
  </r>
  <r>
    <x v="750"/>
    <s v="Lucas Almeida"/>
    <d v="2025-09-08T00:00:00"/>
    <x v="2"/>
    <x v="1"/>
    <x v="9"/>
    <n v="3"/>
    <x v="9"/>
    <n v="3.65"/>
    <x v="462"/>
    <x v="7"/>
  </r>
  <r>
    <x v="751"/>
    <s v="Roberto Santos"/>
    <d v="2025-10-10T00:00:00"/>
    <x v="0"/>
    <x v="0"/>
    <x v="13"/>
    <n v="1"/>
    <x v="13"/>
    <n v="0"/>
    <x v="95"/>
    <x v="4"/>
  </r>
  <r>
    <x v="752"/>
    <s v="Carlos Silva"/>
    <d v="2025-04-10T00:00:00"/>
    <x v="1"/>
    <x v="1"/>
    <x v="1"/>
    <n v="3"/>
    <x v="1"/>
    <n v="6.23"/>
    <x v="463"/>
    <x v="1"/>
  </r>
  <r>
    <x v="753"/>
    <s v="Juliana Costa"/>
    <d v="2025-07-24T00:00:00"/>
    <x v="4"/>
    <x v="3"/>
    <x v="7"/>
    <n v="1"/>
    <x v="7"/>
    <n v="0"/>
    <x v="287"/>
    <x v="5"/>
  </r>
  <r>
    <x v="754"/>
    <s v="Fernanda Lima"/>
    <d v="2026-01-01T00:00:00"/>
    <x v="2"/>
    <x v="0"/>
    <x v="0"/>
    <n v="4"/>
    <x v="0"/>
    <n v="0"/>
    <x v="128"/>
    <x v="6"/>
  </r>
  <r>
    <x v="755"/>
    <s v="Patricia Gomes"/>
    <d v="2025-11-09T00:00:00"/>
    <x v="4"/>
    <x v="3"/>
    <x v="12"/>
    <n v="5"/>
    <x v="12"/>
    <n v="2490"/>
    <x v="464"/>
    <x v="2"/>
  </r>
  <r>
    <x v="756"/>
    <s v="Carlos Silva"/>
    <d v="2025-11-14T00:00:00"/>
    <x v="3"/>
    <x v="1"/>
    <x v="5"/>
    <n v="3"/>
    <x v="5"/>
    <n v="11.56"/>
    <x v="465"/>
    <x v="0"/>
  </r>
  <r>
    <x v="757"/>
    <s v="Carlos Silva"/>
    <d v="2025-03-04T00:00:00"/>
    <x v="3"/>
    <x v="2"/>
    <x v="2"/>
    <n v="3"/>
    <x v="2"/>
    <n v="0"/>
    <x v="146"/>
    <x v="7"/>
  </r>
  <r>
    <x v="758"/>
    <s v="Carlos Silva"/>
    <d v="2025-05-18T00:00:00"/>
    <x v="3"/>
    <x v="0"/>
    <x v="13"/>
    <n v="4"/>
    <x v="13"/>
    <n v="0"/>
    <x v="27"/>
    <x v="5"/>
  </r>
  <r>
    <x v="759"/>
    <s v="Ricardo Carvalho"/>
    <d v="2026-01-19T00:00:00"/>
    <x v="1"/>
    <x v="2"/>
    <x v="2"/>
    <n v="5"/>
    <x v="2"/>
    <n v="48.3"/>
    <x v="466"/>
    <x v="6"/>
  </r>
  <r>
    <x v="760"/>
    <s v="João Pereira"/>
    <d v="2026-01-01T00:00:00"/>
    <x v="4"/>
    <x v="1"/>
    <x v="5"/>
    <n v="2"/>
    <x v="5"/>
    <n v="7.38"/>
    <x v="467"/>
    <x v="2"/>
  </r>
  <r>
    <x v="761"/>
    <s v="Carlos Silva"/>
    <d v="2025-03-01T00:00:00"/>
    <x v="4"/>
    <x v="2"/>
    <x v="2"/>
    <n v="3"/>
    <x v="2"/>
    <n v="0"/>
    <x v="146"/>
    <x v="2"/>
  </r>
  <r>
    <x v="762"/>
    <s v="Ricardo Carvalho"/>
    <d v="2025-06-25T00:00:00"/>
    <x v="2"/>
    <x v="3"/>
    <x v="8"/>
    <n v="1"/>
    <x v="8"/>
    <n v="0"/>
    <x v="56"/>
    <x v="3"/>
  </r>
  <r>
    <x v="763"/>
    <s v="Ana Souza"/>
    <d v="2025-02-14T00:00:00"/>
    <x v="3"/>
    <x v="3"/>
    <x v="3"/>
    <n v="1"/>
    <x v="3"/>
    <n v="22.48"/>
    <x v="468"/>
    <x v="6"/>
  </r>
  <r>
    <x v="764"/>
    <s v="Beatriz Ribeiro"/>
    <d v="2025-11-07T00:00:00"/>
    <x v="0"/>
    <x v="1"/>
    <x v="9"/>
    <n v="2"/>
    <x v="9"/>
    <n v="0"/>
    <x v="227"/>
    <x v="2"/>
  </r>
  <r>
    <x v="765"/>
    <s v="Roberto Santos"/>
    <d v="2025-03-09T00:00:00"/>
    <x v="4"/>
    <x v="3"/>
    <x v="12"/>
    <n v="4"/>
    <x v="12"/>
    <n v="0"/>
    <x v="102"/>
    <x v="7"/>
  </r>
  <r>
    <x v="766"/>
    <s v="Carlos Silva"/>
    <d v="2025-04-25T00:00:00"/>
    <x v="2"/>
    <x v="3"/>
    <x v="3"/>
    <n v="4"/>
    <x v="3"/>
    <n v="0"/>
    <x v="210"/>
    <x v="0"/>
  </r>
  <r>
    <x v="767"/>
    <s v="Maria Oliveira"/>
    <d v="2025-09-09T00:00:00"/>
    <x v="4"/>
    <x v="3"/>
    <x v="3"/>
    <n v="2"/>
    <x v="3"/>
    <n v="0"/>
    <x v="190"/>
    <x v="4"/>
  </r>
  <r>
    <x v="768"/>
    <s v="Fernanda Lima"/>
    <d v="2025-05-23T00:00:00"/>
    <x v="2"/>
    <x v="0"/>
    <x v="4"/>
    <n v="4"/>
    <x v="4"/>
    <n v="0"/>
    <x v="251"/>
    <x v="3"/>
  </r>
  <r>
    <x v="769"/>
    <s v="Roberto Santos"/>
    <d v="2025-06-23T00:00:00"/>
    <x v="2"/>
    <x v="0"/>
    <x v="13"/>
    <n v="1"/>
    <x v="13"/>
    <n v="14.85"/>
    <x v="358"/>
    <x v="6"/>
  </r>
  <r>
    <x v="770"/>
    <s v="João Pereira"/>
    <d v="2025-12-04T00:00:00"/>
    <x v="2"/>
    <x v="0"/>
    <x v="4"/>
    <n v="5"/>
    <x v="4"/>
    <n v="0"/>
    <x v="121"/>
    <x v="0"/>
  </r>
  <r>
    <x v="771"/>
    <s v="Juliana Costa"/>
    <d v="2025-02-28T00:00:00"/>
    <x v="1"/>
    <x v="0"/>
    <x v="13"/>
    <n v="4"/>
    <x v="13"/>
    <n v="12.67"/>
    <x v="469"/>
    <x v="3"/>
  </r>
  <r>
    <x v="772"/>
    <s v="Marcos Rodrigues"/>
    <d v="2025-09-22T00:00:00"/>
    <x v="0"/>
    <x v="3"/>
    <x v="7"/>
    <n v="3"/>
    <x v="7"/>
    <n v="329.15"/>
    <x v="470"/>
    <x v="2"/>
  </r>
  <r>
    <x v="773"/>
    <s v="Juliana Costa"/>
    <d v="2025-03-11T00:00:00"/>
    <x v="2"/>
    <x v="1"/>
    <x v="1"/>
    <n v="3"/>
    <x v="1"/>
    <n v="0"/>
    <x v="1"/>
    <x v="3"/>
  </r>
  <r>
    <x v="774"/>
    <s v="Marcos Rodrigues"/>
    <d v="2025-01-22T00:00:00"/>
    <x v="2"/>
    <x v="1"/>
    <x v="14"/>
    <n v="1"/>
    <x v="14"/>
    <n v="2.57"/>
    <x v="471"/>
    <x v="5"/>
  </r>
  <r>
    <x v="775"/>
    <s v="Lucas Almeida"/>
    <d v="2025-08-01T00:00:00"/>
    <x v="4"/>
    <x v="2"/>
    <x v="6"/>
    <n v="1"/>
    <x v="6"/>
    <n v="2.97"/>
    <x v="472"/>
    <x v="4"/>
  </r>
  <r>
    <x v="776"/>
    <s v="Ricardo Carvalho"/>
    <d v="2025-12-28T00:00:00"/>
    <x v="4"/>
    <x v="1"/>
    <x v="5"/>
    <n v="2"/>
    <x v="5"/>
    <n v="0"/>
    <x v="8"/>
    <x v="4"/>
  </r>
  <r>
    <x v="777"/>
    <s v="Ana Souza"/>
    <d v="2025-09-02T00:00:00"/>
    <x v="2"/>
    <x v="1"/>
    <x v="5"/>
    <n v="4"/>
    <x v="5"/>
    <n v="0"/>
    <x v="95"/>
    <x v="1"/>
  </r>
  <r>
    <x v="778"/>
    <s v="Ana Souza"/>
    <d v="2026-01-25T00:00:00"/>
    <x v="0"/>
    <x v="2"/>
    <x v="6"/>
    <n v="2"/>
    <x v="6"/>
    <n v="0"/>
    <x v="313"/>
    <x v="4"/>
  </r>
  <r>
    <x v="779"/>
    <s v="Roberto Santos"/>
    <d v="2025-03-23T00:00:00"/>
    <x v="0"/>
    <x v="1"/>
    <x v="14"/>
    <n v="5"/>
    <x v="14"/>
    <n v="0"/>
    <x v="92"/>
    <x v="6"/>
  </r>
  <r>
    <x v="780"/>
    <s v="Marcos Rodrigues"/>
    <d v="2025-01-27T00:00:00"/>
    <x v="3"/>
    <x v="1"/>
    <x v="9"/>
    <n v="3"/>
    <x v="9"/>
    <n v="3.54"/>
    <x v="473"/>
    <x v="5"/>
  </r>
  <r>
    <x v="781"/>
    <s v="Fernanda Lima"/>
    <d v="2025-10-08T00:00:00"/>
    <x v="0"/>
    <x v="2"/>
    <x v="2"/>
    <n v="4"/>
    <x v="2"/>
    <n v="0"/>
    <x v="149"/>
    <x v="3"/>
  </r>
  <r>
    <x v="782"/>
    <s v="Lucas Almeida"/>
    <d v="2025-03-27T00:00:00"/>
    <x v="0"/>
    <x v="0"/>
    <x v="13"/>
    <n v="3"/>
    <x v="13"/>
    <n v="0"/>
    <x v="375"/>
    <x v="4"/>
  </r>
  <r>
    <x v="783"/>
    <s v="Marcos Rodrigues"/>
    <d v="2025-07-05T00:00:00"/>
    <x v="4"/>
    <x v="2"/>
    <x v="10"/>
    <n v="3"/>
    <x v="10"/>
    <n v="89.25"/>
    <x v="474"/>
    <x v="1"/>
  </r>
  <r>
    <x v="784"/>
    <s v="Juliana Costa"/>
    <d v="2025-10-09T00:00:00"/>
    <x v="1"/>
    <x v="0"/>
    <x v="13"/>
    <n v="1"/>
    <x v="13"/>
    <n v="0"/>
    <x v="95"/>
    <x v="4"/>
  </r>
  <r>
    <x v="785"/>
    <s v="Fernanda Lima"/>
    <d v="2025-08-15T00:00:00"/>
    <x v="4"/>
    <x v="2"/>
    <x v="11"/>
    <n v="2"/>
    <x v="11"/>
    <n v="28.32"/>
    <x v="475"/>
    <x v="4"/>
  </r>
  <r>
    <x v="786"/>
    <s v="Patricia Gomes"/>
    <d v="2025-05-11T00:00:00"/>
    <x v="2"/>
    <x v="3"/>
    <x v="12"/>
    <n v="3"/>
    <x v="12"/>
    <n v="193.51"/>
    <x v="476"/>
    <x v="6"/>
  </r>
  <r>
    <x v="787"/>
    <s v="Ana Souza"/>
    <d v="2025-08-23T00:00:00"/>
    <x v="2"/>
    <x v="0"/>
    <x v="13"/>
    <n v="3"/>
    <x v="13"/>
    <n v="0"/>
    <x v="375"/>
    <x v="4"/>
  </r>
  <r>
    <x v="788"/>
    <s v="Juliana Costa"/>
    <d v="2025-08-15T00:00:00"/>
    <x v="3"/>
    <x v="0"/>
    <x v="13"/>
    <n v="3"/>
    <x v="13"/>
    <n v="67.87"/>
    <x v="477"/>
    <x v="5"/>
  </r>
  <r>
    <x v="789"/>
    <s v="Marcos Rodrigues"/>
    <d v="2025-07-08T00:00:00"/>
    <x v="3"/>
    <x v="3"/>
    <x v="7"/>
    <n v="3"/>
    <x v="7"/>
    <n v="0"/>
    <x v="246"/>
    <x v="2"/>
  </r>
  <r>
    <x v="790"/>
    <s v="Ana Souza"/>
    <d v="2025-11-19T00:00:00"/>
    <x v="3"/>
    <x v="1"/>
    <x v="9"/>
    <n v="5"/>
    <x v="9"/>
    <n v="0"/>
    <x v="19"/>
    <x v="5"/>
  </r>
  <r>
    <x v="791"/>
    <s v="Ana Souza"/>
    <d v="2025-04-06T00:00:00"/>
    <x v="2"/>
    <x v="0"/>
    <x v="4"/>
    <n v="1"/>
    <x v="4"/>
    <n v="0"/>
    <x v="17"/>
    <x v="2"/>
  </r>
  <r>
    <x v="792"/>
    <s v="Beatriz Ribeiro"/>
    <d v="2025-03-14T00:00:00"/>
    <x v="0"/>
    <x v="2"/>
    <x v="6"/>
    <n v="2"/>
    <x v="6"/>
    <n v="40.1"/>
    <x v="478"/>
    <x v="5"/>
  </r>
  <r>
    <x v="793"/>
    <s v="Beatriz Ribeiro"/>
    <d v="2025-12-05T00:00:00"/>
    <x v="2"/>
    <x v="2"/>
    <x v="10"/>
    <n v="5"/>
    <x v="10"/>
    <n v="0"/>
    <x v="155"/>
    <x v="7"/>
  </r>
  <r>
    <x v="794"/>
    <s v="Carlos Silva"/>
    <d v="2025-12-05T00:00:00"/>
    <x v="0"/>
    <x v="3"/>
    <x v="3"/>
    <n v="4"/>
    <x v="3"/>
    <n v="0"/>
    <x v="210"/>
    <x v="3"/>
  </r>
  <r>
    <x v="795"/>
    <s v="Juliana Costa"/>
    <d v="2025-02-06T00:00:00"/>
    <x v="0"/>
    <x v="1"/>
    <x v="5"/>
    <n v="2"/>
    <x v="5"/>
    <n v="8.2899999999999991"/>
    <x v="479"/>
    <x v="7"/>
  </r>
  <r>
    <x v="796"/>
    <s v="Juliana Costa"/>
    <d v="2025-04-08T00:00:00"/>
    <x v="0"/>
    <x v="3"/>
    <x v="8"/>
    <n v="5"/>
    <x v="8"/>
    <n v="211.93"/>
    <x v="480"/>
    <x v="4"/>
  </r>
  <r>
    <x v="797"/>
    <s v="Ana Souza"/>
    <d v="2025-04-18T00:00:00"/>
    <x v="1"/>
    <x v="2"/>
    <x v="11"/>
    <n v="5"/>
    <x v="11"/>
    <n v="40.950000000000003"/>
    <x v="481"/>
    <x v="6"/>
  </r>
  <r>
    <x v="798"/>
    <s v="João Pereira"/>
    <d v="2025-11-20T00:00:00"/>
    <x v="1"/>
    <x v="2"/>
    <x v="2"/>
    <n v="2"/>
    <x v="2"/>
    <n v="4.4400000000000004"/>
    <x v="482"/>
    <x v="0"/>
  </r>
  <r>
    <x v="799"/>
    <s v="Ricardo Carvalho"/>
    <d v="2025-12-31T00:00:00"/>
    <x v="1"/>
    <x v="2"/>
    <x v="10"/>
    <n v="2"/>
    <x v="10"/>
    <n v="13.48"/>
    <x v="483"/>
    <x v="0"/>
  </r>
  <r>
    <x v="800"/>
    <s v="Lucas Almeida"/>
    <d v="2025-05-10T00:00:00"/>
    <x v="2"/>
    <x v="1"/>
    <x v="5"/>
    <n v="3"/>
    <x v="5"/>
    <n v="0"/>
    <x v="161"/>
    <x v="6"/>
  </r>
  <r>
    <x v="801"/>
    <s v="Ricardo Carvalho"/>
    <d v="2025-06-10T00:00:00"/>
    <x v="3"/>
    <x v="2"/>
    <x v="2"/>
    <n v="4"/>
    <x v="2"/>
    <n v="0"/>
    <x v="149"/>
    <x v="0"/>
  </r>
  <r>
    <x v="802"/>
    <s v="Lucas Almeida"/>
    <d v="2026-01-31T00:00:00"/>
    <x v="1"/>
    <x v="1"/>
    <x v="5"/>
    <n v="5"/>
    <x v="5"/>
    <n v="0"/>
    <x v="71"/>
    <x v="4"/>
  </r>
  <r>
    <x v="803"/>
    <s v="Maria Oliveira"/>
    <d v="2025-09-12T00:00:00"/>
    <x v="2"/>
    <x v="0"/>
    <x v="13"/>
    <n v="4"/>
    <x v="13"/>
    <n v="0"/>
    <x v="27"/>
    <x v="7"/>
  </r>
  <r>
    <x v="804"/>
    <s v="Beatriz Ribeiro"/>
    <d v="2025-10-08T00:00:00"/>
    <x v="3"/>
    <x v="3"/>
    <x v="7"/>
    <n v="3"/>
    <x v="7"/>
    <n v="0"/>
    <x v="246"/>
    <x v="2"/>
  </r>
  <r>
    <x v="805"/>
    <s v="Juliana Costa"/>
    <d v="2025-07-16T00:00:00"/>
    <x v="1"/>
    <x v="1"/>
    <x v="5"/>
    <n v="5"/>
    <x v="5"/>
    <n v="0"/>
    <x v="71"/>
    <x v="4"/>
  </r>
  <r>
    <x v="806"/>
    <s v="Maria Oliveira"/>
    <d v="2025-01-13T00:00:00"/>
    <x v="2"/>
    <x v="0"/>
    <x v="4"/>
    <n v="1"/>
    <x v="4"/>
    <n v="0"/>
    <x v="17"/>
    <x v="5"/>
  </r>
  <r>
    <x v="807"/>
    <s v="Roberto Santos"/>
    <d v="2025-08-24T00:00:00"/>
    <x v="1"/>
    <x v="3"/>
    <x v="8"/>
    <n v="3"/>
    <x v="8"/>
    <n v="1105.25"/>
    <x v="484"/>
    <x v="4"/>
  </r>
  <r>
    <x v="808"/>
    <s v="Marcos Rodrigues"/>
    <d v="2025-04-10T00:00:00"/>
    <x v="2"/>
    <x v="1"/>
    <x v="1"/>
    <n v="2"/>
    <x v="1"/>
    <n v="0"/>
    <x v="98"/>
    <x v="5"/>
  </r>
  <r>
    <x v="809"/>
    <s v="Carlos Silva"/>
    <d v="2026-01-12T00:00:00"/>
    <x v="4"/>
    <x v="2"/>
    <x v="11"/>
    <n v="3"/>
    <x v="11"/>
    <n v="51.33"/>
    <x v="485"/>
    <x v="6"/>
  </r>
  <r>
    <x v="810"/>
    <s v="Carlos Silva"/>
    <d v="2025-03-10T00:00:00"/>
    <x v="4"/>
    <x v="3"/>
    <x v="12"/>
    <n v="5"/>
    <x v="12"/>
    <n v="200.47"/>
    <x v="486"/>
    <x v="2"/>
  </r>
  <r>
    <x v="811"/>
    <s v="Roberto Santos"/>
    <d v="2025-09-12T00:00:00"/>
    <x v="1"/>
    <x v="2"/>
    <x v="11"/>
    <n v="4"/>
    <x v="11"/>
    <n v="0"/>
    <x v="267"/>
    <x v="2"/>
  </r>
  <r>
    <x v="812"/>
    <s v="Patricia Gomes"/>
    <d v="2025-09-18T00:00:00"/>
    <x v="4"/>
    <x v="1"/>
    <x v="9"/>
    <n v="2"/>
    <x v="9"/>
    <n v="0"/>
    <x v="227"/>
    <x v="1"/>
  </r>
  <r>
    <x v="813"/>
    <s v="Marcos Rodrigues"/>
    <d v="2025-01-03T00:00:00"/>
    <x v="4"/>
    <x v="2"/>
    <x v="10"/>
    <n v="3"/>
    <x v="10"/>
    <n v="110.32"/>
    <x v="487"/>
    <x v="5"/>
  </r>
  <r>
    <x v="814"/>
    <s v="Marcos Rodrigues"/>
    <d v="2026-01-14T00:00:00"/>
    <x v="4"/>
    <x v="0"/>
    <x v="4"/>
    <n v="5"/>
    <x v="4"/>
    <n v="0"/>
    <x v="121"/>
    <x v="0"/>
  </r>
  <r>
    <x v="815"/>
    <s v="Carlos Silva"/>
    <d v="2026-02-04T00:00:00"/>
    <x v="0"/>
    <x v="2"/>
    <x v="10"/>
    <n v="1"/>
    <x v="10"/>
    <n v="0"/>
    <x v="355"/>
    <x v="1"/>
  </r>
  <r>
    <x v="816"/>
    <s v="Ricardo Carvalho"/>
    <d v="2025-05-11T00:00:00"/>
    <x v="2"/>
    <x v="3"/>
    <x v="8"/>
    <n v="3"/>
    <x v="8"/>
    <n v="0"/>
    <x v="115"/>
    <x v="2"/>
  </r>
  <r>
    <x v="817"/>
    <s v="Fernanda Lima"/>
    <d v="2025-12-02T00:00:00"/>
    <x v="2"/>
    <x v="0"/>
    <x v="15"/>
    <n v="1"/>
    <x v="15"/>
    <n v="0"/>
    <x v="384"/>
    <x v="6"/>
  </r>
  <r>
    <x v="818"/>
    <s v="Patricia Gomes"/>
    <d v="2025-05-03T00:00:00"/>
    <x v="0"/>
    <x v="1"/>
    <x v="5"/>
    <n v="4"/>
    <x v="5"/>
    <n v="0"/>
    <x v="95"/>
    <x v="0"/>
  </r>
  <r>
    <x v="819"/>
    <s v="Maria Oliveira"/>
    <d v="2025-03-06T00:00:00"/>
    <x v="2"/>
    <x v="2"/>
    <x v="6"/>
    <n v="5"/>
    <x v="6"/>
    <n v="0"/>
    <x v="30"/>
    <x v="7"/>
  </r>
  <r>
    <x v="820"/>
    <s v="Lucas Almeida"/>
    <d v="2025-12-06T00:00:00"/>
    <x v="3"/>
    <x v="0"/>
    <x v="13"/>
    <n v="5"/>
    <x v="13"/>
    <n v="0"/>
    <x v="90"/>
    <x v="1"/>
  </r>
  <r>
    <x v="821"/>
    <s v="Lucas Almeida"/>
    <d v="2025-01-11T00:00:00"/>
    <x v="3"/>
    <x v="2"/>
    <x v="11"/>
    <n v="3"/>
    <x v="11"/>
    <n v="6.05"/>
    <x v="488"/>
    <x v="4"/>
  </r>
  <r>
    <x v="822"/>
    <s v="Roberto Santos"/>
    <d v="2025-12-24T00:00:00"/>
    <x v="0"/>
    <x v="1"/>
    <x v="14"/>
    <n v="2"/>
    <x v="14"/>
    <n v="13.12"/>
    <x v="489"/>
    <x v="5"/>
  </r>
  <r>
    <x v="823"/>
    <s v="Roberto Santos"/>
    <d v="2025-03-13T00:00:00"/>
    <x v="4"/>
    <x v="3"/>
    <x v="12"/>
    <n v="2"/>
    <x v="12"/>
    <n v="1297.98"/>
    <x v="490"/>
    <x v="4"/>
  </r>
  <r>
    <x v="824"/>
    <s v="Patricia Gomes"/>
    <d v="2025-05-15T00:00:00"/>
    <x v="0"/>
    <x v="1"/>
    <x v="9"/>
    <n v="1"/>
    <x v="9"/>
    <n v="3.82"/>
    <x v="491"/>
    <x v="4"/>
  </r>
  <r>
    <x v="825"/>
    <s v="Beatriz Ribeiro"/>
    <d v="2025-10-14T00:00:00"/>
    <x v="0"/>
    <x v="1"/>
    <x v="5"/>
    <n v="3"/>
    <x v="5"/>
    <n v="10.220000000000001"/>
    <x v="492"/>
    <x v="2"/>
  </r>
  <r>
    <x v="826"/>
    <s v="Juliana Costa"/>
    <d v="2026-01-02T00:00:00"/>
    <x v="1"/>
    <x v="0"/>
    <x v="15"/>
    <n v="2"/>
    <x v="15"/>
    <n v="81.5"/>
    <x v="493"/>
    <x v="4"/>
  </r>
  <r>
    <x v="827"/>
    <s v="Juliana Costa"/>
    <d v="2025-02-07T00:00:00"/>
    <x v="3"/>
    <x v="2"/>
    <x v="10"/>
    <n v="4"/>
    <x v="10"/>
    <n v="85.77"/>
    <x v="494"/>
    <x v="6"/>
  </r>
  <r>
    <x v="828"/>
    <s v="Ana Souza"/>
    <d v="2025-01-10T00:00:00"/>
    <x v="0"/>
    <x v="1"/>
    <x v="5"/>
    <n v="1"/>
    <x v="5"/>
    <n v="3.01"/>
    <x v="495"/>
    <x v="7"/>
  </r>
  <r>
    <x v="829"/>
    <s v="João Pereira"/>
    <d v="2025-05-04T00:00:00"/>
    <x v="2"/>
    <x v="1"/>
    <x v="9"/>
    <n v="4"/>
    <x v="9"/>
    <n v="2.85"/>
    <x v="496"/>
    <x v="6"/>
  </r>
  <r>
    <x v="830"/>
    <s v="Lucas Almeida"/>
    <d v="2025-01-14T00:00:00"/>
    <x v="0"/>
    <x v="1"/>
    <x v="1"/>
    <n v="3"/>
    <x v="1"/>
    <n v="30.63"/>
    <x v="497"/>
    <x v="3"/>
  </r>
  <r>
    <x v="831"/>
    <s v="Maria Oliveira"/>
    <d v="2025-07-17T00:00:00"/>
    <x v="0"/>
    <x v="1"/>
    <x v="9"/>
    <n v="3"/>
    <x v="9"/>
    <n v="13.54"/>
    <x v="498"/>
    <x v="1"/>
  </r>
  <r>
    <x v="832"/>
    <s v="Marcos Rodrigues"/>
    <d v="2025-04-20T00:00:00"/>
    <x v="4"/>
    <x v="1"/>
    <x v="14"/>
    <n v="2"/>
    <x v="14"/>
    <n v="0"/>
    <x v="171"/>
    <x v="7"/>
  </r>
  <r>
    <x v="833"/>
    <s v="Roberto Santos"/>
    <d v="2025-08-14T00:00:00"/>
    <x v="4"/>
    <x v="3"/>
    <x v="7"/>
    <n v="4"/>
    <x v="7"/>
    <n v="0"/>
    <x v="44"/>
    <x v="1"/>
  </r>
  <r>
    <x v="834"/>
    <s v="Ricardo Carvalho"/>
    <d v="2026-02-05T00:00:00"/>
    <x v="1"/>
    <x v="2"/>
    <x v="6"/>
    <n v="1"/>
    <x v="6"/>
    <n v="8.4700000000000006"/>
    <x v="499"/>
    <x v="3"/>
  </r>
  <r>
    <x v="835"/>
    <s v="Lucas Almeida"/>
    <d v="2025-09-27T00:00:00"/>
    <x v="2"/>
    <x v="1"/>
    <x v="9"/>
    <n v="1"/>
    <x v="9"/>
    <n v="2.54"/>
    <x v="500"/>
    <x v="2"/>
  </r>
  <r>
    <x v="836"/>
    <s v="Roberto Santos"/>
    <d v="2025-04-22T00:00:00"/>
    <x v="0"/>
    <x v="2"/>
    <x v="6"/>
    <n v="4"/>
    <x v="6"/>
    <n v="85.71"/>
    <x v="501"/>
    <x v="3"/>
  </r>
  <r>
    <x v="837"/>
    <s v="Juliana Costa"/>
    <d v="2025-06-29T00:00:00"/>
    <x v="1"/>
    <x v="2"/>
    <x v="6"/>
    <n v="3"/>
    <x v="6"/>
    <n v="0"/>
    <x v="213"/>
    <x v="1"/>
  </r>
  <r>
    <x v="838"/>
    <s v="Marcos Rodrigues"/>
    <d v="2025-03-05T00:00:00"/>
    <x v="4"/>
    <x v="3"/>
    <x v="8"/>
    <n v="5"/>
    <x v="8"/>
    <n v="1266.4000000000001"/>
    <x v="502"/>
    <x v="0"/>
  </r>
  <r>
    <x v="839"/>
    <s v="Ricardo Carvalho"/>
    <d v="2025-01-17T00:00:00"/>
    <x v="2"/>
    <x v="2"/>
    <x v="6"/>
    <n v="3"/>
    <x v="6"/>
    <n v="53.51"/>
    <x v="503"/>
    <x v="5"/>
  </r>
  <r>
    <x v="840"/>
    <s v="Juliana Costa"/>
    <d v="2025-05-07T00:00:00"/>
    <x v="0"/>
    <x v="0"/>
    <x v="4"/>
    <n v="5"/>
    <x v="4"/>
    <n v="0"/>
    <x v="121"/>
    <x v="7"/>
  </r>
  <r>
    <x v="841"/>
    <s v="Lucas Almeida"/>
    <d v="2025-09-09T00:00:00"/>
    <x v="1"/>
    <x v="1"/>
    <x v="14"/>
    <n v="2"/>
    <x v="14"/>
    <n v="0"/>
    <x v="171"/>
    <x v="4"/>
  </r>
  <r>
    <x v="842"/>
    <s v="Carlos Silva"/>
    <d v="2025-05-23T00:00:00"/>
    <x v="4"/>
    <x v="0"/>
    <x v="4"/>
    <n v="1"/>
    <x v="4"/>
    <n v="29.51"/>
    <x v="504"/>
    <x v="1"/>
  </r>
  <r>
    <x v="843"/>
    <s v="Marcos Rodrigues"/>
    <d v="2025-08-27T00:00:00"/>
    <x v="2"/>
    <x v="1"/>
    <x v="9"/>
    <n v="3"/>
    <x v="9"/>
    <n v="0"/>
    <x v="16"/>
    <x v="2"/>
  </r>
  <r>
    <x v="844"/>
    <s v="Lucas Almeida"/>
    <d v="2026-01-15T00:00:00"/>
    <x v="0"/>
    <x v="0"/>
    <x v="4"/>
    <n v="2"/>
    <x v="4"/>
    <n v="0"/>
    <x v="90"/>
    <x v="2"/>
  </r>
  <r>
    <x v="845"/>
    <s v="Beatriz Ribeiro"/>
    <d v="2025-07-02T00:00:00"/>
    <x v="1"/>
    <x v="0"/>
    <x v="15"/>
    <n v="5"/>
    <x v="15"/>
    <n v="184.15"/>
    <x v="505"/>
    <x v="3"/>
  </r>
  <r>
    <x v="846"/>
    <s v="Fernanda Lima"/>
    <d v="2025-07-10T00:00:00"/>
    <x v="4"/>
    <x v="1"/>
    <x v="14"/>
    <n v="1"/>
    <x v="14"/>
    <n v="0"/>
    <x v="106"/>
    <x v="3"/>
  </r>
  <r>
    <x v="847"/>
    <s v="Juliana Costa"/>
    <d v="2025-04-25T00:00:00"/>
    <x v="4"/>
    <x v="3"/>
    <x v="8"/>
    <n v="2"/>
    <x v="8"/>
    <n v="0"/>
    <x v="13"/>
    <x v="7"/>
  </r>
  <r>
    <x v="848"/>
    <s v="Carlos Silva"/>
    <d v="2025-01-09T00:00:00"/>
    <x v="0"/>
    <x v="2"/>
    <x v="2"/>
    <n v="4"/>
    <x v="2"/>
    <n v="0"/>
    <x v="149"/>
    <x v="2"/>
  </r>
  <r>
    <x v="849"/>
    <s v="Juliana Costa"/>
    <d v="2025-07-02T00:00:00"/>
    <x v="0"/>
    <x v="1"/>
    <x v="1"/>
    <n v="5"/>
    <x v="1"/>
    <n v="0"/>
    <x v="158"/>
    <x v="4"/>
  </r>
  <r>
    <x v="850"/>
    <s v="Beatriz Ribeiro"/>
    <d v="2025-03-24T00:00:00"/>
    <x v="4"/>
    <x v="3"/>
    <x v="12"/>
    <n v="3"/>
    <x v="12"/>
    <n v="0"/>
    <x v="28"/>
    <x v="3"/>
  </r>
  <r>
    <x v="851"/>
    <s v="Juliana Costa"/>
    <d v="2025-11-21T00:00:00"/>
    <x v="4"/>
    <x v="2"/>
    <x v="10"/>
    <n v="5"/>
    <x v="10"/>
    <n v="0"/>
    <x v="155"/>
    <x v="2"/>
  </r>
  <r>
    <x v="852"/>
    <s v="Ricardo Carvalho"/>
    <d v="2025-10-18T00:00:00"/>
    <x v="3"/>
    <x v="3"/>
    <x v="8"/>
    <n v="1"/>
    <x v="8"/>
    <n v="334.31"/>
    <x v="506"/>
    <x v="7"/>
  </r>
  <r>
    <x v="853"/>
    <s v="Beatriz Ribeiro"/>
    <d v="2025-04-01T00:00:00"/>
    <x v="1"/>
    <x v="2"/>
    <x v="11"/>
    <n v="1"/>
    <x v="11"/>
    <n v="0"/>
    <x v="63"/>
    <x v="1"/>
  </r>
  <r>
    <x v="854"/>
    <s v="Patricia Gomes"/>
    <d v="2025-06-24T00:00:00"/>
    <x v="4"/>
    <x v="3"/>
    <x v="3"/>
    <n v="3"/>
    <x v="3"/>
    <n v="111.34"/>
    <x v="507"/>
    <x v="7"/>
  </r>
  <r>
    <x v="855"/>
    <s v="Beatriz Ribeiro"/>
    <d v="2025-12-18T00:00:00"/>
    <x v="4"/>
    <x v="0"/>
    <x v="4"/>
    <n v="3"/>
    <x v="4"/>
    <n v="76.77"/>
    <x v="508"/>
    <x v="1"/>
  </r>
  <r>
    <x v="856"/>
    <s v="Ricardo Carvalho"/>
    <d v="2025-07-12T00:00:00"/>
    <x v="1"/>
    <x v="1"/>
    <x v="9"/>
    <n v="3"/>
    <x v="9"/>
    <n v="0"/>
    <x v="16"/>
    <x v="2"/>
  </r>
  <r>
    <x v="857"/>
    <s v="Marcos Rodrigues"/>
    <d v="2025-04-20T00:00:00"/>
    <x v="0"/>
    <x v="2"/>
    <x v="11"/>
    <n v="1"/>
    <x v="11"/>
    <n v="13.57"/>
    <x v="509"/>
    <x v="4"/>
  </r>
  <r>
    <x v="858"/>
    <s v="Ricardo Carvalho"/>
    <d v="2025-10-30T00:00:00"/>
    <x v="3"/>
    <x v="0"/>
    <x v="13"/>
    <n v="1"/>
    <x v="13"/>
    <n v="0"/>
    <x v="95"/>
    <x v="1"/>
  </r>
  <r>
    <x v="859"/>
    <s v="Juliana Costa"/>
    <d v="2025-02-03T00:00:00"/>
    <x v="0"/>
    <x v="0"/>
    <x v="4"/>
    <n v="2"/>
    <x v="4"/>
    <n v="22.44"/>
    <x v="510"/>
    <x v="2"/>
  </r>
  <r>
    <x v="860"/>
    <s v="Beatriz Ribeiro"/>
    <d v="2025-04-07T00:00:00"/>
    <x v="3"/>
    <x v="0"/>
    <x v="15"/>
    <n v="4"/>
    <x v="15"/>
    <n v="165.15"/>
    <x v="511"/>
    <x v="0"/>
  </r>
  <r>
    <x v="861"/>
    <s v="Patricia Gomes"/>
    <d v="2025-03-04T00:00:00"/>
    <x v="4"/>
    <x v="0"/>
    <x v="0"/>
    <n v="1"/>
    <x v="0"/>
    <n v="0"/>
    <x v="41"/>
    <x v="4"/>
  </r>
  <r>
    <x v="862"/>
    <s v="Fernanda Lima"/>
    <d v="2026-02-03T00:00:00"/>
    <x v="0"/>
    <x v="1"/>
    <x v="9"/>
    <n v="3"/>
    <x v="9"/>
    <n v="10.83"/>
    <x v="512"/>
    <x v="2"/>
  </r>
  <r>
    <x v="863"/>
    <s v="Beatriz Ribeiro"/>
    <d v="2025-02-24T00:00:00"/>
    <x v="1"/>
    <x v="1"/>
    <x v="1"/>
    <n v="5"/>
    <x v="1"/>
    <n v="0"/>
    <x v="158"/>
    <x v="5"/>
  </r>
  <r>
    <x v="864"/>
    <s v="Ricardo Carvalho"/>
    <d v="2025-08-04T00:00:00"/>
    <x v="3"/>
    <x v="0"/>
    <x v="0"/>
    <n v="3"/>
    <x v="0"/>
    <n v="236.79"/>
    <x v="513"/>
    <x v="6"/>
  </r>
  <r>
    <x v="865"/>
    <s v="Fernanda Lima"/>
    <d v="2025-02-23T00:00:00"/>
    <x v="0"/>
    <x v="1"/>
    <x v="14"/>
    <n v="2"/>
    <x v="14"/>
    <n v="0"/>
    <x v="171"/>
    <x v="7"/>
  </r>
  <r>
    <x v="866"/>
    <s v="Juliana Costa"/>
    <d v="2025-11-26T00:00:00"/>
    <x v="3"/>
    <x v="3"/>
    <x v="8"/>
    <n v="5"/>
    <x v="8"/>
    <n v="0"/>
    <x v="58"/>
    <x v="4"/>
  </r>
  <r>
    <x v="867"/>
    <s v="Ana Souza"/>
    <d v="2025-06-21T00:00:00"/>
    <x v="3"/>
    <x v="3"/>
    <x v="7"/>
    <n v="3"/>
    <x v="7"/>
    <n v="0"/>
    <x v="246"/>
    <x v="7"/>
  </r>
  <r>
    <x v="868"/>
    <s v="Maria Oliveira"/>
    <d v="2025-10-02T00:00:00"/>
    <x v="4"/>
    <x v="3"/>
    <x v="3"/>
    <n v="3"/>
    <x v="3"/>
    <n v="87.28"/>
    <x v="514"/>
    <x v="2"/>
  </r>
  <r>
    <x v="869"/>
    <s v="Fernanda Lima"/>
    <d v="2025-12-30T00:00:00"/>
    <x v="4"/>
    <x v="0"/>
    <x v="4"/>
    <n v="4"/>
    <x v="4"/>
    <n v="45.65"/>
    <x v="515"/>
    <x v="1"/>
  </r>
  <r>
    <x v="870"/>
    <s v="Patricia Gomes"/>
    <d v="2025-07-06T00:00:00"/>
    <x v="4"/>
    <x v="3"/>
    <x v="12"/>
    <n v="3"/>
    <x v="12"/>
    <n v="0"/>
    <x v="28"/>
    <x v="4"/>
  </r>
  <r>
    <x v="871"/>
    <s v="Carlos Silva"/>
    <d v="2025-10-20T00:00:00"/>
    <x v="1"/>
    <x v="3"/>
    <x v="12"/>
    <n v="1"/>
    <x v="12"/>
    <n v="0"/>
    <x v="33"/>
    <x v="0"/>
  </r>
  <r>
    <x v="872"/>
    <s v="Beatriz Ribeiro"/>
    <d v="2025-04-12T00:00:00"/>
    <x v="3"/>
    <x v="2"/>
    <x v="11"/>
    <n v="4"/>
    <x v="11"/>
    <n v="0"/>
    <x v="267"/>
    <x v="4"/>
  </r>
  <r>
    <x v="873"/>
    <s v="Lucas Almeida"/>
    <d v="2025-04-10T00:00:00"/>
    <x v="2"/>
    <x v="2"/>
    <x v="11"/>
    <n v="3"/>
    <x v="11"/>
    <n v="1.96"/>
    <x v="516"/>
    <x v="7"/>
  </r>
  <r>
    <x v="874"/>
    <s v="João Pereira"/>
    <d v="2025-01-20T00:00:00"/>
    <x v="0"/>
    <x v="1"/>
    <x v="5"/>
    <n v="2"/>
    <x v="5"/>
    <n v="0"/>
    <x v="8"/>
    <x v="1"/>
  </r>
  <r>
    <x v="875"/>
    <s v="Marcos Rodrigues"/>
    <d v="2025-07-07T00:00:00"/>
    <x v="1"/>
    <x v="0"/>
    <x v="13"/>
    <n v="3"/>
    <x v="13"/>
    <n v="0"/>
    <x v="375"/>
    <x v="1"/>
  </r>
  <r>
    <x v="876"/>
    <s v="Roberto Santos"/>
    <d v="2025-01-28T00:00:00"/>
    <x v="4"/>
    <x v="1"/>
    <x v="14"/>
    <n v="2"/>
    <x v="14"/>
    <n v="5.87"/>
    <x v="517"/>
    <x v="6"/>
  </r>
  <r>
    <x v="877"/>
    <s v="Patricia Gomes"/>
    <d v="2025-10-24T00:00:00"/>
    <x v="4"/>
    <x v="2"/>
    <x v="10"/>
    <n v="5"/>
    <x v="10"/>
    <n v="0"/>
    <x v="155"/>
    <x v="2"/>
  </r>
  <r>
    <x v="878"/>
    <s v="Ricardo Carvalho"/>
    <d v="2025-08-19T00:00:00"/>
    <x v="1"/>
    <x v="1"/>
    <x v="5"/>
    <n v="3"/>
    <x v="5"/>
    <n v="0"/>
    <x v="161"/>
    <x v="5"/>
  </r>
  <r>
    <x v="879"/>
    <s v="Carlos Silva"/>
    <d v="2025-01-16T00:00:00"/>
    <x v="3"/>
    <x v="0"/>
    <x v="15"/>
    <n v="5"/>
    <x v="15"/>
    <n v="114.39"/>
    <x v="518"/>
    <x v="0"/>
  </r>
  <r>
    <x v="880"/>
    <s v="Lucas Almeida"/>
    <d v="2025-12-28T00:00:00"/>
    <x v="2"/>
    <x v="3"/>
    <x v="8"/>
    <n v="5"/>
    <x v="8"/>
    <n v="0"/>
    <x v="58"/>
    <x v="1"/>
  </r>
  <r>
    <x v="881"/>
    <s v="Fernanda Lima"/>
    <d v="2025-10-25T00:00:00"/>
    <x v="1"/>
    <x v="2"/>
    <x v="2"/>
    <n v="5"/>
    <x v="2"/>
    <n v="0"/>
    <x v="57"/>
    <x v="2"/>
  </r>
  <r>
    <x v="882"/>
    <s v="Fernanda Lima"/>
    <d v="2025-04-14T00:00:00"/>
    <x v="1"/>
    <x v="0"/>
    <x v="4"/>
    <n v="3"/>
    <x v="4"/>
    <n v="0"/>
    <x v="26"/>
    <x v="6"/>
  </r>
  <r>
    <x v="883"/>
    <s v="Marcos Rodrigues"/>
    <d v="2025-01-03T00:00:00"/>
    <x v="1"/>
    <x v="3"/>
    <x v="7"/>
    <n v="2"/>
    <x v="7"/>
    <n v="0"/>
    <x v="10"/>
    <x v="0"/>
  </r>
  <r>
    <x v="884"/>
    <s v="Ana Souza"/>
    <d v="2025-04-15T00:00:00"/>
    <x v="1"/>
    <x v="3"/>
    <x v="3"/>
    <n v="5"/>
    <x v="3"/>
    <n v="0"/>
    <x v="301"/>
    <x v="1"/>
  </r>
  <r>
    <x v="885"/>
    <s v="Maria Oliveira"/>
    <d v="2025-03-09T00:00:00"/>
    <x v="0"/>
    <x v="0"/>
    <x v="15"/>
    <n v="2"/>
    <x v="15"/>
    <n v="0"/>
    <x v="61"/>
    <x v="1"/>
  </r>
  <r>
    <x v="886"/>
    <s v="Roberto Santos"/>
    <d v="2025-02-16T00:00:00"/>
    <x v="3"/>
    <x v="0"/>
    <x v="0"/>
    <n v="3"/>
    <x v="0"/>
    <n v="78.45"/>
    <x v="519"/>
    <x v="1"/>
  </r>
  <r>
    <x v="887"/>
    <s v="Marcos Rodrigues"/>
    <d v="2025-12-17T00:00:00"/>
    <x v="3"/>
    <x v="3"/>
    <x v="3"/>
    <n v="1"/>
    <x v="3"/>
    <n v="21.48"/>
    <x v="520"/>
    <x v="3"/>
  </r>
  <r>
    <x v="888"/>
    <s v="Juliana Costa"/>
    <d v="2025-02-02T00:00:00"/>
    <x v="0"/>
    <x v="0"/>
    <x v="15"/>
    <n v="1"/>
    <x v="15"/>
    <n v="3.59"/>
    <x v="521"/>
    <x v="3"/>
  </r>
  <r>
    <x v="889"/>
    <s v="Carlos Silva"/>
    <d v="2025-08-02T00:00:00"/>
    <x v="4"/>
    <x v="2"/>
    <x v="2"/>
    <n v="1"/>
    <x v="2"/>
    <n v="0"/>
    <x v="85"/>
    <x v="6"/>
  </r>
  <r>
    <x v="890"/>
    <s v="Marcos Rodrigues"/>
    <d v="2025-05-21T00:00:00"/>
    <x v="2"/>
    <x v="2"/>
    <x v="11"/>
    <n v="5"/>
    <x v="11"/>
    <n v="0"/>
    <x v="147"/>
    <x v="1"/>
  </r>
  <r>
    <x v="891"/>
    <s v="Juliana Costa"/>
    <d v="2025-12-27T00:00:00"/>
    <x v="3"/>
    <x v="2"/>
    <x v="2"/>
    <n v="1"/>
    <x v="2"/>
    <n v="0"/>
    <x v="85"/>
    <x v="5"/>
  </r>
  <r>
    <x v="892"/>
    <s v="Ana Souza"/>
    <d v="2026-01-27T00:00:00"/>
    <x v="4"/>
    <x v="3"/>
    <x v="3"/>
    <n v="1"/>
    <x v="3"/>
    <n v="0"/>
    <x v="66"/>
    <x v="3"/>
  </r>
  <r>
    <x v="893"/>
    <s v="Patricia Gomes"/>
    <d v="2026-01-01T00:00:00"/>
    <x v="3"/>
    <x v="3"/>
    <x v="3"/>
    <n v="2"/>
    <x v="3"/>
    <n v="0"/>
    <x v="190"/>
    <x v="2"/>
  </r>
  <r>
    <x v="894"/>
    <s v="Maria Oliveira"/>
    <d v="2025-08-02T00:00:00"/>
    <x v="4"/>
    <x v="1"/>
    <x v="1"/>
    <n v="3"/>
    <x v="1"/>
    <n v="0"/>
    <x v="1"/>
    <x v="3"/>
  </r>
  <r>
    <x v="895"/>
    <s v="Marcos Rodrigues"/>
    <d v="2025-02-27T00:00:00"/>
    <x v="4"/>
    <x v="3"/>
    <x v="7"/>
    <n v="1"/>
    <x v="7"/>
    <n v="0"/>
    <x v="287"/>
    <x v="3"/>
  </r>
  <r>
    <x v="896"/>
    <s v="Maria Oliveira"/>
    <d v="2025-04-23T00:00:00"/>
    <x v="0"/>
    <x v="2"/>
    <x v="6"/>
    <n v="5"/>
    <x v="6"/>
    <n v="0"/>
    <x v="30"/>
    <x v="3"/>
  </r>
  <r>
    <x v="897"/>
    <s v="Roberto Santos"/>
    <d v="2025-12-03T00:00:00"/>
    <x v="0"/>
    <x v="2"/>
    <x v="6"/>
    <n v="1"/>
    <x v="6"/>
    <n v="25.29"/>
    <x v="522"/>
    <x v="3"/>
  </r>
  <r>
    <x v="898"/>
    <s v="Lucas Almeida"/>
    <d v="2025-06-07T00:00:00"/>
    <x v="3"/>
    <x v="3"/>
    <x v="3"/>
    <n v="4"/>
    <x v="3"/>
    <n v="154.54"/>
    <x v="523"/>
    <x v="3"/>
  </r>
  <r>
    <x v="899"/>
    <s v="Juliana Costa"/>
    <d v="2025-03-28T00:00:00"/>
    <x v="0"/>
    <x v="2"/>
    <x v="6"/>
    <n v="4"/>
    <x v="6"/>
    <n v="0"/>
    <x v="38"/>
    <x v="2"/>
  </r>
  <r>
    <x v="900"/>
    <s v="João Pereira"/>
    <d v="2025-01-11T00:00:00"/>
    <x v="4"/>
    <x v="0"/>
    <x v="15"/>
    <n v="2"/>
    <x v="15"/>
    <n v="0"/>
    <x v="61"/>
    <x v="0"/>
  </r>
  <r>
    <x v="901"/>
    <s v="Marcos Rodrigues"/>
    <d v="2025-07-21T00:00:00"/>
    <x v="0"/>
    <x v="0"/>
    <x v="13"/>
    <n v="1"/>
    <x v="13"/>
    <n v="0"/>
    <x v="95"/>
    <x v="2"/>
  </r>
  <r>
    <x v="902"/>
    <s v="Juliana Costa"/>
    <d v="2026-01-13T00:00:00"/>
    <x v="3"/>
    <x v="1"/>
    <x v="14"/>
    <n v="1"/>
    <x v="14"/>
    <n v="0"/>
    <x v="106"/>
    <x v="6"/>
  </r>
  <r>
    <x v="903"/>
    <s v="Beatriz Ribeiro"/>
    <d v="2026-01-18T00:00:00"/>
    <x v="0"/>
    <x v="2"/>
    <x v="10"/>
    <n v="3"/>
    <x v="10"/>
    <n v="0"/>
    <x v="18"/>
    <x v="4"/>
  </r>
  <r>
    <x v="904"/>
    <s v="Ricardo Carvalho"/>
    <d v="2025-03-09T00:00:00"/>
    <x v="0"/>
    <x v="3"/>
    <x v="3"/>
    <n v="4"/>
    <x v="3"/>
    <n v="98.6"/>
    <x v="524"/>
    <x v="4"/>
  </r>
  <r>
    <x v="905"/>
    <s v="João Pereira"/>
    <d v="2025-07-07T00:00:00"/>
    <x v="1"/>
    <x v="0"/>
    <x v="13"/>
    <n v="2"/>
    <x v="13"/>
    <n v="35.619999999999997"/>
    <x v="525"/>
    <x v="2"/>
  </r>
  <r>
    <x v="906"/>
    <s v="Marcos Rodrigues"/>
    <d v="2025-08-11T00:00:00"/>
    <x v="0"/>
    <x v="0"/>
    <x v="13"/>
    <n v="1"/>
    <x v="13"/>
    <n v="0"/>
    <x v="95"/>
    <x v="2"/>
  </r>
  <r>
    <x v="907"/>
    <s v="Patricia Gomes"/>
    <d v="2025-10-23T00:00:00"/>
    <x v="4"/>
    <x v="3"/>
    <x v="8"/>
    <n v="5"/>
    <x v="8"/>
    <n v="0"/>
    <x v="58"/>
    <x v="1"/>
  </r>
  <r>
    <x v="908"/>
    <s v="Maria Oliveira"/>
    <d v="2025-04-09T00:00:00"/>
    <x v="4"/>
    <x v="3"/>
    <x v="8"/>
    <n v="5"/>
    <x v="8"/>
    <n v="0"/>
    <x v="58"/>
    <x v="7"/>
  </r>
  <r>
    <x v="909"/>
    <s v="Juliana Costa"/>
    <d v="2026-01-25T00:00:00"/>
    <x v="4"/>
    <x v="3"/>
    <x v="12"/>
    <n v="3"/>
    <x v="12"/>
    <n v="45.28"/>
    <x v="526"/>
    <x v="0"/>
  </r>
  <r>
    <x v="910"/>
    <s v="Marcos Rodrigues"/>
    <d v="2025-04-25T00:00:00"/>
    <x v="1"/>
    <x v="2"/>
    <x v="10"/>
    <n v="4"/>
    <x v="10"/>
    <n v="148.77000000000001"/>
    <x v="527"/>
    <x v="4"/>
  </r>
  <r>
    <x v="911"/>
    <s v="Ricardo Carvalho"/>
    <d v="2025-04-25T00:00:00"/>
    <x v="1"/>
    <x v="1"/>
    <x v="9"/>
    <n v="4"/>
    <x v="9"/>
    <n v="0"/>
    <x v="34"/>
    <x v="3"/>
  </r>
  <r>
    <x v="912"/>
    <s v="Carlos Silva"/>
    <d v="2025-08-09T00:00:00"/>
    <x v="0"/>
    <x v="0"/>
    <x v="0"/>
    <n v="5"/>
    <x v="0"/>
    <n v="0"/>
    <x v="42"/>
    <x v="2"/>
  </r>
  <r>
    <x v="913"/>
    <s v="João Pereira"/>
    <d v="2025-02-10T00:00:00"/>
    <x v="0"/>
    <x v="0"/>
    <x v="15"/>
    <n v="3"/>
    <x v="15"/>
    <n v="0"/>
    <x v="126"/>
    <x v="4"/>
  </r>
  <r>
    <x v="914"/>
    <s v="Lucas Almeida"/>
    <d v="2025-05-21T00:00:00"/>
    <x v="2"/>
    <x v="1"/>
    <x v="14"/>
    <n v="3"/>
    <x v="14"/>
    <n v="0"/>
    <x v="112"/>
    <x v="2"/>
  </r>
  <r>
    <x v="915"/>
    <s v="Lucas Almeida"/>
    <d v="2025-11-18T00:00:00"/>
    <x v="4"/>
    <x v="3"/>
    <x v="12"/>
    <n v="2"/>
    <x v="12"/>
    <n v="659.98"/>
    <x v="528"/>
    <x v="1"/>
  </r>
  <r>
    <x v="916"/>
    <s v="Maria Oliveira"/>
    <d v="2025-05-13T00:00:00"/>
    <x v="1"/>
    <x v="3"/>
    <x v="12"/>
    <n v="1"/>
    <x v="12"/>
    <n v="484.93"/>
    <x v="529"/>
    <x v="1"/>
  </r>
  <r>
    <x v="917"/>
    <s v="Ricardo Carvalho"/>
    <d v="2025-02-02T00:00:00"/>
    <x v="4"/>
    <x v="0"/>
    <x v="15"/>
    <n v="2"/>
    <x v="15"/>
    <n v="0"/>
    <x v="61"/>
    <x v="2"/>
  </r>
  <r>
    <x v="918"/>
    <s v="Lucas Almeida"/>
    <d v="2025-04-23T00:00:00"/>
    <x v="0"/>
    <x v="2"/>
    <x v="10"/>
    <n v="3"/>
    <x v="10"/>
    <n v="0"/>
    <x v="18"/>
    <x v="3"/>
  </r>
  <r>
    <x v="919"/>
    <s v="Ana Souza"/>
    <d v="2025-10-04T00:00:00"/>
    <x v="4"/>
    <x v="0"/>
    <x v="4"/>
    <n v="4"/>
    <x v="4"/>
    <n v="0"/>
    <x v="251"/>
    <x v="1"/>
  </r>
  <r>
    <x v="920"/>
    <s v="Beatriz Ribeiro"/>
    <d v="2025-08-16T00:00:00"/>
    <x v="4"/>
    <x v="2"/>
    <x v="10"/>
    <n v="4"/>
    <x v="10"/>
    <n v="0"/>
    <x v="348"/>
    <x v="1"/>
  </r>
  <r>
    <x v="921"/>
    <s v="Marcos Rodrigues"/>
    <d v="2025-01-23T00:00:00"/>
    <x v="2"/>
    <x v="1"/>
    <x v="14"/>
    <n v="5"/>
    <x v="14"/>
    <n v="0"/>
    <x v="92"/>
    <x v="4"/>
  </r>
  <r>
    <x v="922"/>
    <s v="Patricia Gomes"/>
    <d v="2025-03-23T00:00:00"/>
    <x v="2"/>
    <x v="2"/>
    <x v="6"/>
    <n v="3"/>
    <x v="6"/>
    <n v="42.86"/>
    <x v="530"/>
    <x v="6"/>
  </r>
  <r>
    <x v="923"/>
    <s v="Beatriz Ribeiro"/>
    <d v="2025-09-23T00:00:00"/>
    <x v="1"/>
    <x v="3"/>
    <x v="8"/>
    <n v="1"/>
    <x v="8"/>
    <n v="34.57"/>
    <x v="531"/>
    <x v="3"/>
  </r>
  <r>
    <x v="924"/>
    <s v="Ricardo Carvalho"/>
    <d v="2025-06-23T00:00:00"/>
    <x v="0"/>
    <x v="0"/>
    <x v="15"/>
    <n v="4"/>
    <x v="15"/>
    <n v="114.27"/>
    <x v="532"/>
    <x v="3"/>
  </r>
  <r>
    <x v="925"/>
    <s v="Carlos Silva"/>
    <d v="2025-08-24T00:00:00"/>
    <x v="1"/>
    <x v="1"/>
    <x v="9"/>
    <n v="5"/>
    <x v="9"/>
    <n v="21.47"/>
    <x v="533"/>
    <x v="5"/>
  </r>
  <r>
    <x v="926"/>
    <s v="Ricardo Carvalho"/>
    <d v="2025-01-10T00:00:00"/>
    <x v="2"/>
    <x v="2"/>
    <x v="6"/>
    <n v="3"/>
    <x v="6"/>
    <n v="0"/>
    <x v="213"/>
    <x v="3"/>
  </r>
  <r>
    <x v="927"/>
    <s v="Ana Souza"/>
    <d v="2025-09-18T00:00:00"/>
    <x v="3"/>
    <x v="0"/>
    <x v="13"/>
    <n v="4"/>
    <x v="13"/>
    <n v="0"/>
    <x v="27"/>
    <x v="2"/>
  </r>
  <r>
    <x v="928"/>
    <s v="Juliana Costa"/>
    <d v="2025-08-12T00:00:00"/>
    <x v="2"/>
    <x v="2"/>
    <x v="2"/>
    <n v="2"/>
    <x v="2"/>
    <n v="0"/>
    <x v="21"/>
    <x v="5"/>
  </r>
  <r>
    <x v="929"/>
    <s v="Carlos Silva"/>
    <d v="2025-07-17T00:00:00"/>
    <x v="4"/>
    <x v="2"/>
    <x v="11"/>
    <n v="2"/>
    <x v="11"/>
    <n v="0"/>
    <x v="79"/>
    <x v="7"/>
  </r>
  <r>
    <x v="930"/>
    <s v="Ricardo Carvalho"/>
    <d v="2025-06-27T00:00:00"/>
    <x v="3"/>
    <x v="1"/>
    <x v="9"/>
    <n v="4"/>
    <x v="9"/>
    <n v="6.95"/>
    <x v="534"/>
    <x v="2"/>
  </r>
  <r>
    <x v="931"/>
    <s v="Beatriz Ribeiro"/>
    <d v="2025-05-09T00:00:00"/>
    <x v="1"/>
    <x v="0"/>
    <x v="13"/>
    <n v="5"/>
    <x v="13"/>
    <n v="72.58"/>
    <x v="535"/>
    <x v="1"/>
  </r>
  <r>
    <x v="932"/>
    <s v="Fernanda Lima"/>
    <d v="2025-11-12T00:00:00"/>
    <x v="1"/>
    <x v="0"/>
    <x v="13"/>
    <n v="3"/>
    <x v="13"/>
    <n v="45.3"/>
    <x v="536"/>
    <x v="7"/>
  </r>
  <r>
    <x v="933"/>
    <s v="Patricia Gomes"/>
    <d v="2025-04-20T00:00:00"/>
    <x v="0"/>
    <x v="2"/>
    <x v="11"/>
    <n v="3"/>
    <x v="11"/>
    <n v="2.79"/>
    <x v="537"/>
    <x v="1"/>
  </r>
  <r>
    <x v="934"/>
    <s v="Ana Souza"/>
    <d v="2025-08-24T00:00:00"/>
    <x v="1"/>
    <x v="2"/>
    <x v="11"/>
    <n v="2"/>
    <x v="11"/>
    <n v="0"/>
    <x v="79"/>
    <x v="4"/>
  </r>
  <r>
    <x v="935"/>
    <s v="Ana Souza"/>
    <d v="2025-09-27T00:00:00"/>
    <x v="0"/>
    <x v="1"/>
    <x v="5"/>
    <n v="2"/>
    <x v="5"/>
    <n v="7.96"/>
    <x v="538"/>
    <x v="7"/>
  </r>
  <r>
    <x v="936"/>
    <s v="Maria Oliveira"/>
    <d v="2025-04-07T00:00:00"/>
    <x v="2"/>
    <x v="0"/>
    <x v="13"/>
    <n v="1"/>
    <x v="13"/>
    <n v="10"/>
    <x v="539"/>
    <x v="6"/>
  </r>
  <r>
    <x v="937"/>
    <s v="Carlos Silva"/>
    <d v="2025-10-12T00:00:00"/>
    <x v="1"/>
    <x v="1"/>
    <x v="14"/>
    <n v="1"/>
    <x v="14"/>
    <n v="6.01"/>
    <x v="540"/>
    <x v="1"/>
  </r>
  <r>
    <x v="938"/>
    <s v="João Pereira"/>
    <d v="2025-05-15T00:00:00"/>
    <x v="0"/>
    <x v="0"/>
    <x v="15"/>
    <n v="5"/>
    <x v="15"/>
    <n v="0"/>
    <x v="152"/>
    <x v="7"/>
  </r>
  <r>
    <x v="939"/>
    <s v="João Pereira"/>
    <d v="2026-01-27T00:00:00"/>
    <x v="3"/>
    <x v="0"/>
    <x v="15"/>
    <n v="3"/>
    <x v="15"/>
    <n v="0"/>
    <x v="126"/>
    <x v="2"/>
  </r>
  <r>
    <x v="940"/>
    <s v="João Pereira"/>
    <d v="2026-01-12T00:00:00"/>
    <x v="0"/>
    <x v="2"/>
    <x v="11"/>
    <n v="4"/>
    <x v="11"/>
    <n v="22.76"/>
    <x v="541"/>
    <x v="1"/>
  </r>
  <r>
    <x v="941"/>
    <s v="Fernanda Lima"/>
    <d v="2025-03-06T00:00:00"/>
    <x v="3"/>
    <x v="2"/>
    <x v="6"/>
    <n v="4"/>
    <x v="6"/>
    <n v="103.79"/>
    <x v="542"/>
    <x v="7"/>
  </r>
  <r>
    <x v="942"/>
    <s v="Ricardo Carvalho"/>
    <d v="2025-12-16T00:00:00"/>
    <x v="1"/>
    <x v="3"/>
    <x v="8"/>
    <n v="1"/>
    <x v="8"/>
    <n v="9.85"/>
    <x v="543"/>
    <x v="5"/>
  </r>
  <r>
    <x v="943"/>
    <s v="Lucas Almeida"/>
    <d v="2025-07-18T00:00:00"/>
    <x v="3"/>
    <x v="3"/>
    <x v="12"/>
    <n v="4"/>
    <x v="12"/>
    <n v="0"/>
    <x v="102"/>
    <x v="3"/>
  </r>
  <r>
    <x v="944"/>
    <s v="Patricia Gomes"/>
    <d v="2025-02-07T00:00:00"/>
    <x v="3"/>
    <x v="1"/>
    <x v="14"/>
    <n v="2"/>
    <x v="14"/>
    <n v="9.93"/>
    <x v="544"/>
    <x v="6"/>
  </r>
  <r>
    <x v="945"/>
    <s v="Fernanda Lima"/>
    <d v="2025-12-28T00:00:00"/>
    <x v="0"/>
    <x v="2"/>
    <x v="2"/>
    <n v="5"/>
    <x v="2"/>
    <n v="0"/>
    <x v="57"/>
    <x v="2"/>
  </r>
  <r>
    <x v="946"/>
    <s v="Patricia Gomes"/>
    <d v="2025-11-03T00:00:00"/>
    <x v="3"/>
    <x v="3"/>
    <x v="3"/>
    <n v="2"/>
    <x v="3"/>
    <n v="66.64"/>
    <x v="545"/>
    <x v="0"/>
  </r>
  <r>
    <x v="947"/>
    <s v="Ana Souza"/>
    <d v="2025-03-02T00:00:00"/>
    <x v="4"/>
    <x v="2"/>
    <x v="2"/>
    <n v="3"/>
    <x v="2"/>
    <n v="31.25"/>
    <x v="546"/>
    <x v="4"/>
  </r>
  <r>
    <x v="948"/>
    <s v="Ricardo Carvalho"/>
    <d v="2025-01-03T00:00:00"/>
    <x v="4"/>
    <x v="0"/>
    <x v="15"/>
    <n v="3"/>
    <x v="15"/>
    <n v="0"/>
    <x v="126"/>
    <x v="2"/>
  </r>
  <r>
    <x v="949"/>
    <s v="Beatriz Ribeiro"/>
    <d v="2025-04-19T00:00:00"/>
    <x v="1"/>
    <x v="0"/>
    <x v="4"/>
    <n v="1"/>
    <x v="4"/>
    <n v="0"/>
    <x v="17"/>
    <x v="4"/>
  </r>
  <r>
    <x v="950"/>
    <s v="Ricardo Carvalho"/>
    <d v="2025-01-30T00:00:00"/>
    <x v="2"/>
    <x v="3"/>
    <x v="7"/>
    <n v="5"/>
    <x v="7"/>
    <n v="455.51"/>
    <x v="547"/>
    <x v="5"/>
  </r>
  <r>
    <x v="951"/>
    <s v="Lucas Almeida"/>
    <d v="2025-09-03T00:00:00"/>
    <x v="4"/>
    <x v="0"/>
    <x v="0"/>
    <n v="3"/>
    <x v="0"/>
    <n v="158.62"/>
    <x v="548"/>
    <x v="2"/>
  </r>
  <r>
    <x v="952"/>
    <s v="Carlos Silva"/>
    <d v="2025-07-04T00:00:00"/>
    <x v="4"/>
    <x v="1"/>
    <x v="5"/>
    <n v="3"/>
    <x v="5"/>
    <n v="15.98"/>
    <x v="549"/>
    <x v="3"/>
  </r>
  <r>
    <x v="953"/>
    <s v="Fernanda Lima"/>
    <d v="2025-12-10T00:00:00"/>
    <x v="2"/>
    <x v="1"/>
    <x v="14"/>
    <n v="4"/>
    <x v="14"/>
    <n v="18.37"/>
    <x v="550"/>
    <x v="3"/>
  </r>
  <r>
    <x v="954"/>
    <s v="Fernanda Lima"/>
    <d v="2025-08-27T00:00:00"/>
    <x v="3"/>
    <x v="1"/>
    <x v="5"/>
    <n v="3"/>
    <x v="5"/>
    <n v="0"/>
    <x v="161"/>
    <x v="7"/>
  </r>
  <r>
    <x v="955"/>
    <s v="Patricia Gomes"/>
    <d v="2025-08-17T00:00:00"/>
    <x v="2"/>
    <x v="1"/>
    <x v="1"/>
    <n v="1"/>
    <x v="1"/>
    <n v="0"/>
    <x v="160"/>
    <x v="0"/>
  </r>
  <r>
    <x v="956"/>
    <s v="Fernanda Lima"/>
    <d v="2026-01-23T00:00:00"/>
    <x v="1"/>
    <x v="3"/>
    <x v="3"/>
    <n v="1"/>
    <x v="3"/>
    <n v="29.58"/>
    <x v="551"/>
    <x v="6"/>
  </r>
  <r>
    <x v="957"/>
    <s v="Maria Oliveira"/>
    <d v="2026-01-25T00:00:00"/>
    <x v="4"/>
    <x v="3"/>
    <x v="8"/>
    <n v="3"/>
    <x v="8"/>
    <n v="66.239999999999995"/>
    <x v="552"/>
    <x v="5"/>
  </r>
  <r>
    <x v="958"/>
    <s v="Roberto Santos"/>
    <d v="2025-01-02T00:00:00"/>
    <x v="1"/>
    <x v="1"/>
    <x v="9"/>
    <n v="3"/>
    <x v="9"/>
    <n v="0"/>
    <x v="16"/>
    <x v="6"/>
  </r>
  <r>
    <x v="959"/>
    <s v="Beatriz Ribeiro"/>
    <d v="2025-02-27T00:00:00"/>
    <x v="0"/>
    <x v="0"/>
    <x v="15"/>
    <n v="3"/>
    <x v="15"/>
    <n v="0"/>
    <x v="126"/>
    <x v="6"/>
  </r>
  <r>
    <x v="960"/>
    <s v="Ricardo Carvalho"/>
    <d v="2025-10-09T00:00:00"/>
    <x v="3"/>
    <x v="2"/>
    <x v="6"/>
    <n v="3"/>
    <x v="6"/>
    <n v="0"/>
    <x v="213"/>
    <x v="2"/>
  </r>
  <r>
    <x v="961"/>
    <s v="Carlos Silva"/>
    <d v="2025-02-06T00:00:00"/>
    <x v="3"/>
    <x v="0"/>
    <x v="0"/>
    <n v="3"/>
    <x v="0"/>
    <n v="163.33000000000001"/>
    <x v="553"/>
    <x v="2"/>
  </r>
  <r>
    <x v="962"/>
    <s v="Maria Oliveira"/>
    <d v="2025-04-03T00:00:00"/>
    <x v="0"/>
    <x v="0"/>
    <x v="0"/>
    <n v="1"/>
    <x v="0"/>
    <n v="29.21"/>
    <x v="554"/>
    <x v="7"/>
  </r>
  <r>
    <x v="963"/>
    <s v="Ana Souza"/>
    <d v="2025-02-24T00:00:00"/>
    <x v="0"/>
    <x v="2"/>
    <x v="11"/>
    <n v="2"/>
    <x v="11"/>
    <n v="15.05"/>
    <x v="555"/>
    <x v="7"/>
  </r>
  <r>
    <x v="964"/>
    <s v="Marcos Rodrigues"/>
    <d v="2025-06-20T00:00:00"/>
    <x v="3"/>
    <x v="1"/>
    <x v="5"/>
    <n v="3"/>
    <x v="5"/>
    <n v="2.96"/>
    <x v="556"/>
    <x v="2"/>
  </r>
  <r>
    <x v="965"/>
    <s v="Ana Souza"/>
    <d v="2025-12-13T00:00:00"/>
    <x v="4"/>
    <x v="3"/>
    <x v="3"/>
    <n v="1"/>
    <x v="3"/>
    <n v="32.53"/>
    <x v="557"/>
    <x v="6"/>
  </r>
  <r>
    <x v="966"/>
    <s v="Maria Oliveira"/>
    <d v="2025-05-16T00:00:00"/>
    <x v="2"/>
    <x v="1"/>
    <x v="1"/>
    <n v="4"/>
    <x v="1"/>
    <n v="29.32"/>
    <x v="558"/>
    <x v="7"/>
  </r>
  <r>
    <x v="967"/>
    <s v="Ana Souza"/>
    <d v="2025-12-22T00:00:00"/>
    <x v="4"/>
    <x v="3"/>
    <x v="7"/>
    <n v="1"/>
    <x v="7"/>
    <n v="84.27"/>
    <x v="559"/>
    <x v="0"/>
  </r>
  <r>
    <x v="968"/>
    <s v="Maria Oliveira"/>
    <d v="2025-12-21T00:00:00"/>
    <x v="3"/>
    <x v="2"/>
    <x v="2"/>
    <n v="1"/>
    <x v="2"/>
    <n v="0"/>
    <x v="85"/>
    <x v="4"/>
  </r>
  <r>
    <x v="969"/>
    <s v="Juliana Costa"/>
    <d v="2025-12-25T00:00:00"/>
    <x v="2"/>
    <x v="3"/>
    <x v="8"/>
    <n v="4"/>
    <x v="8"/>
    <n v="0"/>
    <x v="280"/>
    <x v="2"/>
  </r>
  <r>
    <x v="970"/>
    <s v="Carlos Silva"/>
    <d v="2026-02-05T00:00:00"/>
    <x v="3"/>
    <x v="0"/>
    <x v="4"/>
    <n v="4"/>
    <x v="4"/>
    <n v="74.27"/>
    <x v="560"/>
    <x v="7"/>
  </r>
  <r>
    <x v="971"/>
    <s v="Juliana Costa"/>
    <d v="2025-06-25T00:00:00"/>
    <x v="0"/>
    <x v="1"/>
    <x v="14"/>
    <n v="2"/>
    <x v="14"/>
    <n v="11.89"/>
    <x v="561"/>
    <x v="4"/>
  </r>
  <r>
    <x v="972"/>
    <s v="Marcos Rodrigues"/>
    <d v="2026-01-01T00:00:00"/>
    <x v="4"/>
    <x v="3"/>
    <x v="7"/>
    <n v="2"/>
    <x v="7"/>
    <n v="0"/>
    <x v="10"/>
    <x v="0"/>
  </r>
  <r>
    <x v="973"/>
    <s v="Ana Souza"/>
    <d v="2025-10-21T00:00:00"/>
    <x v="1"/>
    <x v="2"/>
    <x v="11"/>
    <n v="2"/>
    <x v="11"/>
    <n v="0"/>
    <x v="79"/>
    <x v="3"/>
  </r>
  <r>
    <x v="974"/>
    <s v="Marcos Rodrigues"/>
    <d v="2025-01-30T00:00:00"/>
    <x v="4"/>
    <x v="0"/>
    <x v="0"/>
    <n v="1"/>
    <x v="0"/>
    <n v="44.32"/>
    <x v="562"/>
    <x v="0"/>
  </r>
  <r>
    <x v="975"/>
    <s v="Patricia Gomes"/>
    <d v="2025-03-03T00:00:00"/>
    <x v="0"/>
    <x v="1"/>
    <x v="9"/>
    <n v="5"/>
    <x v="9"/>
    <n v="9.52"/>
    <x v="563"/>
    <x v="2"/>
  </r>
  <r>
    <x v="976"/>
    <s v="Marcos Rodrigues"/>
    <d v="2025-10-25T00:00:00"/>
    <x v="3"/>
    <x v="2"/>
    <x v="11"/>
    <n v="1"/>
    <x v="11"/>
    <n v="0"/>
    <x v="63"/>
    <x v="3"/>
  </r>
  <r>
    <x v="977"/>
    <s v="Beatriz Ribeiro"/>
    <d v="2025-10-19T00:00:00"/>
    <x v="0"/>
    <x v="0"/>
    <x v="15"/>
    <n v="5"/>
    <x v="15"/>
    <n v="117.16"/>
    <x v="564"/>
    <x v="0"/>
  </r>
  <r>
    <x v="978"/>
    <s v="Roberto Santos"/>
    <d v="2025-05-16T00:00:00"/>
    <x v="2"/>
    <x v="2"/>
    <x v="6"/>
    <n v="5"/>
    <x v="6"/>
    <n v="0"/>
    <x v="30"/>
    <x v="6"/>
  </r>
  <r>
    <x v="979"/>
    <s v="Roberto Santos"/>
    <d v="2025-09-05T00:00:00"/>
    <x v="1"/>
    <x v="2"/>
    <x v="6"/>
    <n v="1"/>
    <x v="6"/>
    <n v="0"/>
    <x v="187"/>
    <x v="2"/>
  </r>
  <r>
    <x v="980"/>
    <s v="Lucas Almeida"/>
    <d v="2025-05-20T00:00:00"/>
    <x v="3"/>
    <x v="0"/>
    <x v="0"/>
    <n v="5"/>
    <x v="0"/>
    <n v="0"/>
    <x v="42"/>
    <x v="1"/>
  </r>
  <r>
    <x v="981"/>
    <s v="Marcos Rodrigues"/>
    <d v="2025-12-30T00:00:00"/>
    <x v="3"/>
    <x v="3"/>
    <x v="3"/>
    <n v="4"/>
    <x v="3"/>
    <n v="0"/>
    <x v="210"/>
    <x v="5"/>
  </r>
  <r>
    <x v="982"/>
    <s v="Juliana Costa"/>
    <d v="2025-02-07T00:00:00"/>
    <x v="4"/>
    <x v="3"/>
    <x v="7"/>
    <n v="4"/>
    <x v="7"/>
    <n v="385.99"/>
    <x v="565"/>
    <x v="2"/>
  </r>
  <r>
    <x v="983"/>
    <s v="Lucas Almeida"/>
    <d v="2025-05-31T00:00:00"/>
    <x v="0"/>
    <x v="0"/>
    <x v="0"/>
    <n v="3"/>
    <x v="0"/>
    <n v="0"/>
    <x v="74"/>
    <x v="3"/>
  </r>
  <r>
    <x v="984"/>
    <s v="Maria Oliveira"/>
    <d v="2025-04-16T00:00:00"/>
    <x v="1"/>
    <x v="2"/>
    <x v="10"/>
    <n v="5"/>
    <x v="10"/>
    <n v="0"/>
    <x v="155"/>
    <x v="3"/>
  </r>
  <r>
    <x v="985"/>
    <s v="Juliana Costa"/>
    <d v="2025-06-24T00:00:00"/>
    <x v="3"/>
    <x v="3"/>
    <x v="12"/>
    <n v="4"/>
    <x v="12"/>
    <n v="1000.24"/>
    <x v="566"/>
    <x v="7"/>
  </r>
  <r>
    <x v="986"/>
    <s v="Roberto Santos"/>
    <d v="2025-09-12T00:00:00"/>
    <x v="2"/>
    <x v="0"/>
    <x v="15"/>
    <n v="5"/>
    <x v="15"/>
    <n v="0"/>
    <x v="152"/>
    <x v="5"/>
  </r>
  <r>
    <x v="987"/>
    <s v="Patricia Gomes"/>
    <d v="2025-09-20T00:00:00"/>
    <x v="4"/>
    <x v="1"/>
    <x v="5"/>
    <n v="2"/>
    <x v="5"/>
    <n v="0"/>
    <x v="8"/>
    <x v="2"/>
  </r>
  <r>
    <x v="988"/>
    <s v="João Pereira"/>
    <d v="2025-01-23T00:00:00"/>
    <x v="1"/>
    <x v="3"/>
    <x v="7"/>
    <n v="5"/>
    <x v="7"/>
    <n v="555.57000000000005"/>
    <x v="567"/>
    <x v="7"/>
  </r>
  <r>
    <x v="989"/>
    <s v="João Pereira"/>
    <d v="2025-05-17T00:00:00"/>
    <x v="1"/>
    <x v="2"/>
    <x v="11"/>
    <n v="2"/>
    <x v="11"/>
    <n v="0"/>
    <x v="79"/>
    <x v="3"/>
  </r>
  <r>
    <x v="990"/>
    <s v="Fernanda Lima"/>
    <d v="2025-01-24T00:00:00"/>
    <x v="4"/>
    <x v="2"/>
    <x v="2"/>
    <n v="1"/>
    <x v="2"/>
    <n v="4.54"/>
    <x v="568"/>
    <x v="4"/>
  </r>
  <r>
    <x v="991"/>
    <s v="Patricia Gomes"/>
    <d v="2025-05-02T00:00:00"/>
    <x v="4"/>
    <x v="0"/>
    <x v="0"/>
    <n v="5"/>
    <x v="0"/>
    <n v="227.52"/>
    <x v="569"/>
    <x v="3"/>
  </r>
  <r>
    <x v="992"/>
    <s v="Roberto Santos"/>
    <d v="2025-07-28T00:00:00"/>
    <x v="3"/>
    <x v="1"/>
    <x v="1"/>
    <n v="2"/>
    <x v="1"/>
    <n v="2.31"/>
    <x v="570"/>
    <x v="6"/>
  </r>
  <r>
    <x v="993"/>
    <s v="Lucas Almeida"/>
    <d v="2025-07-29T00:00:00"/>
    <x v="3"/>
    <x v="2"/>
    <x v="2"/>
    <n v="1"/>
    <x v="2"/>
    <n v="0"/>
    <x v="85"/>
    <x v="4"/>
  </r>
  <r>
    <x v="994"/>
    <s v="Carlos Silva"/>
    <d v="2025-08-26T00:00:00"/>
    <x v="1"/>
    <x v="0"/>
    <x v="4"/>
    <n v="3"/>
    <x v="4"/>
    <n v="1.72"/>
    <x v="571"/>
    <x v="2"/>
  </r>
  <r>
    <x v="995"/>
    <s v="Patricia Gomes"/>
    <d v="2025-07-06T00:00:00"/>
    <x v="0"/>
    <x v="1"/>
    <x v="5"/>
    <n v="3"/>
    <x v="5"/>
    <n v="0"/>
    <x v="161"/>
    <x v="1"/>
  </r>
  <r>
    <x v="996"/>
    <s v="Beatriz Ribeiro"/>
    <d v="2025-04-13T00:00:00"/>
    <x v="4"/>
    <x v="3"/>
    <x v="12"/>
    <n v="2"/>
    <x v="12"/>
    <n v="808.38"/>
    <x v="572"/>
    <x v="6"/>
  </r>
  <r>
    <x v="997"/>
    <s v="Maria Oliveira"/>
    <d v="2025-12-25T00:00:00"/>
    <x v="2"/>
    <x v="0"/>
    <x v="15"/>
    <n v="2"/>
    <x v="15"/>
    <n v="84.6"/>
    <x v="573"/>
    <x v="6"/>
  </r>
  <r>
    <x v="998"/>
    <s v="Ana Souza"/>
    <d v="2025-02-07T00:00:00"/>
    <x v="1"/>
    <x v="2"/>
    <x v="6"/>
    <n v="1"/>
    <x v="6"/>
    <n v="13.39"/>
    <x v="574"/>
    <x v="5"/>
  </r>
  <r>
    <x v="999"/>
    <s v="Carlos Silva"/>
    <d v="2025-07-21T00:00:00"/>
    <x v="2"/>
    <x v="1"/>
    <x v="5"/>
    <n v="5"/>
    <x v="5"/>
    <n v="0"/>
    <x v="71"/>
    <x v="1"/>
  </r>
  <r>
    <x v="1000"/>
    <s v="Fernanda Lima"/>
    <d v="2025-05-14T00:00:00"/>
    <x v="1"/>
    <x v="0"/>
    <x v="13"/>
    <n v="3"/>
    <x v="13"/>
    <n v="46.34"/>
    <x v="575"/>
    <x v="1"/>
  </r>
  <r>
    <x v="1001"/>
    <s v="Maria Oliveira"/>
    <d v="2025-04-01T00:00:00"/>
    <x v="4"/>
    <x v="2"/>
    <x v="6"/>
    <n v="3"/>
    <x v="6"/>
    <n v="0"/>
    <x v="213"/>
    <x v="2"/>
  </r>
  <r>
    <x v="1002"/>
    <s v="Roberto Santos"/>
    <d v="2025-09-16T00:00:00"/>
    <x v="1"/>
    <x v="0"/>
    <x v="0"/>
    <n v="3"/>
    <x v="0"/>
    <n v="194.04"/>
    <x v="576"/>
    <x v="5"/>
  </r>
  <r>
    <x v="1003"/>
    <s v="Maria Oliveira"/>
    <d v="2025-02-01T00:00:00"/>
    <x v="4"/>
    <x v="2"/>
    <x v="11"/>
    <n v="4"/>
    <x v="11"/>
    <n v="74.8"/>
    <x v="577"/>
    <x v="4"/>
  </r>
  <r>
    <x v="1004"/>
    <s v="Lucas Almeida"/>
    <d v="2025-04-11T00:00:00"/>
    <x v="0"/>
    <x v="3"/>
    <x v="3"/>
    <n v="5"/>
    <x v="3"/>
    <n v="0"/>
    <x v="301"/>
    <x v="5"/>
  </r>
  <r>
    <x v="1005"/>
    <s v="Juliana Costa"/>
    <d v="2025-10-11T00:00:00"/>
    <x v="4"/>
    <x v="1"/>
    <x v="5"/>
    <n v="3"/>
    <x v="5"/>
    <n v="0"/>
    <x v="161"/>
    <x v="6"/>
  </r>
  <r>
    <x v="1006"/>
    <s v="Maria Oliveira"/>
    <d v="2025-09-12T00:00:00"/>
    <x v="2"/>
    <x v="3"/>
    <x v="3"/>
    <n v="4"/>
    <x v="3"/>
    <n v="48.41"/>
    <x v="578"/>
    <x v="2"/>
  </r>
  <r>
    <x v="1007"/>
    <s v="Carlos Silva"/>
    <d v="2025-02-24T00:00:00"/>
    <x v="3"/>
    <x v="3"/>
    <x v="3"/>
    <n v="2"/>
    <x v="3"/>
    <n v="56.82"/>
    <x v="579"/>
    <x v="2"/>
  </r>
  <r>
    <x v="1008"/>
    <s v="Carlos Silva"/>
    <d v="2026-01-28T00:00:00"/>
    <x v="2"/>
    <x v="2"/>
    <x v="2"/>
    <n v="5"/>
    <x v="2"/>
    <n v="21.26"/>
    <x v="580"/>
    <x v="6"/>
  </r>
  <r>
    <x v="1009"/>
    <s v="Ana Souza"/>
    <d v="2025-03-07T00:00:00"/>
    <x v="2"/>
    <x v="0"/>
    <x v="15"/>
    <n v="4"/>
    <x v="15"/>
    <n v="130.22999999999999"/>
    <x v="581"/>
    <x v="4"/>
  </r>
  <r>
    <x v="1010"/>
    <s v="Marcos Rodrigues"/>
    <d v="2025-10-05T00:00:00"/>
    <x v="0"/>
    <x v="0"/>
    <x v="0"/>
    <n v="5"/>
    <x v="0"/>
    <n v="0"/>
    <x v="42"/>
    <x v="6"/>
  </r>
  <r>
    <x v="1011"/>
    <s v="Fernanda Lima"/>
    <d v="2025-07-09T00:00:00"/>
    <x v="2"/>
    <x v="3"/>
    <x v="7"/>
    <n v="1"/>
    <x v="7"/>
    <n v="17.64"/>
    <x v="582"/>
    <x v="7"/>
  </r>
  <r>
    <x v="1012"/>
    <s v="Maria Oliveira"/>
    <d v="2025-09-16T00:00:00"/>
    <x v="1"/>
    <x v="3"/>
    <x v="7"/>
    <n v="5"/>
    <x v="7"/>
    <n v="451.96"/>
    <x v="583"/>
    <x v="7"/>
  </r>
  <r>
    <x v="1013"/>
    <s v="Fernanda Lima"/>
    <d v="2025-05-07T00:00:00"/>
    <x v="1"/>
    <x v="0"/>
    <x v="13"/>
    <n v="2"/>
    <x v="13"/>
    <n v="12.13"/>
    <x v="584"/>
    <x v="4"/>
  </r>
  <r>
    <x v="1014"/>
    <s v="Beatriz Ribeiro"/>
    <d v="2026-01-25T00:00:00"/>
    <x v="2"/>
    <x v="1"/>
    <x v="9"/>
    <n v="1"/>
    <x v="9"/>
    <n v="5.03"/>
    <x v="585"/>
    <x v="4"/>
  </r>
  <r>
    <x v="1015"/>
    <s v="Ana Souza"/>
    <d v="2025-05-11T00:00:00"/>
    <x v="2"/>
    <x v="0"/>
    <x v="15"/>
    <n v="4"/>
    <x v="15"/>
    <n v="0"/>
    <x v="221"/>
    <x v="6"/>
  </r>
  <r>
    <x v="1016"/>
    <s v="João Pereira"/>
    <d v="2025-01-23T00:00:00"/>
    <x v="1"/>
    <x v="3"/>
    <x v="7"/>
    <n v="1"/>
    <x v="7"/>
    <n v="0"/>
    <x v="287"/>
    <x v="7"/>
  </r>
  <r>
    <x v="1017"/>
    <s v="Lucas Almeida"/>
    <d v="2025-11-18T00:00:00"/>
    <x v="0"/>
    <x v="2"/>
    <x v="6"/>
    <n v="2"/>
    <x v="6"/>
    <n v="15.6"/>
    <x v="586"/>
    <x v="5"/>
  </r>
  <r>
    <x v="1018"/>
    <s v="Lucas Almeida"/>
    <d v="2025-04-08T00:00:00"/>
    <x v="4"/>
    <x v="0"/>
    <x v="15"/>
    <n v="4"/>
    <x v="15"/>
    <n v="0"/>
    <x v="221"/>
    <x v="2"/>
  </r>
  <r>
    <x v="1019"/>
    <s v="João Pereira"/>
    <d v="2026-01-20T00:00:00"/>
    <x v="0"/>
    <x v="3"/>
    <x v="12"/>
    <n v="5"/>
    <x v="12"/>
    <n v="3267.95"/>
    <x v="587"/>
    <x v="4"/>
  </r>
  <r>
    <x v="1020"/>
    <s v="Ana Souza"/>
    <d v="2025-05-19T00:00:00"/>
    <x v="3"/>
    <x v="1"/>
    <x v="14"/>
    <n v="5"/>
    <x v="14"/>
    <n v="24.36"/>
    <x v="588"/>
    <x v="0"/>
  </r>
  <r>
    <x v="1021"/>
    <s v="Juliana Costa"/>
    <d v="2025-04-19T00:00:00"/>
    <x v="0"/>
    <x v="0"/>
    <x v="13"/>
    <n v="5"/>
    <x v="13"/>
    <n v="36.590000000000003"/>
    <x v="589"/>
    <x v="3"/>
  </r>
  <r>
    <x v="1022"/>
    <s v="Patricia Gomes"/>
    <d v="2025-12-08T00:00:00"/>
    <x v="0"/>
    <x v="0"/>
    <x v="15"/>
    <n v="4"/>
    <x v="15"/>
    <n v="174.04"/>
    <x v="590"/>
    <x v="5"/>
  </r>
  <r>
    <x v="1023"/>
    <s v="Juliana Costa"/>
    <d v="2025-06-21T00:00:00"/>
    <x v="2"/>
    <x v="3"/>
    <x v="7"/>
    <n v="5"/>
    <x v="7"/>
    <n v="0"/>
    <x v="184"/>
    <x v="6"/>
  </r>
  <r>
    <x v="1024"/>
    <s v="Carlos Silva"/>
    <d v="2025-04-26T00:00:00"/>
    <x v="2"/>
    <x v="3"/>
    <x v="12"/>
    <n v="4"/>
    <x v="12"/>
    <n v="0"/>
    <x v="102"/>
    <x v="6"/>
  </r>
  <r>
    <x v="1025"/>
    <s v="Roberto Santos"/>
    <d v="2026-01-30T00:00:00"/>
    <x v="2"/>
    <x v="2"/>
    <x v="6"/>
    <n v="3"/>
    <x v="6"/>
    <n v="0"/>
    <x v="213"/>
    <x v="7"/>
  </r>
  <r>
    <x v="1026"/>
    <s v="Lucas Almeida"/>
    <d v="2025-12-29T00:00:00"/>
    <x v="2"/>
    <x v="0"/>
    <x v="0"/>
    <n v="4"/>
    <x v="0"/>
    <n v="5.68"/>
    <x v="591"/>
    <x v="6"/>
  </r>
  <r>
    <x v="1027"/>
    <s v="Lucas Almeida"/>
    <d v="2025-01-16T00:00:00"/>
    <x v="1"/>
    <x v="3"/>
    <x v="7"/>
    <n v="2"/>
    <x v="7"/>
    <n v="0"/>
    <x v="10"/>
    <x v="7"/>
  </r>
  <r>
    <x v="1028"/>
    <s v="Ana Souza"/>
    <d v="2025-02-05T00:00:00"/>
    <x v="4"/>
    <x v="0"/>
    <x v="0"/>
    <n v="3"/>
    <x v="0"/>
    <n v="99.34"/>
    <x v="592"/>
    <x v="7"/>
  </r>
  <r>
    <x v="1029"/>
    <s v="Carlos Silva"/>
    <d v="2025-04-06T00:00:00"/>
    <x v="0"/>
    <x v="0"/>
    <x v="15"/>
    <n v="1"/>
    <x v="15"/>
    <n v="6.23"/>
    <x v="593"/>
    <x v="6"/>
  </r>
  <r>
    <x v="1030"/>
    <s v="Maria Oliveira"/>
    <d v="2025-12-24T00:00:00"/>
    <x v="4"/>
    <x v="1"/>
    <x v="5"/>
    <n v="1"/>
    <x v="5"/>
    <n v="5.87"/>
    <x v="594"/>
    <x v="2"/>
  </r>
  <r>
    <x v="1031"/>
    <s v="João Pereira"/>
    <d v="2025-06-04T00:00:00"/>
    <x v="1"/>
    <x v="0"/>
    <x v="15"/>
    <n v="3"/>
    <x v="15"/>
    <n v="0"/>
    <x v="126"/>
    <x v="5"/>
  </r>
  <r>
    <x v="1032"/>
    <s v="Lucas Almeida"/>
    <d v="2025-07-29T00:00:00"/>
    <x v="4"/>
    <x v="1"/>
    <x v="5"/>
    <n v="4"/>
    <x v="5"/>
    <n v="0"/>
    <x v="95"/>
    <x v="0"/>
  </r>
  <r>
    <x v="1033"/>
    <s v="Maria Oliveira"/>
    <d v="2025-04-05T00:00:00"/>
    <x v="3"/>
    <x v="3"/>
    <x v="3"/>
    <n v="2"/>
    <x v="3"/>
    <n v="20.399999999999999"/>
    <x v="595"/>
    <x v="5"/>
  </r>
  <r>
    <x v="1034"/>
    <s v="Fernanda Lima"/>
    <d v="2025-06-15T00:00:00"/>
    <x v="3"/>
    <x v="1"/>
    <x v="5"/>
    <n v="3"/>
    <x v="5"/>
    <n v="0"/>
    <x v="161"/>
    <x v="1"/>
  </r>
  <r>
    <x v="1035"/>
    <s v="Patricia Gomes"/>
    <d v="2025-06-26T00:00:00"/>
    <x v="0"/>
    <x v="2"/>
    <x v="2"/>
    <n v="1"/>
    <x v="2"/>
    <n v="11.23"/>
    <x v="596"/>
    <x v="4"/>
  </r>
  <r>
    <x v="1036"/>
    <s v="Marcos Rodrigues"/>
    <d v="2025-01-05T00:00:00"/>
    <x v="3"/>
    <x v="3"/>
    <x v="12"/>
    <n v="1"/>
    <x v="12"/>
    <n v="0"/>
    <x v="33"/>
    <x v="1"/>
  </r>
  <r>
    <x v="1037"/>
    <s v="Fernanda Lima"/>
    <d v="2025-05-20T00:00:00"/>
    <x v="3"/>
    <x v="2"/>
    <x v="2"/>
    <n v="4"/>
    <x v="2"/>
    <n v="39.24"/>
    <x v="597"/>
    <x v="3"/>
  </r>
  <r>
    <x v="1038"/>
    <s v="Beatriz Ribeiro"/>
    <d v="2025-01-22T00:00:00"/>
    <x v="1"/>
    <x v="0"/>
    <x v="0"/>
    <n v="2"/>
    <x v="0"/>
    <n v="0"/>
    <x v="68"/>
    <x v="7"/>
  </r>
  <r>
    <x v="1039"/>
    <s v="Carlos Silva"/>
    <d v="2025-02-27T00:00:00"/>
    <x v="1"/>
    <x v="0"/>
    <x v="15"/>
    <n v="5"/>
    <x v="15"/>
    <n v="0"/>
    <x v="152"/>
    <x v="0"/>
  </r>
  <r>
    <x v="1040"/>
    <s v="Carlos Silva"/>
    <d v="2025-01-20T00:00:00"/>
    <x v="1"/>
    <x v="3"/>
    <x v="7"/>
    <n v="4"/>
    <x v="7"/>
    <n v="0"/>
    <x v="44"/>
    <x v="7"/>
  </r>
  <r>
    <x v="1041"/>
    <s v="Ana Souza"/>
    <d v="2025-06-23T00:00:00"/>
    <x v="2"/>
    <x v="2"/>
    <x v="10"/>
    <n v="1"/>
    <x v="10"/>
    <n v="25.57"/>
    <x v="598"/>
    <x v="1"/>
  </r>
  <r>
    <x v="1042"/>
    <s v="Beatriz Ribeiro"/>
    <d v="2025-12-16T00:00:00"/>
    <x v="1"/>
    <x v="2"/>
    <x v="11"/>
    <n v="2"/>
    <x v="11"/>
    <n v="21.39"/>
    <x v="599"/>
    <x v="0"/>
  </r>
  <r>
    <x v="1043"/>
    <s v="Fernanda Lima"/>
    <d v="2026-01-21T00:00:00"/>
    <x v="2"/>
    <x v="0"/>
    <x v="15"/>
    <n v="5"/>
    <x v="15"/>
    <n v="204.51"/>
    <x v="600"/>
    <x v="6"/>
  </r>
  <r>
    <x v="1044"/>
    <s v="Ricardo Carvalho"/>
    <d v="2026-02-04T00:00:00"/>
    <x v="3"/>
    <x v="1"/>
    <x v="14"/>
    <n v="5"/>
    <x v="14"/>
    <n v="30.93"/>
    <x v="601"/>
    <x v="1"/>
  </r>
  <r>
    <x v="1045"/>
    <s v="Carlos Silva"/>
    <d v="2025-11-12T00:00:00"/>
    <x v="1"/>
    <x v="1"/>
    <x v="14"/>
    <n v="1"/>
    <x v="14"/>
    <n v="0"/>
    <x v="106"/>
    <x v="5"/>
  </r>
  <r>
    <x v="1046"/>
    <s v="Roberto Santos"/>
    <d v="2025-07-30T00:00:00"/>
    <x v="2"/>
    <x v="3"/>
    <x v="8"/>
    <n v="1"/>
    <x v="8"/>
    <n v="55.03"/>
    <x v="602"/>
    <x v="2"/>
  </r>
  <r>
    <x v="1047"/>
    <s v="Ana Souza"/>
    <d v="2025-05-13T00:00:00"/>
    <x v="1"/>
    <x v="2"/>
    <x v="2"/>
    <n v="1"/>
    <x v="2"/>
    <n v="0"/>
    <x v="85"/>
    <x v="7"/>
  </r>
  <r>
    <x v="1048"/>
    <s v="Lucas Almeida"/>
    <d v="2025-03-10T00:00:00"/>
    <x v="3"/>
    <x v="3"/>
    <x v="12"/>
    <n v="4"/>
    <x v="12"/>
    <n v="0"/>
    <x v="102"/>
    <x v="0"/>
  </r>
  <r>
    <x v="1049"/>
    <s v="Fernanda Lima"/>
    <d v="2025-01-21T00:00:00"/>
    <x v="4"/>
    <x v="2"/>
    <x v="6"/>
    <n v="4"/>
    <x v="6"/>
    <n v="0"/>
    <x v="38"/>
    <x v="3"/>
  </r>
  <r>
    <x v="1050"/>
    <s v="Fernanda Lima"/>
    <d v="2025-05-18T00:00:00"/>
    <x v="4"/>
    <x v="1"/>
    <x v="9"/>
    <n v="3"/>
    <x v="9"/>
    <n v="0"/>
    <x v="16"/>
    <x v="1"/>
  </r>
  <r>
    <x v="1051"/>
    <s v="Ricardo Carvalho"/>
    <d v="2025-05-16T00:00:00"/>
    <x v="1"/>
    <x v="3"/>
    <x v="7"/>
    <n v="1"/>
    <x v="7"/>
    <n v="86.53"/>
    <x v="603"/>
    <x v="1"/>
  </r>
  <r>
    <x v="1052"/>
    <s v="Ana Souza"/>
    <d v="2025-06-04T00:00:00"/>
    <x v="3"/>
    <x v="0"/>
    <x v="13"/>
    <n v="4"/>
    <x v="13"/>
    <n v="0"/>
    <x v="27"/>
    <x v="3"/>
  </r>
  <r>
    <x v="1053"/>
    <s v="Maria Oliveira"/>
    <d v="2025-03-13T00:00:00"/>
    <x v="2"/>
    <x v="0"/>
    <x v="4"/>
    <n v="3"/>
    <x v="4"/>
    <n v="192.77"/>
    <x v="604"/>
    <x v="4"/>
  </r>
  <r>
    <x v="1054"/>
    <s v="Roberto Santos"/>
    <d v="2025-02-15T00:00:00"/>
    <x v="3"/>
    <x v="1"/>
    <x v="1"/>
    <n v="3"/>
    <x v="1"/>
    <n v="0"/>
    <x v="1"/>
    <x v="7"/>
  </r>
  <r>
    <x v="1055"/>
    <s v="Carlos Silva"/>
    <d v="2025-11-29T00:00:00"/>
    <x v="3"/>
    <x v="0"/>
    <x v="4"/>
    <n v="2"/>
    <x v="4"/>
    <n v="117.54"/>
    <x v="605"/>
    <x v="1"/>
  </r>
  <r>
    <x v="1056"/>
    <s v="Juliana Costa"/>
    <d v="2025-07-28T00:00:00"/>
    <x v="3"/>
    <x v="0"/>
    <x v="0"/>
    <n v="1"/>
    <x v="0"/>
    <n v="18.05"/>
    <x v="606"/>
    <x v="4"/>
  </r>
  <r>
    <x v="1057"/>
    <s v="Beatriz Ribeiro"/>
    <d v="2025-11-24T00:00:00"/>
    <x v="0"/>
    <x v="2"/>
    <x v="11"/>
    <n v="1"/>
    <x v="11"/>
    <n v="16.59"/>
    <x v="607"/>
    <x v="6"/>
  </r>
  <r>
    <x v="1058"/>
    <s v="Lucas Almeida"/>
    <d v="2025-02-09T00:00:00"/>
    <x v="1"/>
    <x v="3"/>
    <x v="8"/>
    <n v="1"/>
    <x v="8"/>
    <n v="0"/>
    <x v="56"/>
    <x v="5"/>
  </r>
  <r>
    <x v="1059"/>
    <s v="Ricardo Carvalho"/>
    <d v="2025-02-21T00:00:00"/>
    <x v="2"/>
    <x v="3"/>
    <x v="12"/>
    <n v="3"/>
    <x v="12"/>
    <n v="309.22000000000003"/>
    <x v="608"/>
    <x v="7"/>
  </r>
  <r>
    <x v="1060"/>
    <s v="Maria Oliveira"/>
    <d v="2025-08-07T00:00:00"/>
    <x v="4"/>
    <x v="2"/>
    <x v="2"/>
    <n v="1"/>
    <x v="2"/>
    <n v="7.97"/>
    <x v="609"/>
    <x v="6"/>
  </r>
  <r>
    <x v="1061"/>
    <s v="Beatriz Ribeiro"/>
    <d v="2025-12-14T00:00:00"/>
    <x v="4"/>
    <x v="3"/>
    <x v="3"/>
    <n v="2"/>
    <x v="3"/>
    <n v="57.47"/>
    <x v="610"/>
    <x v="0"/>
  </r>
  <r>
    <x v="1062"/>
    <s v="Carlos Silva"/>
    <d v="2025-11-04T00:00:00"/>
    <x v="3"/>
    <x v="1"/>
    <x v="14"/>
    <n v="1"/>
    <x v="14"/>
    <n v="0.95"/>
    <x v="611"/>
    <x v="3"/>
  </r>
  <r>
    <x v="1063"/>
    <s v="Beatriz Ribeiro"/>
    <d v="2025-07-31T00:00:00"/>
    <x v="1"/>
    <x v="3"/>
    <x v="12"/>
    <n v="4"/>
    <x v="12"/>
    <n v="2515.4"/>
    <x v="612"/>
    <x v="2"/>
  </r>
  <r>
    <x v="1064"/>
    <s v="Lucas Almeida"/>
    <d v="2025-10-21T00:00:00"/>
    <x v="0"/>
    <x v="2"/>
    <x v="11"/>
    <n v="1"/>
    <x v="11"/>
    <n v="2.82"/>
    <x v="613"/>
    <x v="1"/>
  </r>
  <r>
    <x v="1065"/>
    <s v="Marcos Rodrigues"/>
    <d v="2025-12-18T00:00:00"/>
    <x v="3"/>
    <x v="2"/>
    <x v="11"/>
    <n v="5"/>
    <x v="11"/>
    <n v="88.19"/>
    <x v="614"/>
    <x v="4"/>
  </r>
  <r>
    <x v="1066"/>
    <s v="Patricia Gomes"/>
    <d v="2025-03-13T00:00:00"/>
    <x v="2"/>
    <x v="1"/>
    <x v="1"/>
    <n v="3"/>
    <x v="1"/>
    <n v="0"/>
    <x v="1"/>
    <x v="1"/>
  </r>
  <r>
    <x v="1067"/>
    <s v="Juliana Costa"/>
    <d v="2025-06-23T00:00:00"/>
    <x v="4"/>
    <x v="3"/>
    <x v="8"/>
    <n v="2"/>
    <x v="8"/>
    <n v="112.23"/>
    <x v="615"/>
    <x v="2"/>
  </r>
  <r>
    <x v="1068"/>
    <s v="Beatriz Ribeiro"/>
    <d v="2025-11-12T00:00:00"/>
    <x v="4"/>
    <x v="0"/>
    <x v="0"/>
    <n v="3"/>
    <x v="0"/>
    <n v="234.28"/>
    <x v="616"/>
    <x v="5"/>
  </r>
  <r>
    <x v="1069"/>
    <s v="Maria Oliveira"/>
    <d v="2025-02-10T00:00:00"/>
    <x v="2"/>
    <x v="0"/>
    <x v="15"/>
    <n v="2"/>
    <x v="15"/>
    <n v="71.319999999999993"/>
    <x v="617"/>
    <x v="1"/>
  </r>
  <r>
    <x v="1070"/>
    <s v="Marcos Rodrigues"/>
    <d v="2025-11-14T00:00:00"/>
    <x v="3"/>
    <x v="2"/>
    <x v="10"/>
    <n v="5"/>
    <x v="10"/>
    <n v="0"/>
    <x v="155"/>
    <x v="5"/>
  </r>
  <r>
    <x v="1071"/>
    <s v="Carlos Silva"/>
    <d v="2026-01-31T00:00:00"/>
    <x v="4"/>
    <x v="2"/>
    <x v="2"/>
    <n v="4"/>
    <x v="2"/>
    <n v="15.05"/>
    <x v="618"/>
    <x v="1"/>
  </r>
  <r>
    <x v="1072"/>
    <s v="Ricardo Carvalho"/>
    <d v="2025-02-05T00:00:00"/>
    <x v="2"/>
    <x v="2"/>
    <x v="10"/>
    <n v="2"/>
    <x v="10"/>
    <n v="0"/>
    <x v="116"/>
    <x v="3"/>
  </r>
  <r>
    <x v="1073"/>
    <s v="Ricardo Carvalho"/>
    <d v="2025-06-23T00:00:00"/>
    <x v="1"/>
    <x v="2"/>
    <x v="11"/>
    <n v="4"/>
    <x v="11"/>
    <n v="0"/>
    <x v="267"/>
    <x v="1"/>
  </r>
  <r>
    <x v="1074"/>
    <s v="Carlos Silva"/>
    <d v="2025-05-04T00:00:00"/>
    <x v="3"/>
    <x v="0"/>
    <x v="15"/>
    <n v="1"/>
    <x v="15"/>
    <n v="48.09"/>
    <x v="619"/>
    <x v="1"/>
  </r>
  <r>
    <x v="1075"/>
    <s v="Marcos Rodrigues"/>
    <d v="2025-04-28T00:00:00"/>
    <x v="0"/>
    <x v="3"/>
    <x v="12"/>
    <n v="1"/>
    <x v="12"/>
    <n v="36.81"/>
    <x v="620"/>
    <x v="1"/>
  </r>
  <r>
    <x v="1076"/>
    <s v="Ricardo Carvalho"/>
    <d v="2025-03-06T00:00:00"/>
    <x v="2"/>
    <x v="0"/>
    <x v="13"/>
    <n v="2"/>
    <x v="13"/>
    <n v="48.27"/>
    <x v="621"/>
    <x v="5"/>
  </r>
  <r>
    <x v="1077"/>
    <s v="Carlos Silva"/>
    <d v="2025-05-04T00:00:00"/>
    <x v="2"/>
    <x v="2"/>
    <x v="10"/>
    <n v="1"/>
    <x v="10"/>
    <n v="30.87"/>
    <x v="622"/>
    <x v="2"/>
  </r>
  <r>
    <x v="1078"/>
    <s v="Juliana Costa"/>
    <d v="2025-09-02T00:00:00"/>
    <x v="2"/>
    <x v="2"/>
    <x v="2"/>
    <n v="2"/>
    <x v="2"/>
    <n v="10.71"/>
    <x v="623"/>
    <x v="7"/>
  </r>
  <r>
    <x v="1079"/>
    <s v="Patricia Gomes"/>
    <d v="2025-08-31T00:00:00"/>
    <x v="4"/>
    <x v="3"/>
    <x v="12"/>
    <n v="4"/>
    <x v="12"/>
    <n v="63.97"/>
    <x v="624"/>
    <x v="0"/>
  </r>
  <r>
    <x v="1080"/>
    <s v="Marcos Rodrigues"/>
    <d v="2025-11-27T00:00:00"/>
    <x v="0"/>
    <x v="1"/>
    <x v="1"/>
    <n v="4"/>
    <x v="1"/>
    <n v="0"/>
    <x v="46"/>
    <x v="4"/>
  </r>
  <r>
    <x v="1081"/>
    <s v="Fernanda Lima"/>
    <d v="2025-07-07T00:00:00"/>
    <x v="1"/>
    <x v="0"/>
    <x v="0"/>
    <n v="5"/>
    <x v="0"/>
    <n v="427.4"/>
    <x v="625"/>
    <x v="0"/>
  </r>
  <r>
    <x v="1082"/>
    <s v="Maria Oliveira"/>
    <d v="2025-07-06T00:00:00"/>
    <x v="4"/>
    <x v="0"/>
    <x v="15"/>
    <n v="3"/>
    <x v="15"/>
    <n v="0"/>
    <x v="126"/>
    <x v="2"/>
  </r>
  <r>
    <x v="1083"/>
    <s v="João Pereira"/>
    <d v="2025-07-14T00:00:00"/>
    <x v="0"/>
    <x v="1"/>
    <x v="14"/>
    <n v="3"/>
    <x v="14"/>
    <n v="21.25"/>
    <x v="626"/>
    <x v="0"/>
  </r>
  <r>
    <x v="1084"/>
    <s v="Fernanda Lima"/>
    <d v="2025-11-13T00:00:00"/>
    <x v="3"/>
    <x v="0"/>
    <x v="13"/>
    <n v="5"/>
    <x v="13"/>
    <n v="97.38"/>
    <x v="627"/>
    <x v="4"/>
  </r>
  <r>
    <x v="1085"/>
    <s v="Lucas Almeida"/>
    <d v="2025-04-19T00:00:00"/>
    <x v="0"/>
    <x v="2"/>
    <x v="2"/>
    <n v="3"/>
    <x v="2"/>
    <n v="0"/>
    <x v="146"/>
    <x v="6"/>
  </r>
  <r>
    <x v="1086"/>
    <s v="Beatriz Ribeiro"/>
    <d v="2025-01-10T00:00:00"/>
    <x v="4"/>
    <x v="0"/>
    <x v="13"/>
    <n v="4"/>
    <x v="13"/>
    <n v="76.069999999999993"/>
    <x v="628"/>
    <x v="3"/>
  </r>
  <r>
    <x v="1087"/>
    <s v="Lucas Almeida"/>
    <d v="2025-01-26T00:00:00"/>
    <x v="0"/>
    <x v="0"/>
    <x v="4"/>
    <n v="3"/>
    <x v="4"/>
    <n v="57.06"/>
    <x v="629"/>
    <x v="1"/>
  </r>
  <r>
    <x v="1088"/>
    <s v="João Pereira"/>
    <d v="2025-09-10T00:00:00"/>
    <x v="0"/>
    <x v="3"/>
    <x v="3"/>
    <n v="3"/>
    <x v="3"/>
    <n v="0"/>
    <x v="310"/>
    <x v="0"/>
  </r>
  <r>
    <x v="1089"/>
    <s v="Carlos Silva"/>
    <d v="2025-08-15T00:00:00"/>
    <x v="1"/>
    <x v="2"/>
    <x v="11"/>
    <n v="5"/>
    <x v="11"/>
    <n v="0"/>
    <x v="147"/>
    <x v="5"/>
  </r>
  <r>
    <x v="1090"/>
    <s v="Patricia Gomes"/>
    <d v="2025-01-05T00:00:00"/>
    <x v="2"/>
    <x v="3"/>
    <x v="3"/>
    <n v="1"/>
    <x v="3"/>
    <n v="27.17"/>
    <x v="630"/>
    <x v="0"/>
  </r>
  <r>
    <x v="1091"/>
    <s v="Lucas Almeida"/>
    <d v="2025-04-14T00:00:00"/>
    <x v="2"/>
    <x v="2"/>
    <x v="10"/>
    <n v="4"/>
    <x v="10"/>
    <n v="0"/>
    <x v="348"/>
    <x v="1"/>
  </r>
  <r>
    <x v="1092"/>
    <s v="Fernanda Lima"/>
    <d v="2025-09-16T00:00:00"/>
    <x v="0"/>
    <x v="1"/>
    <x v="9"/>
    <n v="1"/>
    <x v="9"/>
    <n v="0"/>
    <x v="215"/>
    <x v="0"/>
  </r>
  <r>
    <x v="1093"/>
    <s v="Roberto Santos"/>
    <d v="2025-01-21T00:00:00"/>
    <x v="3"/>
    <x v="2"/>
    <x v="6"/>
    <n v="1"/>
    <x v="6"/>
    <n v="0"/>
    <x v="187"/>
    <x v="6"/>
  </r>
  <r>
    <x v="1093"/>
    <s v="Roberto Santos"/>
    <d v="2025-01-21T00:00:00"/>
    <x v="0"/>
    <x v="3"/>
    <x v="3"/>
    <n v="2"/>
    <x v="3"/>
    <n v="69.010000000000005"/>
    <x v="631"/>
    <x v="1"/>
  </r>
  <r>
    <x v="1094"/>
    <s v="Carlos Silva"/>
    <d v="2025-02-20T00:00:00"/>
    <x v="4"/>
    <x v="2"/>
    <x v="6"/>
    <n v="2"/>
    <x v="6"/>
    <n v="0"/>
    <x v="313"/>
    <x v="6"/>
  </r>
  <r>
    <x v="1095"/>
    <s v="Maria Oliveira"/>
    <d v="2025-02-18T00:00:00"/>
    <x v="1"/>
    <x v="0"/>
    <x v="13"/>
    <n v="5"/>
    <x v="13"/>
    <n v="0"/>
    <x v="90"/>
    <x v="0"/>
  </r>
  <r>
    <x v="1096"/>
    <s v="Patricia Gomes"/>
    <d v="2025-04-13T00:00:00"/>
    <x v="0"/>
    <x v="3"/>
    <x v="3"/>
    <n v="3"/>
    <x v="3"/>
    <n v="0"/>
    <x v="310"/>
    <x v="0"/>
  </r>
  <r>
    <x v="1097"/>
    <s v="Juliana Costa"/>
    <d v="2025-02-09T00:00:00"/>
    <x v="4"/>
    <x v="2"/>
    <x v="6"/>
    <n v="1"/>
    <x v="6"/>
    <n v="0"/>
    <x v="187"/>
    <x v="0"/>
  </r>
  <r>
    <x v="1098"/>
    <s v="Juliana Costa"/>
    <d v="2025-07-05T00:00:00"/>
    <x v="4"/>
    <x v="0"/>
    <x v="15"/>
    <n v="2"/>
    <x v="15"/>
    <n v="0"/>
    <x v="61"/>
    <x v="7"/>
  </r>
  <r>
    <x v="1099"/>
    <s v="Ana Souza"/>
    <d v="2025-05-06T00:00:00"/>
    <x v="2"/>
    <x v="0"/>
    <x v="0"/>
    <n v="2"/>
    <x v="0"/>
    <n v="185.2"/>
    <x v="632"/>
    <x v="2"/>
  </r>
  <r>
    <x v="1100"/>
    <s v="Carlos Silva"/>
    <d v="2025-02-27T00:00:00"/>
    <x v="0"/>
    <x v="3"/>
    <x v="3"/>
    <n v="1"/>
    <x v="3"/>
    <n v="9.1999999999999993"/>
    <x v="633"/>
    <x v="6"/>
  </r>
  <r>
    <x v="1101"/>
    <s v="Ricardo Carvalho"/>
    <d v="2025-03-22T00:00:00"/>
    <x v="2"/>
    <x v="0"/>
    <x v="0"/>
    <n v="3"/>
    <x v="0"/>
    <n v="0"/>
    <x v="74"/>
    <x v="4"/>
  </r>
  <r>
    <x v="1102"/>
    <s v="Roberto Santos"/>
    <d v="2025-04-25T00:00:00"/>
    <x v="0"/>
    <x v="1"/>
    <x v="1"/>
    <n v="1"/>
    <x v="1"/>
    <n v="0"/>
    <x v="160"/>
    <x v="7"/>
  </r>
  <r>
    <x v="1103"/>
    <s v="Juliana Costa"/>
    <d v="2025-10-20T00:00:00"/>
    <x v="4"/>
    <x v="3"/>
    <x v="7"/>
    <n v="1"/>
    <x v="7"/>
    <n v="92.28"/>
    <x v="634"/>
    <x v="0"/>
  </r>
  <r>
    <x v="1104"/>
    <s v="Ricardo Carvalho"/>
    <d v="2025-04-16T00:00:00"/>
    <x v="4"/>
    <x v="2"/>
    <x v="6"/>
    <n v="4"/>
    <x v="6"/>
    <n v="0"/>
    <x v="38"/>
    <x v="2"/>
  </r>
  <r>
    <x v="1105"/>
    <s v="Beatriz Ribeiro"/>
    <d v="2025-12-30T00:00:00"/>
    <x v="0"/>
    <x v="1"/>
    <x v="14"/>
    <n v="1"/>
    <x v="14"/>
    <n v="0"/>
    <x v="106"/>
    <x v="7"/>
  </r>
  <r>
    <x v="1106"/>
    <s v="João Pereira"/>
    <d v="2025-10-14T00:00:00"/>
    <x v="2"/>
    <x v="0"/>
    <x v="15"/>
    <n v="2"/>
    <x v="15"/>
    <n v="71.5"/>
    <x v="635"/>
    <x v="5"/>
  </r>
  <r>
    <x v="1107"/>
    <s v="Ricardo Carvalho"/>
    <d v="2025-01-22T00:00:00"/>
    <x v="2"/>
    <x v="3"/>
    <x v="8"/>
    <n v="1"/>
    <x v="8"/>
    <n v="197.65"/>
    <x v="636"/>
    <x v="3"/>
  </r>
  <r>
    <x v="1108"/>
    <s v="Fernanda Lima"/>
    <d v="2025-04-05T00:00:00"/>
    <x v="1"/>
    <x v="0"/>
    <x v="13"/>
    <n v="1"/>
    <x v="13"/>
    <n v="24.59"/>
    <x v="637"/>
    <x v="4"/>
  </r>
  <r>
    <x v="1109"/>
    <s v="Lucas Almeida"/>
    <d v="2025-03-28T00:00:00"/>
    <x v="0"/>
    <x v="3"/>
    <x v="12"/>
    <n v="2"/>
    <x v="12"/>
    <n v="1249.77"/>
    <x v="638"/>
    <x v="1"/>
  </r>
  <r>
    <x v="1110"/>
    <s v="Ana Souza"/>
    <d v="2025-06-14T00:00:00"/>
    <x v="4"/>
    <x v="0"/>
    <x v="4"/>
    <n v="4"/>
    <x v="4"/>
    <n v="0"/>
    <x v="251"/>
    <x v="7"/>
  </r>
  <r>
    <x v="1111"/>
    <s v="Ana Souza"/>
    <d v="2025-07-23T00:00:00"/>
    <x v="3"/>
    <x v="0"/>
    <x v="15"/>
    <n v="1"/>
    <x v="15"/>
    <n v="0"/>
    <x v="384"/>
    <x v="6"/>
  </r>
  <r>
    <x v="1112"/>
    <s v="João Pereira"/>
    <d v="2025-01-09T00:00:00"/>
    <x v="1"/>
    <x v="0"/>
    <x v="4"/>
    <n v="3"/>
    <x v="4"/>
    <n v="0"/>
    <x v="26"/>
    <x v="1"/>
  </r>
  <r>
    <x v="1113"/>
    <s v="Carlos Silva"/>
    <d v="2025-03-21T00:00:00"/>
    <x v="2"/>
    <x v="2"/>
    <x v="6"/>
    <n v="3"/>
    <x v="6"/>
    <n v="0"/>
    <x v="213"/>
    <x v="4"/>
  </r>
  <r>
    <x v="1114"/>
    <s v="João Pereira"/>
    <d v="2025-09-28T00:00:00"/>
    <x v="3"/>
    <x v="1"/>
    <x v="1"/>
    <n v="3"/>
    <x v="1"/>
    <n v="33.229999999999997"/>
    <x v="639"/>
    <x v="1"/>
  </r>
  <r>
    <x v="1115"/>
    <s v="Marcos Rodrigues"/>
    <d v="2025-04-09T00:00:00"/>
    <x v="2"/>
    <x v="0"/>
    <x v="15"/>
    <n v="5"/>
    <x v="15"/>
    <n v="0"/>
    <x v="152"/>
    <x v="4"/>
  </r>
  <r>
    <x v="1116"/>
    <s v="Patricia Gomes"/>
    <d v="2025-05-18T00:00:00"/>
    <x v="0"/>
    <x v="2"/>
    <x v="10"/>
    <n v="1"/>
    <x v="10"/>
    <n v="8.74"/>
    <x v="640"/>
    <x v="0"/>
  </r>
  <r>
    <x v="1117"/>
    <s v="Patricia Gomes"/>
    <d v="2025-12-20T00:00:00"/>
    <x v="0"/>
    <x v="3"/>
    <x v="7"/>
    <n v="2"/>
    <x v="7"/>
    <n v="0"/>
    <x v="10"/>
    <x v="5"/>
  </r>
  <r>
    <x v="1118"/>
    <s v="Carlos Silva"/>
    <d v="2025-07-30T00:00:00"/>
    <x v="1"/>
    <x v="0"/>
    <x v="13"/>
    <n v="2"/>
    <x v="13"/>
    <n v="32.799999999999997"/>
    <x v="641"/>
    <x v="2"/>
  </r>
  <r>
    <x v="1119"/>
    <s v="Beatriz Ribeiro"/>
    <d v="2025-10-18T00:00:00"/>
    <x v="4"/>
    <x v="3"/>
    <x v="12"/>
    <n v="1"/>
    <x v="12"/>
    <n v="0"/>
    <x v="33"/>
    <x v="6"/>
  </r>
  <r>
    <x v="1120"/>
    <s v="Maria Oliveira"/>
    <d v="2025-07-26T00:00:00"/>
    <x v="2"/>
    <x v="0"/>
    <x v="4"/>
    <n v="5"/>
    <x v="4"/>
    <n v="111.63"/>
    <x v="642"/>
    <x v="2"/>
  </r>
  <r>
    <x v="1121"/>
    <s v="João Pereira"/>
    <d v="2026-01-01T00:00:00"/>
    <x v="0"/>
    <x v="2"/>
    <x v="6"/>
    <n v="5"/>
    <x v="6"/>
    <n v="90.53"/>
    <x v="175"/>
    <x v="2"/>
  </r>
  <r>
    <x v="1122"/>
    <s v="Ricardo Carvalho"/>
    <d v="2025-08-26T00:00:00"/>
    <x v="1"/>
    <x v="0"/>
    <x v="0"/>
    <n v="5"/>
    <x v="0"/>
    <n v="0"/>
    <x v="42"/>
    <x v="3"/>
  </r>
  <r>
    <x v="1123"/>
    <s v="Lucas Almeida"/>
    <d v="2025-12-19T00:00:00"/>
    <x v="4"/>
    <x v="1"/>
    <x v="1"/>
    <n v="3"/>
    <x v="1"/>
    <n v="4.68"/>
    <x v="643"/>
    <x v="1"/>
  </r>
  <r>
    <x v="1124"/>
    <s v="Ana Souza"/>
    <d v="2025-09-30T00:00:00"/>
    <x v="4"/>
    <x v="3"/>
    <x v="3"/>
    <n v="3"/>
    <x v="3"/>
    <n v="0"/>
    <x v="310"/>
    <x v="0"/>
  </r>
  <r>
    <x v="1125"/>
    <s v="Patricia Gomes"/>
    <d v="2025-04-18T00:00:00"/>
    <x v="0"/>
    <x v="1"/>
    <x v="9"/>
    <n v="1"/>
    <x v="9"/>
    <n v="0"/>
    <x v="215"/>
    <x v="7"/>
  </r>
  <r>
    <x v="1126"/>
    <s v="Carlos Silva"/>
    <d v="2025-08-27T00:00:00"/>
    <x v="4"/>
    <x v="0"/>
    <x v="0"/>
    <n v="5"/>
    <x v="0"/>
    <n v="145.6"/>
    <x v="644"/>
    <x v="1"/>
  </r>
  <r>
    <x v="1127"/>
    <s v="Ricardo Carvalho"/>
    <d v="2025-09-10T00:00:00"/>
    <x v="4"/>
    <x v="2"/>
    <x v="11"/>
    <n v="3"/>
    <x v="11"/>
    <n v="6.29"/>
    <x v="645"/>
    <x v="3"/>
  </r>
  <r>
    <x v="1128"/>
    <s v="Beatriz Ribeiro"/>
    <d v="2025-03-15T00:00:00"/>
    <x v="0"/>
    <x v="1"/>
    <x v="9"/>
    <n v="4"/>
    <x v="9"/>
    <n v="0"/>
    <x v="34"/>
    <x v="1"/>
  </r>
  <r>
    <x v="1129"/>
    <s v="Maria Oliveira"/>
    <d v="2025-05-04T00:00:00"/>
    <x v="2"/>
    <x v="0"/>
    <x v="0"/>
    <n v="1"/>
    <x v="0"/>
    <n v="60.23"/>
    <x v="646"/>
    <x v="4"/>
  </r>
  <r>
    <x v="1130"/>
    <s v="Patricia Gomes"/>
    <d v="2025-06-10T00:00:00"/>
    <x v="1"/>
    <x v="0"/>
    <x v="4"/>
    <n v="2"/>
    <x v="4"/>
    <n v="0"/>
    <x v="90"/>
    <x v="7"/>
  </r>
  <r>
    <x v="1131"/>
    <s v="Ana Souza"/>
    <d v="2025-06-29T00:00:00"/>
    <x v="0"/>
    <x v="1"/>
    <x v="9"/>
    <n v="4"/>
    <x v="9"/>
    <n v="5.92"/>
    <x v="327"/>
    <x v="6"/>
  </r>
  <r>
    <x v="1132"/>
    <s v="Ana Souza"/>
    <d v="2026-01-02T00:00:00"/>
    <x v="1"/>
    <x v="2"/>
    <x v="10"/>
    <n v="4"/>
    <x v="10"/>
    <n v="132.52000000000001"/>
    <x v="647"/>
    <x v="7"/>
  </r>
  <r>
    <x v="1133"/>
    <s v="Patricia Gomes"/>
    <d v="2025-09-04T00:00:00"/>
    <x v="3"/>
    <x v="2"/>
    <x v="10"/>
    <n v="3"/>
    <x v="10"/>
    <n v="111.89"/>
    <x v="648"/>
    <x v="6"/>
  </r>
  <r>
    <x v="1134"/>
    <s v="Maria Oliveira"/>
    <d v="2025-10-12T00:00:00"/>
    <x v="1"/>
    <x v="3"/>
    <x v="3"/>
    <n v="4"/>
    <x v="3"/>
    <n v="0"/>
    <x v="210"/>
    <x v="5"/>
  </r>
  <r>
    <x v="1135"/>
    <s v="Maria Oliveira"/>
    <d v="2025-04-20T00:00:00"/>
    <x v="0"/>
    <x v="2"/>
    <x v="11"/>
    <n v="5"/>
    <x v="11"/>
    <n v="11.26"/>
    <x v="649"/>
    <x v="6"/>
  </r>
  <r>
    <x v="1136"/>
    <s v="Juliana Costa"/>
    <d v="2025-07-04T00:00:00"/>
    <x v="0"/>
    <x v="1"/>
    <x v="9"/>
    <n v="3"/>
    <x v="9"/>
    <n v="16.72"/>
    <x v="650"/>
    <x v="6"/>
  </r>
  <r>
    <x v="1137"/>
    <s v="Patricia Gomes"/>
    <d v="2025-02-19T00:00:00"/>
    <x v="0"/>
    <x v="1"/>
    <x v="9"/>
    <n v="2"/>
    <x v="9"/>
    <n v="9.3699999999999992"/>
    <x v="651"/>
    <x v="2"/>
  </r>
  <r>
    <x v="1138"/>
    <s v="Fernanda Lima"/>
    <d v="2025-05-10T00:00:00"/>
    <x v="2"/>
    <x v="1"/>
    <x v="1"/>
    <n v="4"/>
    <x v="1"/>
    <n v="0"/>
    <x v="46"/>
    <x v="5"/>
  </r>
  <r>
    <x v="1139"/>
    <s v="Fernanda Lima"/>
    <d v="2025-07-19T00:00:00"/>
    <x v="2"/>
    <x v="3"/>
    <x v="7"/>
    <n v="1"/>
    <x v="7"/>
    <n v="0"/>
    <x v="287"/>
    <x v="1"/>
  </r>
  <r>
    <x v="1140"/>
    <s v="Marcos Rodrigues"/>
    <d v="2025-10-08T00:00:00"/>
    <x v="0"/>
    <x v="1"/>
    <x v="9"/>
    <n v="1"/>
    <x v="9"/>
    <n v="0.99"/>
    <x v="652"/>
    <x v="3"/>
  </r>
  <r>
    <x v="1141"/>
    <s v="Lucas Almeida"/>
    <d v="2025-02-09T00:00:00"/>
    <x v="4"/>
    <x v="1"/>
    <x v="5"/>
    <n v="4"/>
    <x v="5"/>
    <n v="0"/>
    <x v="95"/>
    <x v="0"/>
  </r>
  <r>
    <x v="1142"/>
    <s v="Lucas Almeida"/>
    <d v="2025-12-29T00:00:00"/>
    <x v="3"/>
    <x v="0"/>
    <x v="15"/>
    <n v="2"/>
    <x v="15"/>
    <n v="66.7"/>
    <x v="653"/>
    <x v="1"/>
  </r>
  <r>
    <x v="1143"/>
    <s v="Beatriz Ribeiro"/>
    <d v="2025-11-04T00:00:00"/>
    <x v="3"/>
    <x v="0"/>
    <x v="4"/>
    <n v="5"/>
    <x v="4"/>
    <n v="303.27"/>
    <x v="654"/>
    <x v="5"/>
  </r>
  <r>
    <x v="1144"/>
    <s v="Roberto Santos"/>
    <d v="2025-04-21T00:00:00"/>
    <x v="0"/>
    <x v="3"/>
    <x v="3"/>
    <n v="1"/>
    <x v="3"/>
    <n v="0"/>
    <x v="66"/>
    <x v="5"/>
  </r>
  <r>
    <x v="1145"/>
    <s v="Lucas Almeida"/>
    <d v="2025-11-11T00:00:00"/>
    <x v="4"/>
    <x v="3"/>
    <x v="3"/>
    <n v="2"/>
    <x v="3"/>
    <n v="0"/>
    <x v="190"/>
    <x v="1"/>
  </r>
  <r>
    <x v="1146"/>
    <s v="Marcos Rodrigues"/>
    <d v="2025-07-03T00:00:00"/>
    <x v="2"/>
    <x v="0"/>
    <x v="15"/>
    <n v="4"/>
    <x v="15"/>
    <n v="72.650000000000006"/>
    <x v="655"/>
    <x v="3"/>
  </r>
  <r>
    <x v="1147"/>
    <s v="Beatriz Ribeiro"/>
    <d v="2025-07-07T00:00:00"/>
    <x v="0"/>
    <x v="1"/>
    <x v="14"/>
    <n v="4"/>
    <x v="14"/>
    <n v="0"/>
    <x v="143"/>
    <x v="7"/>
  </r>
  <r>
    <x v="1148"/>
    <s v="Marcos Rodrigues"/>
    <d v="2026-01-09T00:00:00"/>
    <x v="3"/>
    <x v="0"/>
    <x v="15"/>
    <n v="1"/>
    <x v="15"/>
    <n v="0"/>
    <x v="384"/>
    <x v="4"/>
  </r>
  <r>
    <x v="1149"/>
    <s v="Lucas Almeida"/>
    <d v="2025-04-02T00:00:00"/>
    <x v="1"/>
    <x v="2"/>
    <x v="11"/>
    <n v="1"/>
    <x v="11"/>
    <n v="0"/>
    <x v="63"/>
    <x v="0"/>
  </r>
  <r>
    <x v="1150"/>
    <s v="Roberto Santos"/>
    <d v="2026-01-05T00:00:00"/>
    <x v="4"/>
    <x v="2"/>
    <x v="2"/>
    <n v="5"/>
    <x v="2"/>
    <n v="28.65"/>
    <x v="656"/>
    <x v="1"/>
  </r>
  <r>
    <x v="1151"/>
    <s v="Fernanda Lima"/>
    <d v="2025-01-22T00:00:00"/>
    <x v="3"/>
    <x v="0"/>
    <x v="15"/>
    <n v="5"/>
    <x v="15"/>
    <n v="101.87"/>
    <x v="282"/>
    <x v="4"/>
  </r>
  <r>
    <x v="1152"/>
    <s v="Carlos Silva"/>
    <d v="2025-01-10T00:00:00"/>
    <x v="1"/>
    <x v="2"/>
    <x v="2"/>
    <n v="3"/>
    <x v="2"/>
    <n v="0"/>
    <x v="146"/>
    <x v="7"/>
  </r>
  <r>
    <x v="1153"/>
    <s v="Maria Oliveira"/>
    <d v="2025-09-14T00:00:00"/>
    <x v="4"/>
    <x v="2"/>
    <x v="2"/>
    <n v="1"/>
    <x v="2"/>
    <n v="0"/>
    <x v="85"/>
    <x v="4"/>
  </r>
  <r>
    <x v="1154"/>
    <s v="João Pereira"/>
    <d v="2025-10-09T00:00:00"/>
    <x v="3"/>
    <x v="0"/>
    <x v="13"/>
    <n v="1"/>
    <x v="13"/>
    <n v="26.3"/>
    <x v="657"/>
    <x v="1"/>
  </r>
  <r>
    <x v="1155"/>
    <s v="Fernanda Lima"/>
    <d v="2026-01-06T00:00:00"/>
    <x v="3"/>
    <x v="1"/>
    <x v="5"/>
    <n v="1"/>
    <x v="5"/>
    <n v="1.56"/>
    <x v="658"/>
    <x v="6"/>
  </r>
  <r>
    <x v="1156"/>
    <s v="Ricardo Carvalho"/>
    <d v="2025-03-19T00:00:00"/>
    <x v="0"/>
    <x v="2"/>
    <x v="10"/>
    <n v="5"/>
    <x v="10"/>
    <n v="177.14"/>
    <x v="659"/>
    <x v="4"/>
  </r>
  <r>
    <x v="1157"/>
    <s v="Patricia Gomes"/>
    <d v="2025-12-19T00:00:00"/>
    <x v="3"/>
    <x v="2"/>
    <x v="11"/>
    <n v="3"/>
    <x v="11"/>
    <n v="41.24"/>
    <x v="660"/>
    <x v="0"/>
  </r>
  <r>
    <x v="1158"/>
    <s v="João Pereira"/>
    <d v="2025-04-20T00:00:00"/>
    <x v="1"/>
    <x v="0"/>
    <x v="0"/>
    <n v="1"/>
    <x v="0"/>
    <n v="0"/>
    <x v="41"/>
    <x v="1"/>
  </r>
  <r>
    <x v="1159"/>
    <s v="Ana Souza"/>
    <d v="2025-01-28T00:00:00"/>
    <x v="0"/>
    <x v="0"/>
    <x v="13"/>
    <n v="1"/>
    <x v="13"/>
    <n v="0"/>
    <x v="95"/>
    <x v="7"/>
  </r>
  <r>
    <x v="1160"/>
    <s v="Ricardo Carvalho"/>
    <d v="2025-09-17T00:00:00"/>
    <x v="2"/>
    <x v="0"/>
    <x v="4"/>
    <n v="5"/>
    <x v="4"/>
    <n v="0"/>
    <x v="121"/>
    <x v="1"/>
  </r>
  <r>
    <x v="1161"/>
    <s v="Roberto Santos"/>
    <d v="2025-08-01T00:00:00"/>
    <x v="0"/>
    <x v="0"/>
    <x v="4"/>
    <n v="3"/>
    <x v="4"/>
    <n v="96.99"/>
    <x v="661"/>
    <x v="3"/>
  </r>
  <r>
    <x v="1162"/>
    <s v="Fernanda Lima"/>
    <d v="2025-02-06T00:00:00"/>
    <x v="3"/>
    <x v="0"/>
    <x v="13"/>
    <n v="4"/>
    <x v="13"/>
    <n v="49.01"/>
    <x v="662"/>
    <x v="0"/>
  </r>
  <r>
    <x v="1163"/>
    <s v="Juliana Costa"/>
    <d v="2025-02-02T00:00:00"/>
    <x v="2"/>
    <x v="3"/>
    <x v="3"/>
    <n v="3"/>
    <x v="3"/>
    <n v="116.55"/>
    <x v="127"/>
    <x v="7"/>
  </r>
  <r>
    <x v="1164"/>
    <s v="Ricardo Carvalho"/>
    <d v="2025-02-14T00:00:00"/>
    <x v="2"/>
    <x v="0"/>
    <x v="0"/>
    <n v="5"/>
    <x v="0"/>
    <n v="351.53"/>
    <x v="663"/>
    <x v="1"/>
  </r>
  <r>
    <x v="1165"/>
    <s v="Fernanda Lima"/>
    <d v="2025-10-14T00:00:00"/>
    <x v="4"/>
    <x v="2"/>
    <x v="2"/>
    <n v="2"/>
    <x v="2"/>
    <n v="0"/>
    <x v="21"/>
    <x v="0"/>
  </r>
  <r>
    <x v="1166"/>
    <s v="Roberto Santos"/>
    <d v="2025-08-10T00:00:00"/>
    <x v="1"/>
    <x v="0"/>
    <x v="0"/>
    <n v="3"/>
    <x v="0"/>
    <n v="205.7"/>
    <x v="664"/>
    <x v="5"/>
  </r>
  <r>
    <x v="1167"/>
    <s v="Juliana Costa"/>
    <d v="2025-06-16T00:00:00"/>
    <x v="4"/>
    <x v="1"/>
    <x v="14"/>
    <n v="4"/>
    <x v="14"/>
    <n v="7.0000000000000007E-2"/>
    <x v="665"/>
    <x v="3"/>
  </r>
  <r>
    <x v="1168"/>
    <s v="Lucas Almeida"/>
    <d v="2026-02-03T00:00:00"/>
    <x v="1"/>
    <x v="0"/>
    <x v="0"/>
    <n v="2"/>
    <x v="0"/>
    <n v="0"/>
    <x v="68"/>
    <x v="0"/>
  </r>
  <r>
    <x v="1169"/>
    <s v="Marcos Rodrigues"/>
    <d v="2025-02-02T00:00:00"/>
    <x v="1"/>
    <x v="0"/>
    <x v="13"/>
    <n v="5"/>
    <x v="13"/>
    <n v="0"/>
    <x v="90"/>
    <x v="4"/>
  </r>
  <r>
    <x v="1170"/>
    <s v="Beatriz Ribeiro"/>
    <d v="2025-11-09T00:00:00"/>
    <x v="2"/>
    <x v="0"/>
    <x v="0"/>
    <n v="5"/>
    <x v="0"/>
    <n v="5.86"/>
    <x v="666"/>
    <x v="0"/>
  </r>
  <r>
    <x v="1171"/>
    <s v="Ricardo Carvalho"/>
    <d v="2025-04-17T00:00:00"/>
    <x v="4"/>
    <x v="0"/>
    <x v="0"/>
    <n v="3"/>
    <x v="0"/>
    <n v="0"/>
    <x v="74"/>
    <x v="0"/>
  </r>
  <r>
    <x v="1172"/>
    <s v="Carlos Silva"/>
    <d v="2025-09-18T00:00:00"/>
    <x v="3"/>
    <x v="3"/>
    <x v="3"/>
    <n v="4"/>
    <x v="3"/>
    <n v="0"/>
    <x v="210"/>
    <x v="1"/>
  </r>
  <r>
    <x v="1173"/>
    <s v="Carlos Silva"/>
    <d v="2025-03-15T00:00:00"/>
    <x v="1"/>
    <x v="1"/>
    <x v="5"/>
    <n v="2"/>
    <x v="5"/>
    <n v="0"/>
    <x v="8"/>
    <x v="3"/>
  </r>
  <r>
    <x v="1174"/>
    <s v="Carlos Silva"/>
    <d v="2025-10-09T00:00:00"/>
    <x v="0"/>
    <x v="1"/>
    <x v="5"/>
    <n v="5"/>
    <x v="5"/>
    <n v="14.49"/>
    <x v="667"/>
    <x v="0"/>
  </r>
  <r>
    <x v="1175"/>
    <s v="Ricardo Carvalho"/>
    <d v="2025-09-23T00:00:00"/>
    <x v="4"/>
    <x v="1"/>
    <x v="14"/>
    <n v="2"/>
    <x v="14"/>
    <n v="0"/>
    <x v="171"/>
    <x v="1"/>
  </r>
  <r>
    <x v="1176"/>
    <s v="Beatriz Ribeiro"/>
    <d v="2025-10-10T00:00:00"/>
    <x v="1"/>
    <x v="1"/>
    <x v="1"/>
    <n v="2"/>
    <x v="1"/>
    <n v="6.62"/>
    <x v="668"/>
    <x v="3"/>
  </r>
  <r>
    <x v="1177"/>
    <s v="Ricardo Carvalho"/>
    <d v="2026-01-17T00:00:00"/>
    <x v="3"/>
    <x v="3"/>
    <x v="12"/>
    <n v="5"/>
    <x v="12"/>
    <n v="0"/>
    <x v="43"/>
    <x v="7"/>
  </r>
  <r>
    <x v="1178"/>
    <s v="Lucas Almeida"/>
    <d v="2025-03-11T00:00:00"/>
    <x v="1"/>
    <x v="2"/>
    <x v="11"/>
    <n v="4"/>
    <x v="11"/>
    <n v="26.52"/>
    <x v="669"/>
    <x v="5"/>
  </r>
  <r>
    <x v="1179"/>
    <s v="Patricia Gomes"/>
    <d v="2025-08-06T00:00:00"/>
    <x v="0"/>
    <x v="3"/>
    <x v="12"/>
    <n v="2"/>
    <x v="12"/>
    <n v="0"/>
    <x v="23"/>
    <x v="1"/>
  </r>
  <r>
    <x v="1180"/>
    <s v="Ricardo Carvalho"/>
    <d v="2025-09-26T00:00:00"/>
    <x v="2"/>
    <x v="0"/>
    <x v="13"/>
    <n v="4"/>
    <x v="13"/>
    <n v="0"/>
    <x v="27"/>
    <x v="2"/>
  </r>
  <r>
    <x v="1181"/>
    <s v="João Pereira"/>
    <d v="2025-11-27T00:00:00"/>
    <x v="4"/>
    <x v="1"/>
    <x v="9"/>
    <n v="2"/>
    <x v="9"/>
    <n v="7.72"/>
    <x v="670"/>
    <x v="5"/>
  </r>
  <r>
    <x v="1182"/>
    <s v="Beatriz Ribeiro"/>
    <d v="2025-06-08T00:00:00"/>
    <x v="4"/>
    <x v="2"/>
    <x v="6"/>
    <n v="1"/>
    <x v="6"/>
    <n v="0"/>
    <x v="187"/>
    <x v="3"/>
  </r>
  <r>
    <x v="1183"/>
    <s v="Carlos Silva"/>
    <d v="2025-05-22T00:00:00"/>
    <x v="0"/>
    <x v="2"/>
    <x v="11"/>
    <n v="3"/>
    <x v="11"/>
    <n v="0"/>
    <x v="49"/>
    <x v="0"/>
  </r>
  <r>
    <x v="1184"/>
    <s v="Patricia Gomes"/>
    <d v="2025-07-07T00:00:00"/>
    <x v="1"/>
    <x v="0"/>
    <x v="15"/>
    <n v="5"/>
    <x v="15"/>
    <n v="84.9"/>
    <x v="671"/>
    <x v="3"/>
  </r>
  <r>
    <x v="1185"/>
    <s v="Maria Oliveira"/>
    <d v="2025-02-19T00:00:00"/>
    <x v="1"/>
    <x v="2"/>
    <x v="6"/>
    <n v="1"/>
    <x v="6"/>
    <n v="28.61"/>
    <x v="672"/>
    <x v="4"/>
  </r>
  <r>
    <x v="1185"/>
    <s v="Maria Oliveira"/>
    <d v="2026-01-01T00:00:00"/>
    <x v="0"/>
    <x v="1"/>
    <x v="5"/>
    <n v="1"/>
    <x v="5"/>
    <n v="3.01"/>
    <x v="495"/>
    <x v="7"/>
  </r>
  <r>
    <x v="1186"/>
    <s v="Beatriz Ribeiro"/>
    <d v="2025-07-01T00:00:00"/>
    <x v="4"/>
    <x v="3"/>
    <x v="7"/>
    <n v="5"/>
    <x v="7"/>
    <n v="594.23"/>
    <x v="673"/>
    <x v="5"/>
  </r>
  <r>
    <x v="1187"/>
    <s v="Patricia Gomes"/>
    <d v="2026-01-29T00:00:00"/>
    <x v="2"/>
    <x v="3"/>
    <x v="8"/>
    <n v="4"/>
    <x v="8"/>
    <n v="572.13"/>
    <x v="674"/>
    <x v="2"/>
  </r>
  <r>
    <x v="1188"/>
    <s v="Ana Souza"/>
    <d v="2025-09-22T00:00:00"/>
    <x v="4"/>
    <x v="0"/>
    <x v="13"/>
    <n v="2"/>
    <x v="13"/>
    <n v="0"/>
    <x v="89"/>
    <x v="0"/>
  </r>
  <r>
    <x v="1189"/>
    <s v="Ana Souza"/>
    <d v="2025-01-28T00:00:00"/>
    <x v="3"/>
    <x v="1"/>
    <x v="14"/>
    <n v="2"/>
    <x v="14"/>
    <n v="11.75"/>
    <x v="675"/>
    <x v="7"/>
  </r>
  <r>
    <x v="1190"/>
    <s v="Ana Souza"/>
    <d v="2025-04-29T00:00:00"/>
    <x v="1"/>
    <x v="3"/>
    <x v="8"/>
    <n v="3"/>
    <x v="8"/>
    <n v="0"/>
    <x v="115"/>
    <x v="0"/>
  </r>
  <r>
    <x v="1191"/>
    <s v="Ricardo Carvalho"/>
    <d v="2025-02-26T00:00:00"/>
    <x v="2"/>
    <x v="1"/>
    <x v="9"/>
    <n v="5"/>
    <x v="9"/>
    <n v="8.7100000000000009"/>
    <x v="676"/>
    <x v="0"/>
  </r>
  <r>
    <x v="1192"/>
    <s v="Beatriz Ribeiro"/>
    <d v="2025-07-07T00:00:00"/>
    <x v="4"/>
    <x v="0"/>
    <x v="0"/>
    <n v="5"/>
    <x v="0"/>
    <n v="79.400000000000006"/>
    <x v="677"/>
    <x v="4"/>
  </r>
  <r>
    <x v="1193"/>
    <s v="Maria Oliveira"/>
    <d v="2025-08-28T00:00:00"/>
    <x v="3"/>
    <x v="1"/>
    <x v="9"/>
    <n v="3"/>
    <x v="9"/>
    <n v="16.420000000000002"/>
    <x v="678"/>
    <x v="1"/>
  </r>
  <r>
    <x v="1194"/>
    <s v="João Pereira"/>
    <d v="2025-02-18T00:00:00"/>
    <x v="0"/>
    <x v="3"/>
    <x v="7"/>
    <n v="4"/>
    <x v="7"/>
    <n v="0"/>
    <x v="44"/>
    <x v="0"/>
  </r>
  <r>
    <x v="1195"/>
    <s v="Lucas Almeida"/>
    <d v="2025-08-29T00:00:00"/>
    <x v="1"/>
    <x v="0"/>
    <x v="4"/>
    <n v="3"/>
    <x v="4"/>
    <n v="0"/>
    <x v="26"/>
    <x v="3"/>
  </r>
  <r>
    <x v="1196"/>
    <s v="Ana Souza"/>
    <d v="2025-09-02T00:00:00"/>
    <x v="3"/>
    <x v="3"/>
    <x v="3"/>
    <n v="5"/>
    <x v="3"/>
    <n v="0"/>
    <x v="301"/>
    <x v="6"/>
  </r>
  <r>
    <x v="1197"/>
    <s v="Ana Souza"/>
    <d v="2025-11-18T00:00:00"/>
    <x v="2"/>
    <x v="0"/>
    <x v="0"/>
    <n v="4"/>
    <x v="0"/>
    <n v="368.7"/>
    <x v="679"/>
    <x v="3"/>
  </r>
  <r>
    <x v="1198"/>
    <s v="Carlos Silva"/>
    <d v="2025-01-13T00:00:00"/>
    <x v="0"/>
    <x v="3"/>
    <x v="7"/>
    <n v="3"/>
    <x v="7"/>
    <n v="0"/>
    <x v="246"/>
    <x v="1"/>
  </r>
  <r>
    <x v="1199"/>
    <s v="Maria Oliveira"/>
    <d v="2025-08-31T00:00:00"/>
    <x v="0"/>
    <x v="0"/>
    <x v="4"/>
    <n v="1"/>
    <x v="4"/>
    <n v="0"/>
    <x v="17"/>
    <x v="1"/>
  </r>
  <r>
    <x v="1200"/>
    <s v="Lucas Almeida"/>
    <d v="2025-06-26T00:00:00"/>
    <x v="2"/>
    <x v="2"/>
    <x v="11"/>
    <n v="4"/>
    <x v="11"/>
    <n v="0"/>
    <x v="267"/>
    <x v="6"/>
  </r>
  <r>
    <x v="1201"/>
    <s v="Ana Souza"/>
    <d v="2025-03-11T00:00:00"/>
    <x v="1"/>
    <x v="2"/>
    <x v="2"/>
    <n v="5"/>
    <x v="2"/>
    <n v="0"/>
    <x v="57"/>
    <x v="0"/>
  </r>
  <r>
    <x v="1202"/>
    <s v="Marcos Rodrigues"/>
    <d v="2025-06-11T00:00:00"/>
    <x v="0"/>
    <x v="2"/>
    <x v="6"/>
    <n v="2"/>
    <x v="6"/>
    <n v="37.93"/>
    <x v="680"/>
    <x v="1"/>
  </r>
  <r>
    <x v="1203"/>
    <s v="Carlos Silva"/>
    <d v="2025-06-12T00:00:00"/>
    <x v="3"/>
    <x v="1"/>
    <x v="14"/>
    <n v="5"/>
    <x v="14"/>
    <n v="0"/>
    <x v="92"/>
    <x v="7"/>
  </r>
  <r>
    <x v="1204"/>
    <s v="Patricia Gomes"/>
    <d v="2025-11-23T00:00:00"/>
    <x v="1"/>
    <x v="3"/>
    <x v="12"/>
    <n v="1"/>
    <x v="12"/>
    <n v="668.36"/>
    <x v="681"/>
    <x v="0"/>
  </r>
  <r>
    <x v="1205"/>
    <s v="Fernanda Lima"/>
    <d v="2025-04-24T00:00:00"/>
    <x v="3"/>
    <x v="3"/>
    <x v="12"/>
    <n v="1"/>
    <x v="12"/>
    <n v="0"/>
    <x v="33"/>
    <x v="4"/>
  </r>
  <r>
    <x v="1206"/>
    <s v="Lucas Almeida"/>
    <d v="2025-01-05T00:00:00"/>
    <x v="2"/>
    <x v="2"/>
    <x v="2"/>
    <n v="2"/>
    <x v="2"/>
    <n v="13.49"/>
    <x v="682"/>
    <x v="5"/>
  </r>
  <r>
    <x v="1207"/>
    <s v="Maria Oliveira"/>
    <d v="2025-06-17T00:00:00"/>
    <x v="4"/>
    <x v="2"/>
    <x v="6"/>
    <n v="4"/>
    <x v="6"/>
    <n v="0"/>
    <x v="38"/>
    <x v="2"/>
  </r>
  <r>
    <x v="1208"/>
    <s v="Patricia Gomes"/>
    <d v="2025-06-12T00:00:00"/>
    <x v="1"/>
    <x v="2"/>
    <x v="10"/>
    <n v="4"/>
    <x v="10"/>
    <n v="55.15"/>
    <x v="683"/>
    <x v="2"/>
  </r>
  <r>
    <x v="1209"/>
    <s v="Maria Oliveira"/>
    <d v="2025-10-17T00:00:00"/>
    <x v="3"/>
    <x v="0"/>
    <x v="13"/>
    <n v="4"/>
    <x v="13"/>
    <n v="21.59"/>
    <x v="684"/>
    <x v="0"/>
  </r>
  <r>
    <x v="1210"/>
    <s v="Patricia Gomes"/>
    <d v="2025-08-16T00:00:00"/>
    <x v="0"/>
    <x v="2"/>
    <x v="11"/>
    <n v="2"/>
    <x v="11"/>
    <n v="0"/>
    <x v="79"/>
    <x v="5"/>
  </r>
  <r>
    <x v="1211"/>
    <s v="Juliana Costa"/>
    <d v="2025-04-07T00:00:00"/>
    <x v="2"/>
    <x v="2"/>
    <x v="6"/>
    <n v="3"/>
    <x v="6"/>
    <n v="42.97"/>
    <x v="685"/>
    <x v="0"/>
  </r>
  <r>
    <x v="1212"/>
    <s v="Carlos Silva"/>
    <d v="2025-05-27T00:00:00"/>
    <x v="3"/>
    <x v="0"/>
    <x v="4"/>
    <n v="4"/>
    <x v="4"/>
    <n v="135.16999999999999"/>
    <x v="686"/>
    <x v="0"/>
  </r>
  <r>
    <x v="1213"/>
    <s v="Patricia Gomes"/>
    <d v="2026-01-20T00:00:00"/>
    <x v="4"/>
    <x v="0"/>
    <x v="4"/>
    <n v="1"/>
    <x v="4"/>
    <n v="37.08"/>
    <x v="687"/>
    <x v="2"/>
  </r>
  <r>
    <x v="1214"/>
    <s v="Beatriz Ribeiro"/>
    <d v="2025-08-12T00:00:00"/>
    <x v="3"/>
    <x v="3"/>
    <x v="8"/>
    <n v="3"/>
    <x v="8"/>
    <n v="35.43"/>
    <x v="688"/>
    <x v="5"/>
  </r>
  <r>
    <x v="1215"/>
    <s v="Patricia Gomes"/>
    <d v="2025-09-03T00:00:00"/>
    <x v="2"/>
    <x v="3"/>
    <x v="8"/>
    <n v="2"/>
    <x v="8"/>
    <n v="0"/>
    <x v="13"/>
    <x v="3"/>
  </r>
  <r>
    <x v="1216"/>
    <s v="João Pereira"/>
    <d v="2025-05-18T00:00:00"/>
    <x v="4"/>
    <x v="0"/>
    <x v="0"/>
    <n v="1"/>
    <x v="0"/>
    <n v="13.19"/>
    <x v="689"/>
    <x v="4"/>
  </r>
  <r>
    <x v="1216"/>
    <s v="João Pereira"/>
    <d v="2025-05-18T00:00:00"/>
    <x v="4"/>
    <x v="1"/>
    <x v="9"/>
    <n v="5"/>
    <x v="9"/>
    <n v="0"/>
    <x v="19"/>
    <x v="4"/>
  </r>
  <r>
    <x v="1217"/>
    <s v="Beatriz Ribeiro"/>
    <d v="2025-12-13T00:00:00"/>
    <x v="0"/>
    <x v="0"/>
    <x v="4"/>
    <n v="4"/>
    <x v="4"/>
    <n v="234.28"/>
    <x v="690"/>
    <x v="2"/>
  </r>
  <r>
    <x v="1218"/>
    <s v="Ana Souza"/>
    <d v="2025-04-09T00:00:00"/>
    <x v="1"/>
    <x v="0"/>
    <x v="4"/>
    <n v="1"/>
    <x v="4"/>
    <n v="0"/>
    <x v="17"/>
    <x v="5"/>
  </r>
  <r>
    <x v="1219"/>
    <s v="Maria Oliveira"/>
    <d v="2025-10-27T00:00:00"/>
    <x v="2"/>
    <x v="2"/>
    <x v="11"/>
    <n v="2"/>
    <x v="11"/>
    <n v="0"/>
    <x v="79"/>
    <x v="1"/>
  </r>
  <r>
    <x v="1220"/>
    <s v="João Pereira"/>
    <d v="2025-03-01T00:00:00"/>
    <x v="4"/>
    <x v="1"/>
    <x v="1"/>
    <n v="3"/>
    <x v="1"/>
    <n v="0"/>
    <x v="1"/>
    <x v="0"/>
  </r>
  <r>
    <x v="1221"/>
    <s v="Beatriz Ribeiro"/>
    <d v="2025-05-31T00:00:00"/>
    <x v="1"/>
    <x v="0"/>
    <x v="4"/>
    <n v="5"/>
    <x v="4"/>
    <n v="0"/>
    <x v="121"/>
    <x v="2"/>
  </r>
  <r>
    <x v="1222"/>
    <s v="Maria Oliveira"/>
    <d v="2026-02-04T00:00:00"/>
    <x v="2"/>
    <x v="2"/>
    <x v="6"/>
    <n v="2"/>
    <x v="6"/>
    <n v="52.41"/>
    <x v="691"/>
    <x v="7"/>
  </r>
  <r>
    <x v="1223"/>
    <s v="Patricia Gomes"/>
    <d v="2025-10-04T00:00:00"/>
    <x v="1"/>
    <x v="0"/>
    <x v="4"/>
    <n v="4"/>
    <x v="4"/>
    <n v="0"/>
    <x v="251"/>
    <x v="4"/>
  </r>
  <r>
    <x v="1224"/>
    <s v="Carlos Silva"/>
    <d v="2025-12-25T00:00:00"/>
    <x v="3"/>
    <x v="1"/>
    <x v="14"/>
    <n v="1"/>
    <x v="14"/>
    <n v="8.6199999999999992"/>
    <x v="692"/>
    <x v="7"/>
  </r>
  <r>
    <x v="1225"/>
    <s v="Marcos Rodrigues"/>
    <d v="2025-08-04T00:00:00"/>
    <x v="3"/>
    <x v="2"/>
    <x v="11"/>
    <n v="3"/>
    <x v="11"/>
    <n v="0"/>
    <x v="49"/>
    <x v="4"/>
  </r>
  <r>
    <x v="1226"/>
    <s v="Ana Souza"/>
    <d v="2025-04-17T00:00:00"/>
    <x v="0"/>
    <x v="2"/>
    <x v="2"/>
    <n v="2"/>
    <x v="2"/>
    <n v="6.51"/>
    <x v="693"/>
    <x v="2"/>
  </r>
  <r>
    <x v="1227"/>
    <s v="Ana Souza"/>
    <d v="2025-08-23T00:00:00"/>
    <x v="1"/>
    <x v="2"/>
    <x v="10"/>
    <n v="4"/>
    <x v="10"/>
    <n v="0"/>
    <x v="348"/>
    <x v="0"/>
  </r>
  <r>
    <x v="1228"/>
    <s v="Juliana Costa"/>
    <d v="2025-06-16T00:00:00"/>
    <x v="3"/>
    <x v="2"/>
    <x v="10"/>
    <n v="5"/>
    <x v="10"/>
    <n v="0"/>
    <x v="155"/>
    <x v="6"/>
  </r>
  <r>
    <x v="1229"/>
    <s v="João Pereira"/>
    <d v="2025-11-29T00:00:00"/>
    <x v="4"/>
    <x v="3"/>
    <x v="12"/>
    <n v="5"/>
    <x v="12"/>
    <n v="0"/>
    <x v="43"/>
    <x v="4"/>
  </r>
  <r>
    <x v="1230"/>
    <s v="Fernanda Lima"/>
    <d v="2025-07-05T00:00:00"/>
    <x v="2"/>
    <x v="0"/>
    <x v="13"/>
    <n v="5"/>
    <x v="13"/>
    <n v="0"/>
    <x v="90"/>
    <x v="6"/>
  </r>
  <r>
    <x v="1231"/>
    <s v="Juliana Costa"/>
    <d v="2025-09-04T00:00:00"/>
    <x v="1"/>
    <x v="3"/>
    <x v="8"/>
    <n v="4"/>
    <x v="8"/>
    <n v="1030.42"/>
    <x v="694"/>
    <x v="7"/>
  </r>
  <r>
    <x v="1232"/>
    <s v="Maria Oliveira"/>
    <d v="2025-01-24T00:00:00"/>
    <x v="0"/>
    <x v="0"/>
    <x v="13"/>
    <n v="2"/>
    <x v="13"/>
    <n v="0"/>
    <x v="89"/>
    <x v="4"/>
  </r>
  <r>
    <x v="1233"/>
    <s v="Maria Oliveira"/>
    <d v="2025-04-02T00:00:00"/>
    <x v="1"/>
    <x v="1"/>
    <x v="14"/>
    <n v="4"/>
    <x v="14"/>
    <n v="30.76"/>
    <x v="695"/>
    <x v="5"/>
  </r>
  <r>
    <x v="1234"/>
    <s v="Fernanda Lima"/>
    <d v="2025-07-16T00:00:00"/>
    <x v="3"/>
    <x v="1"/>
    <x v="14"/>
    <n v="4"/>
    <x v="14"/>
    <n v="25"/>
    <x v="696"/>
    <x v="1"/>
  </r>
  <r>
    <x v="1235"/>
    <s v="Marcos Rodrigues"/>
    <d v="2025-11-02T00:00:00"/>
    <x v="0"/>
    <x v="2"/>
    <x v="6"/>
    <n v="2"/>
    <x v="6"/>
    <n v="12.68"/>
    <x v="697"/>
    <x v="2"/>
  </r>
  <r>
    <x v="1236"/>
    <s v="Patricia Gomes"/>
    <d v="2025-01-24T00:00:00"/>
    <x v="3"/>
    <x v="2"/>
    <x v="2"/>
    <n v="4"/>
    <x v="2"/>
    <n v="0"/>
    <x v="149"/>
    <x v="7"/>
  </r>
  <r>
    <x v="1237"/>
    <s v="Marcos Rodrigues"/>
    <d v="2025-04-09T00:00:00"/>
    <x v="0"/>
    <x v="2"/>
    <x v="11"/>
    <n v="1"/>
    <x v="11"/>
    <n v="0"/>
    <x v="63"/>
    <x v="1"/>
  </r>
  <r>
    <x v="1238"/>
    <s v="Lucas Almeida"/>
    <d v="2025-03-10T00:00:00"/>
    <x v="1"/>
    <x v="0"/>
    <x v="4"/>
    <n v="1"/>
    <x v="4"/>
    <n v="0"/>
    <x v="17"/>
    <x v="4"/>
  </r>
  <r>
    <x v="1239"/>
    <s v="João Pereira"/>
    <d v="2025-04-10T00:00:00"/>
    <x v="3"/>
    <x v="1"/>
    <x v="9"/>
    <n v="1"/>
    <x v="9"/>
    <n v="0"/>
    <x v="215"/>
    <x v="4"/>
  </r>
  <r>
    <x v="1240"/>
    <s v="Carlos Silva"/>
    <d v="2025-05-26T00:00:00"/>
    <x v="3"/>
    <x v="0"/>
    <x v="13"/>
    <n v="1"/>
    <x v="13"/>
    <n v="0"/>
    <x v="95"/>
    <x v="0"/>
  </r>
  <r>
    <x v="1241"/>
    <s v="Marcos Rodrigues"/>
    <d v="2026-01-31T00:00:00"/>
    <x v="0"/>
    <x v="3"/>
    <x v="3"/>
    <n v="5"/>
    <x v="3"/>
    <n v="30.07"/>
    <x v="698"/>
    <x v="5"/>
  </r>
  <r>
    <x v="1242"/>
    <s v="Ana Souza"/>
    <d v="2025-04-18T00:00:00"/>
    <x v="1"/>
    <x v="0"/>
    <x v="15"/>
    <n v="2"/>
    <x v="15"/>
    <n v="45.7"/>
    <x v="699"/>
    <x v="1"/>
  </r>
  <r>
    <x v="1243"/>
    <s v="Carlos Silva"/>
    <d v="2025-04-01T00:00:00"/>
    <x v="4"/>
    <x v="2"/>
    <x v="10"/>
    <n v="3"/>
    <x v="10"/>
    <n v="31.68"/>
    <x v="700"/>
    <x v="5"/>
  </r>
  <r>
    <x v="1243"/>
    <s v="Carlos Silva"/>
    <d v="2025-04-01T00:00:00"/>
    <x v="1"/>
    <x v="3"/>
    <x v="8"/>
    <n v="4"/>
    <x v="8"/>
    <n v="0"/>
    <x v="280"/>
    <x v="5"/>
  </r>
  <r>
    <x v="1244"/>
    <s v="Maria Oliveira"/>
    <d v="2025-12-05T00:00:00"/>
    <x v="3"/>
    <x v="1"/>
    <x v="5"/>
    <n v="5"/>
    <x v="5"/>
    <n v="8.09"/>
    <x v="701"/>
    <x v="3"/>
  </r>
  <r>
    <x v="1245"/>
    <s v="Carlos Silva"/>
    <d v="2025-10-17T00:00:00"/>
    <x v="3"/>
    <x v="3"/>
    <x v="8"/>
    <n v="5"/>
    <x v="8"/>
    <n v="0"/>
    <x v="58"/>
    <x v="0"/>
  </r>
  <r>
    <x v="1246"/>
    <s v="Juliana Costa"/>
    <d v="2025-06-02T00:00:00"/>
    <x v="3"/>
    <x v="3"/>
    <x v="3"/>
    <n v="3"/>
    <x v="3"/>
    <n v="61.02"/>
    <x v="702"/>
    <x v="4"/>
  </r>
  <r>
    <x v="1247"/>
    <s v="Juliana Costa"/>
    <d v="2025-05-31T00:00:00"/>
    <x v="1"/>
    <x v="3"/>
    <x v="8"/>
    <n v="3"/>
    <x v="8"/>
    <n v="314.16000000000003"/>
    <x v="703"/>
    <x v="7"/>
  </r>
  <r>
    <x v="1248"/>
    <s v="Patricia Gomes"/>
    <d v="2026-02-01T00:00:00"/>
    <x v="4"/>
    <x v="2"/>
    <x v="11"/>
    <n v="3"/>
    <x v="11"/>
    <n v="19.920000000000002"/>
    <x v="704"/>
    <x v="6"/>
  </r>
  <r>
    <x v="1249"/>
    <s v="Fernanda Lima"/>
    <d v="2025-06-28T00:00:00"/>
    <x v="3"/>
    <x v="0"/>
    <x v="4"/>
    <n v="4"/>
    <x v="4"/>
    <n v="123.46"/>
    <x v="705"/>
    <x v="0"/>
  </r>
  <r>
    <x v="1250"/>
    <m/>
    <m/>
    <x v="5"/>
    <x v="4"/>
    <x v="16"/>
    <m/>
    <x v="16"/>
    <m/>
    <x v="70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8C2FA-591B-49CF-B423-99538916B2E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Cidade">
  <location ref="B4:C13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08">
        <item x="395"/>
        <item x="585"/>
        <item x="212"/>
        <item x="491"/>
        <item x="369"/>
        <item x="500"/>
        <item x="652"/>
        <item x="215"/>
        <item x="594"/>
        <item x="362"/>
        <item x="157"/>
        <item x="495"/>
        <item x="409"/>
        <item x="658"/>
        <item x="305"/>
        <item x="257"/>
        <item x="60"/>
        <item x="29"/>
        <item x="692"/>
        <item x="540"/>
        <item x="119"/>
        <item x="241"/>
        <item x="471"/>
        <item x="148"/>
        <item x="611"/>
        <item x="109"/>
        <item x="106"/>
        <item x="596"/>
        <item x="402"/>
        <item x="370"/>
        <item x="651"/>
        <item x="428"/>
        <item x="670"/>
        <item x="211"/>
        <item x="609"/>
        <item x="359"/>
        <item x="285"/>
        <item x="108"/>
        <item x="247"/>
        <item x="568"/>
        <item x="191"/>
        <item x="309"/>
        <item x="426"/>
        <item x="398"/>
        <item x="372"/>
        <item x="457"/>
        <item x="87"/>
        <item x="295"/>
        <item x="227"/>
        <item x="418"/>
        <item x="85"/>
        <item x="64"/>
        <item x="479"/>
        <item x="538"/>
        <item x="467"/>
        <item x="316"/>
        <item x="451"/>
        <item x="163"/>
        <item x="319"/>
        <item x="245"/>
        <item x="160"/>
        <item x="8"/>
        <item x="650"/>
        <item x="678"/>
        <item x="202"/>
        <item x="416"/>
        <item x="498"/>
        <item x="271"/>
        <item x="489"/>
        <item x="561"/>
        <item x="512"/>
        <item x="675"/>
        <item x="544"/>
        <item x="450"/>
        <item x="517"/>
        <item x="114"/>
        <item x="462"/>
        <item x="36"/>
        <item x="473"/>
        <item x="446"/>
        <item x="138"/>
        <item x="420"/>
        <item x="16"/>
        <item x="401"/>
        <item x="171"/>
        <item x="549"/>
        <item x="465"/>
        <item x="492"/>
        <item x="99"/>
        <item x="208"/>
        <item x="427"/>
        <item x="556"/>
        <item x="607"/>
        <item x="322"/>
        <item x="303"/>
        <item x="161"/>
        <item x="509"/>
        <item x="256"/>
        <item x="45"/>
        <item x="357"/>
        <item x="185"/>
        <item x="406"/>
        <item x="228"/>
        <item x="209"/>
        <item x="682"/>
        <item x="613"/>
        <item x="623"/>
        <item x="63"/>
        <item x="534"/>
        <item x="327"/>
        <item x="693"/>
        <item x="14"/>
        <item x="496"/>
        <item x="482"/>
        <item x="657"/>
        <item x="131"/>
        <item x="59"/>
        <item x="637"/>
        <item x="353"/>
        <item x="626"/>
        <item x="34"/>
        <item x="260"/>
        <item x="391"/>
        <item x="196"/>
        <item x="21"/>
        <item x="7"/>
        <item x="394"/>
        <item x="250"/>
        <item x="53"/>
        <item x="182"/>
        <item x="358"/>
        <item x="194"/>
        <item x="294"/>
        <item x="135"/>
        <item x="272"/>
        <item x="9"/>
        <item x="539"/>
        <item x="672"/>
        <item x="12"/>
        <item x="668"/>
        <item x="308"/>
        <item x="458"/>
        <item x="170"/>
        <item x="180"/>
        <item x="533"/>
        <item x="522"/>
        <item x="200"/>
        <item x="307"/>
        <item x="570"/>
        <item x="112"/>
        <item x="265"/>
        <item x="239"/>
        <item x="298"/>
        <item x="98"/>
        <item x="130"/>
        <item x="343"/>
        <item x="95"/>
        <item x="563"/>
        <item x="574"/>
        <item x="676"/>
        <item x="296"/>
        <item x="499"/>
        <item x="238"/>
        <item x="193"/>
        <item x="19"/>
        <item x="179"/>
        <item x="15"/>
        <item x="472"/>
        <item x="187"/>
        <item x="324"/>
        <item x="333"/>
        <item x="300"/>
        <item x="276"/>
        <item x="695"/>
        <item x="546"/>
        <item x="6"/>
        <item x="172"/>
        <item x="3"/>
        <item x="243"/>
        <item x="667"/>
        <item x="696"/>
        <item x="125"/>
        <item x="93"/>
        <item x="183"/>
        <item x="103"/>
        <item x="701"/>
        <item x="293"/>
        <item x="449"/>
        <item x="550"/>
        <item x="622"/>
        <item x="424"/>
        <item x="382"/>
        <item x="137"/>
        <item x="413"/>
        <item x="436"/>
        <item x="122"/>
        <item x="405"/>
        <item x="598"/>
        <item x="71"/>
        <item x="328"/>
        <item x="367"/>
        <item x="220"/>
        <item x="230"/>
        <item x="192"/>
        <item x="639"/>
        <item x="311"/>
        <item x="665"/>
        <item x="143"/>
        <item x="497"/>
        <item x="146"/>
        <item x="640"/>
        <item x="24"/>
        <item x="355"/>
        <item x="412"/>
        <item x="253"/>
        <item x="463"/>
        <item x="643"/>
        <item x="601"/>
        <item x="354"/>
        <item x="557"/>
        <item x="1"/>
        <item x="346"/>
        <item x="403"/>
        <item x="551"/>
        <item x="475"/>
        <item x="588"/>
        <item x="630"/>
        <item x="40"/>
        <item x="468"/>
        <item x="599"/>
        <item x="597"/>
        <item x="520"/>
        <item x="216"/>
        <item x="414"/>
        <item x="224"/>
        <item x="223"/>
        <item x="555"/>
        <item x="82"/>
        <item x="364"/>
        <item x="218"/>
        <item x="342"/>
        <item x="378"/>
        <item x="325"/>
        <item x="459"/>
        <item x="633"/>
        <item x="110"/>
        <item x="291"/>
        <item x="92"/>
        <item x="425"/>
        <item x="445"/>
        <item x="79"/>
        <item x="66"/>
        <item x="618"/>
        <item x="156"/>
        <item x="619"/>
        <item x="339"/>
        <item x="217"/>
        <item x="621"/>
        <item x="149"/>
        <item x="525"/>
        <item x="169"/>
        <item x="558"/>
        <item x="363"/>
        <item x="641"/>
        <item x="133"/>
        <item x="176"/>
        <item x="593"/>
        <item x="2"/>
        <item x="234"/>
        <item x="166"/>
        <item x="244"/>
        <item x="691"/>
        <item x="433"/>
        <item x="521"/>
        <item x="466"/>
        <item x="584"/>
        <item x="331"/>
        <item x="384"/>
        <item x="423"/>
        <item x="46"/>
        <item x="411"/>
        <item x="478"/>
        <item x="89"/>
        <item x="680"/>
        <item x="320"/>
        <item x="292"/>
        <item x="389"/>
        <item x="656"/>
        <item x="580"/>
        <item x="586"/>
        <item x="50"/>
        <item x="434"/>
        <item x="697"/>
        <item x="337"/>
        <item x="279"/>
        <item x="249"/>
        <item x="57"/>
        <item x="485"/>
        <item x="313"/>
        <item x="240"/>
        <item x="660"/>
        <item x="83"/>
        <item x="154"/>
        <item x="687"/>
        <item x="286"/>
        <item x="20"/>
        <item x="214"/>
        <item x="504"/>
        <item x="704"/>
        <item x="136"/>
        <item x="430"/>
        <item x="88"/>
        <item x="204"/>
        <item x="237"/>
        <item x="48"/>
        <item x="442"/>
        <item x="645"/>
        <item x="488"/>
        <item x="537"/>
        <item x="158"/>
        <item x="516"/>
        <item x="49"/>
        <item x="17"/>
        <item x="47"/>
        <item x="477"/>
        <item x="289"/>
        <item x="483"/>
        <item x="340"/>
        <item x="145"/>
        <item x="575"/>
        <item x="536"/>
        <item x="116"/>
        <item x="352"/>
        <item x="264"/>
        <item x="73"/>
        <item x="577"/>
        <item x="380"/>
        <item x="206"/>
        <item x="429"/>
        <item x="371"/>
        <item x="631"/>
        <item x="338"/>
        <item x="545"/>
        <item x="278"/>
        <item x="375"/>
        <item x="610"/>
        <item x="579"/>
        <item x="503"/>
        <item x="78"/>
        <item x="96"/>
        <item x="259"/>
        <item x="685"/>
        <item x="530"/>
        <item x="349"/>
        <item x="431"/>
        <item x="669"/>
        <item x="173"/>
        <item x="541"/>
        <item x="595"/>
        <item x="97"/>
        <item x="129"/>
        <item x="646"/>
        <item x="77"/>
        <item x="94"/>
        <item x="269"/>
        <item x="4"/>
        <item x="32"/>
        <item x="304"/>
        <item x="267"/>
        <item x="213"/>
        <item x="190"/>
        <item x="242"/>
        <item x="562"/>
        <item x="448"/>
        <item x="351"/>
        <item x="573"/>
        <item x="226"/>
        <item x="493"/>
        <item x="554"/>
        <item x="178"/>
        <item x="635"/>
        <item x="617"/>
        <item x="236"/>
        <item x="606"/>
        <item x="653"/>
        <item x="118"/>
        <item x="648"/>
        <item x="330"/>
        <item x="101"/>
        <item x="487"/>
        <item x="689"/>
        <item x="628"/>
        <item x="41"/>
        <item x="699"/>
        <item x="614"/>
        <item x="474"/>
        <item x="277"/>
        <item x="124"/>
        <item x="441"/>
        <item x="299"/>
        <item x="168"/>
        <item x="662"/>
        <item x="454"/>
        <item x="439"/>
        <item x="62"/>
        <item x="542"/>
        <item x="421"/>
        <item x="684"/>
        <item x="134"/>
        <item x="61"/>
        <item x="314"/>
        <item x="481"/>
        <item x="350"/>
        <item x="634"/>
        <item x="72"/>
        <item x="469"/>
        <item x="501"/>
        <item x="603"/>
        <item x="254"/>
        <item x="559"/>
        <item x="700"/>
        <item x="27"/>
        <item x="365"/>
        <item x="186"/>
        <item x="140"/>
        <item x="222"/>
        <item x="117"/>
        <item x="649"/>
        <item x="147"/>
        <item x="18"/>
        <item x="440"/>
        <item x="379"/>
        <item x="205"/>
        <item x="235"/>
        <item x="248"/>
        <item x="111"/>
        <item x="306"/>
        <item x="127"/>
        <item x="582"/>
        <item x="605"/>
        <item x="507"/>
        <item x="233"/>
        <item x="54"/>
        <item x="177"/>
        <item x="38"/>
        <item x="341"/>
        <item x="35"/>
        <item x="287"/>
        <item x="627"/>
        <item x="514"/>
        <item x="252"/>
        <item x="65"/>
        <item x="535"/>
        <item x="702"/>
        <item x="388"/>
        <item x="527"/>
        <item x="288"/>
        <item x="589"/>
        <item x="647"/>
        <item x="201"/>
        <item x="510"/>
        <item x="461"/>
        <item x="198"/>
        <item x="408"/>
        <item x="52"/>
        <item x="123"/>
        <item x="310"/>
        <item x="318"/>
        <item x="90"/>
        <item x="153"/>
        <item x="175"/>
        <item x="494"/>
        <item x="422"/>
        <item x="683"/>
        <item x="274"/>
        <item x="144"/>
        <item x="376"/>
        <item x="30"/>
        <item x="348"/>
        <item x="105"/>
        <item x="347"/>
        <item x="399"/>
        <item x="523"/>
        <item x="392"/>
        <item x="126"/>
        <item x="659"/>
        <item x="150"/>
        <item x="84"/>
        <item x="524"/>
        <item x="632"/>
        <item x="120"/>
        <item x="25"/>
        <item x="578"/>
        <item x="0"/>
        <item x="604"/>
        <item x="456"/>
        <item x="435"/>
        <item x="229"/>
        <item x="387"/>
        <item x="142"/>
        <item x="334"/>
        <item x="159"/>
        <item x="210"/>
        <item x="132"/>
        <item x="460"/>
        <item x="167"/>
        <item x="70"/>
        <item x="590"/>
        <item x="511"/>
        <item x="335"/>
        <item x="374"/>
        <item x="323"/>
        <item x="155"/>
        <item x="661"/>
        <item x="5"/>
        <item x="581"/>
        <item x="508"/>
        <item x="532"/>
        <item x="203"/>
        <item x="629"/>
        <item x="69"/>
        <item x="377"/>
        <item x="68"/>
        <item x="655"/>
        <item x="381"/>
        <item x="438"/>
        <item x="571"/>
        <item x="26"/>
        <item x="270"/>
        <item x="81"/>
        <item x="221"/>
        <item x="432"/>
        <item x="255"/>
        <item x="698"/>
        <item x="281"/>
        <item x="301"/>
        <item x="75"/>
        <item x="600"/>
        <item x="437"/>
        <item x="262"/>
        <item x="690"/>
        <item x="505"/>
        <item x="10"/>
        <item x="76"/>
        <item x="564"/>
        <item x="86"/>
        <item x="518"/>
        <item x="199"/>
        <item x="282"/>
        <item x="686"/>
        <item x="671"/>
        <item x="705"/>
        <item x="385"/>
        <item x="368"/>
        <item x="513"/>
        <item x="616"/>
        <item x="560"/>
        <item x="664"/>
        <item x="39"/>
        <item x="152"/>
        <item x="515"/>
        <item x="576"/>
        <item x="400"/>
        <item x="443"/>
        <item x="553"/>
        <item x="548"/>
        <item x="312"/>
        <item x="251"/>
        <item x="592"/>
        <item x="519"/>
        <item x="297"/>
        <item x="452"/>
        <item x="654"/>
        <item x="74"/>
        <item x="361"/>
        <item x="444"/>
        <item x="470"/>
        <item x="396"/>
        <item x="642"/>
        <item x="231"/>
        <item x="139"/>
        <item x="164"/>
        <item x="506"/>
        <item x="165"/>
        <item x="104"/>
        <item x="679"/>
        <item x="261"/>
        <item x="121"/>
        <item x="189"/>
        <item x="636"/>
        <item x="386"/>
        <item x="188"/>
        <item x="268"/>
        <item x="417"/>
        <item x="246"/>
        <item x="602"/>
        <item x="531"/>
        <item x="543"/>
        <item x="56"/>
        <item x="67"/>
        <item x="591"/>
        <item x="51"/>
        <item x="128"/>
        <item x="565"/>
        <item x="625"/>
        <item x="404"/>
        <item x="663"/>
        <item x="290"/>
        <item x="80"/>
        <item x="455"/>
        <item x="569"/>
        <item x="151"/>
        <item x="373"/>
        <item x="266"/>
        <item x="390"/>
        <item x="644"/>
        <item x="181"/>
        <item x="360"/>
        <item x="677"/>
        <item x="174"/>
        <item x="44"/>
        <item x="666"/>
        <item x="42"/>
        <item x="673"/>
        <item x="567"/>
        <item x="219"/>
        <item x="547"/>
        <item x="583"/>
        <item x="141"/>
        <item x="410"/>
        <item x="681"/>
        <item x="197"/>
        <item x="113"/>
        <item x="263"/>
        <item x="184"/>
        <item x="529"/>
        <item x="356"/>
        <item x="393"/>
        <item x="225"/>
        <item x="620"/>
        <item x="33"/>
        <item x="284"/>
        <item x="315"/>
        <item x="31"/>
        <item x="615"/>
        <item x="13"/>
        <item x="484"/>
        <item x="273"/>
        <item x="345"/>
        <item x="703"/>
        <item x="283"/>
        <item x="552"/>
        <item x="688"/>
        <item x="366"/>
        <item x="115"/>
        <item x="490"/>
        <item x="638"/>
        <item x="447"/>
        <item x="336"/>
        <item x="258"/>
        <item x="572"/>
        <item x="528"/>
        <item x="37"/>
        <item x="207"/>
        <item x="326"/>
        <item x="107"/>
        <item x="55"/>
        <item x="419"/>
        <item x="453"/>
        <item x="694"/>
        <item x="23"/>
        <item x="674"/>
        <item x="317"/>
        <item x="280"/>
        <item x="11"/>
        <item x="502"/>
        <item x="321"/>
        <item x="275"/>
        <item x="480"/>
        <item x="332"/>
        <item x="162"/>
        <item x="58"/>
        <item x="22"/>
        <item x="415"/>
        <item x="608"/>
        <item x="476"/>
        <item x="100"/>
        <item x="526"/>
        <item x="28"/>
        <item x="612"/>
        <item x="383"/>
        <item x="91"/>
        <item x="302"/>
        <item x="232"/>
        <item x="329"/>
        <item x="397"/>
        <item x="344"/>
        <item x="566"/>
        <item x="624"/>
        <item x="102"/>
        <item x="587"/>
        <item x="195"/>
        <item x="464"/>
        <item x="407"/>
        <item x="486"/>
        <item x="43"/>
        <item x="706"/>
        <item t="default"/>
      </items>
    </pivotField>
    <pivotField axis="axisRow" showAll="0">
      <items count="10">
        <item x="0"/>
        <item x="5"/>
        <item x="6"/>
        <item x="1"/>
        <item x="2"/>
        <item x="4"/>
        <item x="7"/>
        <item x="3"/>
        <item h="1" x="8"/>
        <item t="default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Total" fld="9" baseField="0" baseItem="0" numFmtId="166"/>
  </dataFields>
  <formats count="17"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0" type="button" dataOnly="0" labelOnly="1" outline="0" axis="axisRow" fieldPosition="0"/>
    </format>
    <format dxfId="68">
      <pivotArea dataOnly="0" labelOnly="1" fieldPosition="0">
        <references count="1">
          <reference field="10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grandRow="1" outline="0" collapsedLevelsAreSubtotals="1" fieldPosition="0"/>
    </format>
    <format dxfId="64">
      <pivotArea dataOnly="0" labelOnly="1" grandRow="1" outline="0" fieldPosition="0"/>
    </format>
    <format dxfId="63">
      <pivotArea grandRow="1" outline="0" collapsedLevelsAreSubtotals="1" fieldPosition="0"/>
    </format>
    <format dxfId="62">
      <pivotArea outline="0" collapsedLevelsAreSubtotals="1" fieldPosition="0"/>
    </format>
    <format dxfId="61">
      <pivotArea field="10" type="button" dataOnly="0" labelOnly="1" outline="0" axis="axisRow" fieldPosition="0"/>
    </format>
    <format dxfId="60">
      <pivotArea dataOnly="0" labelOnly="1" outline="0" axis="axisValues" fieldPosition="0"/>
    </format>
    <format dxfId="59">
      <pivotArea field="10" type="button" dataOnly="0" labelOnly="1" outline="0" axis="axisRow" fieldPosition="0"/>
    </format>
    <format dxfId="58">
      <pivotArea dataOnly="0" labelOnly="1" outline="0" axis="axisValues" fieldPosition="0"/>
    </format>
    <format dxfId="57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AC37E-2375-4793-A34D-4403A049E45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Produto">
  <location ref="B4:C21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18">
        <item h="1" x="16"/>
        <item x="10"/>
        <item x="7"/>
        <item x="8"/>
        <item x="14"/>
        <item x="12"/>
        <item x="9"/>
        <item x="0"/>
        <item x="13"/>
        <item x="6"/>
        <item x="1"/>
        <item x="3"/>
        <item x="5"/>
        <item x="2"/>
        <item x="11"/>
        <item x="15"/>
        <item x="4"/>
        <item t="default"/>
      </items>
    </pivotField>
    <pivotField showAll="0"/>
    <pivotField showAll="0">
      <items count="18">
        <item x="9"/>
        <item x="5"/>
        <item x="14"/>
        <item x="2"/>
        <item x="1"/>
        <item x="11"/>
        <item x="13"/>
        <item x="6"/>
        <item x="10"/>
        <item x="3"/>
        <item x="15"/>
        <item x="4"/>
        <item x="0"/>
        <item x="7"/>
        <item x="8"/>
        <item x="12"/>
        <item x="16"/>
        <item t="default"/>
      </items>
    </pivotField>
    <pivotField showAll="0"/>
    <pivotField dataField="1" showAll="0"/>
    <pivotField showAll="0"/>
  </pivotFields>
  <rowFields count="1">
    <field x="5"/>
  </rowFields>
  <rowItems count="17">
    <i>
      <x v="5"/>
    </i>
    <i>
      <x v="3"/>
    </i>
    <i>
      <x v="2"/>
    </i>
    <i>
      <x v="7"/>
    </i>
    <i>
      <x v="16"/>
    </i>
    <i>
      <x v="15"/>
    </i>
    <i>
      <x v="11"/>
    </i>
    <i>
      <x v="1"/>
    </i>
    <i>
      <x v="8"/>
    </i>
    <i>
      <x v="9"/>
    </i>
    <i>
      <x v="14"/>
    </i>
    <i>
      <x v="13"/>
    </i>
    <i>
      <x v="10"/>
    </i>
    <i>
      <x v="4"/>
    </i>
    <i>
      <x v="12"/>
    </i>
    <i>
      <x v="6"/>
    </i>
    <i t="grand">
      <x/>
    </i>
  </rowItems>
  <colItems count="1">
    <i/>
  </colItems>
  <dataFields count="1">
    <dataField name="Total Vendas por Produto" fld="9" baseField="5" baseItem="0" numFmtId="166"/>
  </dataFields>
  <formats count="15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5" type="button" dataOnly="0" labelOnly="1" outline="0" axis="axisRow" fieldPosition="0"/>
    </format>
    <format dxfId="53">
      <pivotArea dataOnly="0" labelOnly="1" fieldPosition="0">
        <references count="1">
          <reference field="5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outline="0" collapsedLevelsAreSubtotals="1" fieldPosition="0"/>
    </format>
    <format dxfId="49">
      <pivotArea outline="0" collapsedLevelsAreSubtotals="1" fieldPosition="0"/>
    </format>
    <format dxfId="48">
      <pivotArea grandRow="1" outline="0" collapsedLevelsAreSubtotals="1" fieldPosition="0"/>
    </format>
    <format dxfId="47">
      <pivotArea dataOnly="0" labelOnly="1" grandRow="1" outline="0" fieldPosition="0"/>
    </format>
    <format dxfId="46">
      <pivotArea grandRow="1" outline="0" collapsedLevelsAreSubtotals="1" fieldPosition="0"/>
    </format>
    <format dxfId="45">
      <pivotArea grandRow="1" outline="0" collapsedLevelsAreSubtotals="1" fieldPosition="0"/>
    </format>
    <format dxfId="44">
      <pivotArea collapsedLevelsAreSubtotals="1" fieldPosition="0">
        <references count="1">
          <reference field="5" count="0"/>
        </references>
      </pivotArea>
    </format>
    <format dxfId="43">
      <pivotArea field="5" type="button" dataOnly="0" labelOnly="1" outline="0" axis="axisRow" fieldPosition="0"/>
    </format>
    <format dxfId="4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9CC98-75F9-4C85-A83F-7FD6974E7AC7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Vendedor">
  <location ref="B4:C10" firstHeaderRow="1" firstDataRow="1" firstDataCol="1"/>
  <pivotFields count="11">
    <pivotField showAll="0"/>
    <pivotField showAll="0"/>
    <pivotField showAll="0"/>
    <pivotField axis="axisRow" showAll="0" sortType="descending">
      <items count="7">
        <item h="1" x="5"/>
        <item x="2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10">
        <item x="0"/>
        <item x="5"/>
        <item x="6"/>
        <item x="1"/>
        <item x="2"/>
        <item x="4"/>
        <item x="7"/>
        <item x="3"/>
        <item x="8"/>
        <item t="default"/>
      </items>
    </pivotField>
  </pivotFields>
  <rowFields count="1">
    <field x="3"/>
  </rowFields>
  <rowItems count="6">
    <i>
      <x v="2"/>
    </i>
    <i>
      <x v="1"/>
    </i>
    <i>
      <x v="5"/>
    </i>
    <i>
      <x v="4"/>
    </i>
    <i>
      <x v="3"/>
    </i>
    <i t="grand">
      <x/>
    </i>
  </rowItems>
  <colItems count="1">
    <i/>
  </colItems>
  <dataFields count="1">
    <dataField name="Valor Total Vendido" fld="9" baseField="3" baseItem="0" numFmtId="166"/>
  </dataFields>
  <formats count="12">
    <format dxfId="41">
      <pivotArea outline="0" collapsedLevelsAreSubtotals="1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3" type="button" dataOnly="0" labelOnly="1" outline="0" axis="axisRow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outline="0" collapsedLevelsAreSubtotals="1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grandRow="1" outline="0" collapsedLevelsAreSubtotals="1" fieldPosition="0"/>
    </format>
    <format dxfId="3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A6FFD-44C4-4F63-9C31-1AB64F4564B9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Categoria">
  <location ref="B4:D9" firstHeaderRow="0" firstDataRow="1" firstDataCol="1"/>
  <pivotFields count="11"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 Vendas por Categoria" fld="9" baseField="4" baseItem="0"/>
    <dataField name="Participação Geral" fld="9" showDataAs="percentOfTotal" baseField="4" baseItem="0" numFmtId="10"/>
  </dataFields>
  <formats count="30"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4" type="button" dataOnly="0" labelOnly="1" outline="0" axis="axisRow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outline="0" fieldPosition="0">
        <references count="1">
          <reference field="4294967294" count="1">
            <x v="1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4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grandRow="1" outline="0" fieldPosition="0"/>
    </format>
    <format dxfId="10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8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0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8"/>
  <sheetViews>
    <sheetView topLeftCell="A7" workbookViewId="0">
      <selection activeCell="G21" sqref="G21"/>
    </sheetView>
  </sheetViews>
  <sheetFormatPr defaultRowHeight="15" customHeight="1" x14ac:dyDescent="0.25"/>
  <cols>
    <col min="1" max="1" width="8" customWidth="1"/>
    <col min="2" max="2" width="26.7109375" style="19" customWidth="1"/>
    <col min="3" max="3" width="39.28515625" bestFit="1" customWidth="1"/>
    <col min="4" max="4" width="34" customWidth="1"/>
    <col min="5" max="5" width="24.28515625" bestFit="1" customWidth="1"/>
  </cols>
  <sheetData>
    <row r="2" spans="1:5" ht="15" customHeight="1" x14ac:dyDescent="0.3">
      <c r="B2" s="70" t="s">
        <v>1703</v>
      </c>
    </row>
    <row r="3" spans="1:5" ht="15" customHeight="1" x14ac:dyDescent="0.25">
      <c r="A3" s="64"/>
      <c r="B3" t="s">
        <v>1704</v>
      </c>
    </row>
    <row r="4" spans="1:5" ht="15" customHeight="1" x14ac:dyDescent="0.25">
      <c r="B4" t="s">
        <v>1705</v>
      </c>
    </row>
    <row r="5" spans="1:5" ht="15" customHeight="1" x14ac:dyDescent="0.25">
      <c r="B5" t="s">
        <v>1706</v>
      </c>
    </row>
    <row r="6" spans="1:5" ht="15" customHeight="1" x14ac:dyDescent="0.25">
      <c r="B6"/>
    </row>
    <row r="7" spans="1:5" ht="15" customHeight="1" x14ac:dyDescent="0.25">
      <c r="B7" s="63" t="s">
        <v>1731</v>
      </c>
    </row>
    <row r="8" spans="1:5" ht="15" customHeight="1" x14ac:dyDescent="0.25">
      <c r="B8"/>
    </row>
    <row r="9" spans="1:5" ht="15" customHeight="1" x14ac:dyDescent="0.25">
      <c r="B9" s="41" t="s">
        <v>1707</v>
      </c>
      <c r="C9" s="59" t="s">
        <v>1708</v>
      </c>
      <c r="D9" s="59" t="s">
        <v>1709</v>
      </c>
      <c r="E9" s="59" t="s">
        <v>1710</v>
      </c>
    </row>
    <row r="10" spans="1:5" ht="15" customHeight="1" x14ac:dyDescent="0.25">
      <c r="B10" s="72">
        <v>1</v>
      </c>
      <c r="C10" s="73" t="s">
        <v>1711</v>
      </c>
      <c r="D10" s="73" t="s">
        <v>1712</v>
      </c>
      <c r="E10" s="72" t="s">
        <v>1713</v>
      </c>
    </row>
    <row r="11" spans="1:5" ht="15" customHeight="1" x14ac:dyDescent="0.25">
      <c r="B11" s="72">
        <v>2</v>
      </c>
      <c r="C11" s="73" t="s">
        <v>1714</v>
      </c>
      <c r="D11" s="73" t="s">
        <v>1715</v>
      </c>
      <c r="E11" s="72" t="s">
        <v>1716</v>
      </c>
    </row>
    <row r="12" spans="1:5" ht="15" customHeight="1" x14ac:dyDescent="0.25">
      <c r="B12" s="72">
        <v>3</v>
      </c>
      <c r="C12" s="73" t="s">
        <v>1717</v>
      </c>
      <c r="D12" s="73" t="s">
        <v>1715</v>
      </c>
      <c r="E12" s="72" t="s">
        <v>1716</v>
      </c>
    </row>
    <row r="13" spans="1:5" ht="15" customHeight="1" x14ac:dyDescent="0.25">
      <c r="B13" s="72">
        <v>4</v>
      </c>
      <c r="C13" s="73" t="s">
        <v>1718</v>
      </c>
      <c r="D13" s="73" t="s">
        <v>1719</v>
      </c>
      <c r="E13" s="72" t="s">
        <v>1716</v>
      </c>
    </row>
    <row r="14" spans="1:5" ht="15" customHeight="1" x14ac:dyDescent="0.25">
      <c r="B14" s="72">
        <v>5</v>
      </c>
      <c r="C14" s="73" t="s">
        <v>1720</v>
      </c>
      <c r="D14" s="73" t="s">
        <v>1721</v>
      </c>
      <c r="E14" s="72" t="s">
        <v>1716</v>
      </c>
    </row>
    <row r="15" spans="1:5" ht="15" customHeight="1" x14ac:dyDescent="0.25">
      <c r="B15" s="72">
        <v>6</v>
      </c>
      <c r="C15" s="73" t="s">
        <v>1722</v>
      </c>
      <c r="D15" s="73" t="s">
        <v>1723</v>
      </c>
      <c r="E15" s="72" t="s">
        <v>1716</v>
      </c>
    </row>
    <row r="16" spans="1:5" ht="15" customHeight="1" x14ac:dyDescent="0.25">
      <c r="B16" s="72">
        <v>7</v>
      </c>
      <c r="C16" s="73" t="s">
        <v>1724</v>
      </c>
      <c r="D16" s="73" t="s">
        <v>1725</v>
      </c>
      <c r="E16" s="72" t="s">
        <v>1716</v>
      </c>
    </row>
    <row r="17" spans="2:5" ht="15" customHeight="1" x14ac:dyDescent="0.25">
      <c r="B17" s="72">
        <v>8</v>
      </c>
      <c r="C17" s="73" t="s">
        <v>1726</v>
      </c>
      <c r="D17" s="73" t="s">
        <v>1727</v>
      </c>
      <c r="E17" s="72" t="s">
        <v>1716</v>
      </c>
    </row>
    <row r="18" spans="2:5" ht="15" customHeight="1" x14ac:dyDescent="0.25">
      <c r="B18" s="72">
        <v>9</v>
      </c>
      <c r="C18" s="73" t="s">
        <v>1728</v>
      </c>
      <c r="D18" s="73" t="s">
        <v>1729</v>
      </c>
      <c r="E18" s="72" t="s">
        <v>1730</v>
      </c>
    </row>
    <row r="19" spans="2:5" ht="15" customHeight="1" x14ac:dyDescent="0.25">
      <c r="B19"/>
    </row>
    <row r="20" spans="2:5" ht="15" customHeight="1" x14ac:dyDescent="0.25">
      <c r="B20" s="65" t="s">
        <v>1701</v>
      </c>
    </row>
    <row r="22" spans="2:5" ht="15" customHeight="1" x14ac:dyDescent="0.25">
      <c r="B22" s="41" t="s">
        <v>1693</v>
      </c>
      <c r="C22" s="41" t="s">
        <v>1694</v>
      </c>
      <c r="D22" s="41" t="s">
        <v>1702</v>
      </c>
    </row>
    <row r="23" spans="2:5" ht="15" customHeight="1" x14ac:dyDescent="0.25">
      <c r="B23" s="66" t="s">
        <v>1695</v>
      </c>
      <c r="C23" s="67">
        <v>1285</v>
      </c>
      <c r="D23" s="67">
        <v>1256</v>
      </c>
    </row>
    <row r="24" spans="2:5" ht="15" customHeight="1" x14ac:dyDescent="0.25">
      <c r="B24" s="66" t="s">
        <v>1696</v>
      </c>
      <c r="C24" s="68">
        <v>29</v>
      </c>
      <c r="D24" s="68">
        <v>0</v>
      </c>
    </row>
    <row r="25" spans="2:5" ht="15" customHeight="1" x14ac:dyDescent="0.25">
      <c r="B25" s="66" t="s">
        <v>1697</v>
      </c>
      <c r="C25" s="68" t="s">
        <v>1698</v>
      </c>
      <c r="D25" s="68">
        <v>0</v>
      </c>
    </row>
    <row r="26" spans="2:5" ht="15" customHeight="1" x14ac:dyDescent="0.25">
      <c r="B26" s="66" t="s">
        <v>1699</v>
      </c>
      <c r="C26" s="68">
        <v>5</v>
      </c>
      <c r="D26" s="68">
        <v>0</v>
      </c>
    </row>
    <row r="27" spans="2:5" ht="15" customHeight="1" x14ac:dyDescent="0.25">
      <c r="B27" s="66" t="s">
        <v>0</v>
      </c>
      <c r="C27" s="68">
        <v>15</v>
      </c>
      <c r="D27" s="68">
        <v>0</v>
      </c>
    </row>
    <row r="28" spans="2:5" ht="15" customHeight="1" x14ac:dyDescent="0.25">
      <c r="B28" s="66" t="s">
        <v>1700</v>
      </c>
      <c r="C28" s="69">
        <v>0.82</v>
      </c>
      <c r="D28" s="6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86"/>
  <sheetViews>
    <sheetView workbookViewId="0">
      <pane ySplit="1" topLeftCell="A1218" activePane="bottomLeft" state="frozen"/>
      <selection pane="bottomLeft" activeCell="M7" sqref="M7"/>
    </sheetView>
  </sheetViews>
  <sheetFormatPr defaultRowHeight="15" x14ac:dyDescent="0.25"/>
  <cols>
    <col min="1" max="1" width="13" customWidth="1"/>
    <col min="2" max="2" width="20" customWidth="1"/>
    <col min="3" max="3" width="21" style="15" customWidth="1"/>
    <col min="4" max="4" width="17" customWidth="1"/>
    <col min="5" max="5" width="20" customWidth="1"/>
    <col min="6" max="6" width="27" customWidth="1"/>
    <col min="7" max="7" width="14" customWidth="1"/>
    <col min="8" max="8" width="18" customWidth="1"/>
    <col min="9" max="9" width="12" customWidth="1"/>
    <col min="10" max="10" width="24" customWidth="1"/>
    <col min="11" max="11" width="18" customWidth="1"/>
  </cols>
  <sheetData>
    <row r="1" spans="1:11" ht="16.5" x14ac:dyDescent="0.25">
      <c r="A1" s="1" t="s">
        <v>1</v>
      </c>
      <c r="B1" s="1" t="s">
        <v>2</v>
      </c>
      <c r="C1" s="12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5">
      <c r="A2" s="2" t="s">
        <v>12</v>
      </c>
      <c r="B2" s="3" t="s">
        <v>13</v>
      </c>
      <c r="C2" s="16" t="s">
        <v>14</v>
      </c>
      <c r="D2" s="3" t="s">
        <v>15</v>
      </c>
      <c r="E2" s="3" t="s">
        <v>16</v>
      </c>
      <c r="F2" s="3" t="s">
        <v>17</v>
      </c>
      <c r="G2" s="4">
        <v>5</v>
      </c>
      <c r="H2" s="5">
        <v>39</v>
      </c>
      <c r="I2" s="5">
        <v>0</v>
      </c>
      <c r="J2" s="5">
        <f t="shared" ref="J2:J17" si="0">(G2*H2)-I2</f>
        <v>195</v>
      </c>
      <c r="K2" s="3" t="s">
        <v>18</v>
      </c>
    </row>
    <row r="3" spans="1:11" x14ac:dyDescent="0.25">
      <c r="A3" s="6" t="s">
        <v>19</v>
      </c>
      <c r="B3" s="7" t="s">
        <v>20</v>
      </c>
      <c r="C3" s="14" t="s">
        <v>21</v>
      </c>
      <c r="D3" s="7" t="s">
        <v>22</v>
      </c>
      <c r="E3" s="7" t="s">
        <v>23</v>
      </c>
      <c r="F3" s="7" t="s">
        <v>24</v>
      </c>
      <c r="G3" s="8">
        <v>2</v>
      </c>
      <c r="H3" s="9">
        <v>180</v>
      </c>
      <c r="I3" s="9">
        <v>12.01</v>
      </c>
      <c r="J3" s="9">
        <f t="shared" si="0"/>
        <v>347.99</v>
      </c>
      <c r="K3" s="7" t="s">
        <v>25</v>
      </c>
    </row>
    <row r="4" spans="1:11" x14ac:dyDescent="0.25">
      <c r="A4" s="2" t="s">
        <v>26</v>
      </c>
      <c r="B4" s="3" t="s">
        <v>27</v>
      </c>
      <c r="C4" s="13" t="s">
        <v>28</v>
      </c>
      <c r="D4" s="3" t="s">
        <v>29</v>
      </c>
      <c r="E4" s="3" t="s">
        <v>30</v>
      </c>
      <c r="F4" s="3" t="s">
        <v>31</v>
      </c>
      <c r="G4" s="4">
        <v>1</v>
      </c>
      <c r="H4" s="5">
        <v>2500</v>
      </c>
      <c r="I4" s="5">
        <v>0</v>
      </c>
      <c r="J4" s="5">
        <f t="shared" si="0"/>
        <v>2500</v>
      </c>
      <c r="K4" s="3" t="s">
        <v>32</v>
      </c>
    </row>
    <row r="5" spans="1:11" x14ac:dyDescent="0.25">
      <c r="A5" s="6" t="s">
        <v>33</v>
      </c>
      <c r="B5" s="7" t="s">
        <v>34</v>
      </c>
      <c r="C5" s="14" t="s">
        <v>35</v>
      </c>
      <c r="D5" s="7" t="s">
        <v>29</v>
      </c>
      <c r="E5" s="7" t="s">
        <v>16</v>
      </c>
      <c r="F5" s="7" t="s">
        <v>17</v>
      </c>
      <c r="G5" s="8">
        <v>1</v>
      </c>
      <c r="H5" s="9">
        <v>39</v>
      </c>
      <c r="I5" s="9">
        <v>0</v>
      </c>
      <c r="J5" s="9">
        <f t="shared" si="0"/>
        <v>39</v>
      </c>
      <c r="K5" s="7" t="s">
        <v>32</v>
      </c>
    </row>
    <row r="6" spans="1:11" x14ac:dyDescent="0.25">
      <c r="A6" s="2" t="s">
        <v>36</v>
      </c>
      <c r="B6" s="3" t="s">
        <v>37</v>
      </c>
      <c r="C6" s="13" t="s">
        <v>38</v>
      </c>
      <c r="D6" s="3" t="s">
        <v>39</v>
      </c>
      <c r="E6" s="3" t="s">
        <v>30</v>
      </c>
      <c r="F6" s="3" t="s">
        <v>31</v>
      </c>
      <c r="G6" s="4">
        <v>4</v>
      </c>
      <c r="H6" s="5">
        <v>2500</v>
      </c>
      <c r="I6" s="5">
        <v>0</v>
      </c>
      <c r="J6" s="5">
        <f t="shared" si="0"/>
        <v>10000</v>
      </c>
      <c r="K6" s="3" t="s">
        <v>25</v>
      </c>
    </row>
    <row r="7" spans="1:11" x14ac:dyDescent="0.25">
      <c r="A7" s="6" t="s">
        <v>40</v>
      </c>
      <c r="B7" s="7" t="s">
        <v>41</v>
      </c>
      <c r="C7" s="14" t="s">
        <v>42</v>
      </c>
      <c r="D7" s="7" t="s">
        <v>39</v>
      </c>
      <c r="E7" s="7" t="s">
        <v>23</v>
      </c>
      <c r="F7" s="7" t="s">
        <v>43</v>
      </c>
      <c r="G7" s="8">
        <v>2</v>
      </c>
      <c r="H7" s="9">
        <v>350</v>
      </c>
      <c r="I7" s="9">
        <v>84.6</v>
      </c>
      <c r="J7" s="9">
        <f t="shared" si="0"/>
        <v>615.4</v>
      </c>
      <c r="K7" s="7" t="s">
        <v>44</v>
      </c>
    </row>
    <row r="8" spans="1:11" x14ac:dyDescent="0.25">
      <c r="A8" s="2" t="s">
        <v>45</v>
      </c>
      <c r="B8" s="3" t="s">
        <v>20</v>
      </c>
      <c r="C8" s="13" t="s">
        <v>46</v>
      </c>
      <c r="D8" s="3" t="s">
        <v>47</v>
      </c>
      <c r="E8" s="3" t="s">
        <v>23</v>
      </c>
      <c r="F8" s="3" t="s">
        <v>48</v>
      </c>
      <c r="G8" s="4">
        <v>3</v>
      </c>
      <c r="H8" s="5">
        <v>450</v>
      </c>
      <c r="I8" s="5">
        <v>174.47</v>
      </c>
      <c r="J8" s="5">
        <f t="shared" si="0"/>
        <v>1175.53</v>
      </c>
      <c r="K8" s="3" t="s">
        <v>49</v>
      </c>
    </row>
    <row r="9" spans="1:11" x14ac:dyDescent="0.25">
      <c r="A9" s="6" t="s">
        <v>50</v>
      </c>
      <c r="B9" s="7" t="s">
        <v>20</v>
      </c>
      <c r="C9" s="14" t="s">
        <v>51</v>
      </c>
      <c r="D9" s="7" t="s">
        <v>47</v>
      </c>
      <c r="E9" s="7" t="s">
        <v>52</v>
      </c>
      <c r="F9" s="7" t="s">
        <v>53</v>
      </c>
      <c r="G9" s="8">
        <v>1</v>
      </c>
      <c r="H9" s="9">
        <v>149</v>
      </c>
      <c r="I9" s="9">
        <v>4.6500000000000004</v>
      </c>
      <c r="J9" s="9">
        <f t="shared" si="0"/>
        <v>144.35</v>
      </c>
      <c r="K9" s="7" t="s">
        <v>49</v>
      </c>
    </row>
    <row r="10" spans="1:11" x14ac:dyDescent="0.25">
      <c r="A10" s="2" t="s">
        <v>54</v>
      </c>
      <c r="B10" s="3" t="s">
        <v>55</v>
      </c>
      <c r="C10" s="13" t="s">
        <v>56</v>
      </c>
      <c r="D10" s="3" t="s">
        <v>15</v>
      </c>
      <c r="E10" s="3" t="s">
        <v>23</v>
      </c>
      <c r="F10" s="3"/>
      <c r="G10" s="4">
        <v>1</v>
      </c>
      <c r="H10" s="5">
        <v>350</v>
      </c>
      <c r="I10" s="5">
        <v>0</v>
      </c>
      <c r="J10" s="5">
        <f t="shared" si="0"/>
        <v>350</v>
      </c>
      <c r="K10" s="3" t="s">
        <v>18</v>
      </c>
    </row>
    <row r="11" spans="1:11" x14ac:dyDescent="0.25">
      <c r="A11" s="6" t="s">
        <v>57</v>
      </c>
      <c r="B11" s="7" t="s">
        <v>27</v>
      </c>
      <c r="C11" s="14" t="s">
        <v>58</v>
      </c>
      <c r="D11" s="7" t="s">
        <v>29</v>
      </c>
      <c r="E11" s="7" t="s">
        <v>52</v>
      </c>
      <c r="F11" s="7" t="s">
        <v>53</v>
      </c>
      <c r="G11" s="8">
        <v>2</v>
      </c>
      <c r="H11" s="9">
        <v>149</v>
      </c>
      <c r="I11" s="9">
        <v>0.89</v>
      </c>
      <c r="J11" s="9">
        <f t="shared" si="0"/>
        <v>297.11</v>
      </c>
      <c r="K11" s="7" t="s">
        <v>25</v>
      </c>
    </row>
    <row r="12" spans="1:11" x14ac:dyDescent="0.25">
      <c r="A12" s="2" t="s">
        <v>59</v>
      </c>
      <c r="B12" s="3" t="s">
        <v>34</v>
      </c>
      <c r="C12" s="13" t="s">
        <v>60</v>
      </c>
      <c r="D12" s="3" t="s">
        <v>47</v>
      </c>
      <c r="E12" s="3" t="s">
        <v>52</v>
      </c>
      <c r="F12" s="3" t="s">
        <v>61</v>
      </c>
      <c r="G12" s="4">
        <v>1</v>
      </c>
      <c r="H12" s="5">
        <v>199</v>
      </c>
      <c r="I12" s="5">
        <v>8.4700000000000006</v>
      </c>
      <c r="J12" s="5">
        <f t="shared" si="0"/>
        <v>190.53</v>
      </c>
      <c r="K12" s="3" t="s">
        <v>32</v>
      </c>
    </row>
    <row r="13" spans="1:11" x14ac:dyDescent="0.25">
      <c r="A13" s="6" t="s">
        <v>62</v>
      </c>
      <c r="B13" s="7" t="s">
        <v>63</v>
      </c>
      <c r="C13" s="14" t="s">
        <v>64</v>
      </c>
      <c r="D13" s="7" t="s">
        <v>22</v>
      </c>
      <c r="E13" s="7" t="s">
        <v>23</v>
      </c>
      <c r="F13" s="7" t="s">
        <v>48</v>
      </c>
      <c r="G13" s="8">
        <v>4</v>
      </c>
      <c r="H13" s="9">
        <v>450</v>
      </c>
      <c r="I13" s="9">
        <v>74.27</v>
      </c>
      <c r="J13" s="9">
        <f t="shared" si="0"/>
        <v>1725.73</v>
      </c>
      <c r="K13" s="7" t="s">
        <v>65</v>
      </c>
    </row>
    <row r="14" spans="1:11" x14ac:dyDescent="0.25">
      <c r="A14" s="2" t="s">
        <v>66</v>
      </c>
      <c r="B14" s="3" t="s">
        <v>37</v>
      </c>
      <c r="C14" s="13" t="s">
        <v>67</v>
      </c>
      <c r="D14" s="3" t="s">
        <v>15</v>
      </c>
      <c r="E14" s="3" t="s">
        <v>30</v>
      </c>
      <c r="F14" s="3" t="s">
        <v>68</v>
      </c>
      <c r="G14" s="4">
        <v>4</v>
      </c>
      <c r="H14" s="5">
        <v>799</v>
      </c>
      <c r="I14" s="5">
        <v>0</v>
      </c>
      <c r="J14" s="5">
        <f t="shared" si="0"/>
        <v>3196</v>
      </c>
      <c r="K14" s="3" t="s">
        <v>69</v>
      </c>
    </row>
    <row r="15" spans="1:11" x14ac:dyDescent="0.25">
      <c r="A15" s="6" t="s">
        <v>70</v>
      </c>
      <c r="B15" s="7" t="s">
        <v>71</v>
      </c>
      <c r="C15" s="14" t="s">
        <v>72</v>
      </c>
      <c r="D15" s="7" t="s">
        <v>39</v>
      </c>
      <c r="E15" s="7" t="s">
        <v>52</v>
      </c>
      <c r="F15" s="7" t="s">
        <v>53</v>
      </c>
      <c r="G15" s="8">
        <v>1</v>
      </c>
      <c r="H15" s="9">
        <v>149</v>
      </c>
      <c r="I15" s="9">
        <v>16.32</v>
      </c>
      <c r="J15" s="9">
        <f t="shared" si="0"/>
        <v>132.68</v>
      </c>
      <c r="K15" s="7" t="s">
        <v>44</v>
      </c>
    </row>
    <row r="16" spans="1:11" x14ac:dyDescent="0.25">
      <c r="A16" s="2" t="s">
        <v>73</v>
      </c>
      <c r="B16" s="3" t="s">
        <v>63</v>
      </c>
      <c r="C16" s="13" t="s">
        <v>74</v>
      </c>
      <c r="D16" s="3" t="s">
        <v>29</v>
      </c>
      <c r="E16" s="3" t="s">
        <v>52</v>
      </c>
      <c r="F16" s="3" t="s">
        <v>75</v>
      </c>
      <c r="G16" s="4">
        <v>1</v>
      </c>
      <c r="H16" s="5">
        <v>249</v>
      </c>
      <c r="I16" s="5">
        <v>0</v>
      </c>
      <c r="J16" s="5">
        <f t="shared" si="0"/>
        <v>249</v>
      </c>
      <c r="K16" s="3" t="s">
        <v>49</v>
      </c>
    </row>
    <row r="17" spans="1:11" x14ac:dyDescent="0.25">
      <c r="A17" s="6" t="s">
        <v>76</v>
      </c>
      <c r="B17" s="7" t="s">
        <v>63</v>
      </c>
      <c r="C17" s="14" t="s">
        <v>77</v>
      </c>
      <c r="D17" s="7" t="s">
        <v>22</v>
      </c>
      <c r="E17" s="7" t="s">
        <v>16</v>
      </c>
      <c r="F17" s="7" t="s">
        <v>78</v>
      </c>
      <c r="G17" s="8">
        <v>5</v>
      </c>
      <c r="H17" s="9">
        <v>59</v>
      </c>
      <c r="I17" s="9">
        <v>30.93</v>
      </c>
      <c r="J17" s="9">
        <f t="shared" si="0"/>
        <v>264.07</v>
      </c>
      <c r="K17" s="7" t="s">
        <v>49</v>
      </c>
    </row>
    <row r="18" spans="1:11" x14ac:dyDescent="0.25">
      <c r="A18" s="2" t="s">
        <v>79</v>
      </c>
      <c r="B18" s="3" t="s">
        <v>13</v>
      </c>
      <c r="C18" s="13" t="s">
        <v>80</v>
      </c>
      <c r="D18" s="3" t="s">
        <v>39</v>
      </c>
      <c r="E18" s="3" t="s">
        <v>52</v>
      </c>
      <c r="F18" s="3" t="s">
        <v>61</v>
      </c>
      <c r="G18" s="4">
        <v>2</v>
      </c>
      <c r="H18" s="10"/>
      <c r="I18" s="5">
        <v>52.41</v>
      </c>
      <c r="J18" s="5"/>
      <c r="K18" s="3" t="s">
        <v>65</v>
      </c>
    </row>
    <row r="19" spans="1:11" x14ac:dyDescent="0.25">
      <c r="A19" s="6" t="s">
        <v>81</v>
      </c>
      <c r="B19" s="7" t="s">
        <v>13</v>
      </c>
      <c r="C19" s="14" t="s">
        <v>58</v>
      </c>
      <c r="D19" s="7" t="s">
        <v>22</v>
      </c>
      <c r="E19" s="7" t="s">
        <v>30</v>
      </c>
      <c r="F19" s="7" t="s">
        <v>31</v>
      </c>
      <c r="G19" s="8">
        <v>3</v>
      </c>
      <c r="H19" s="9">
        <v>2500</v>
      </c>
      <c r="I19" s="9">
        <v>0</v>
      </c>
      <c r="J19" s="9">
        <f t="shared" ref="J19:J50" si="1">(G19*H19)-I19</f>
        <v>7500</v>
      </c>
      <c r="K19" s="7" t="s">
        <v>65</v>
      </c>
    </row>
    <row r="20" spans="1:11" x14ac:dyDescent="0.25">
      <c r="A20" s="2" t="s">
        <v>82</v>
      </c>
      <c r="B20" s="3" t="s">
        <v>13</v>
      </c>
      <c r="C20" s="13" t="s">
        <v>83</v>
      </c>
      <c r="D20" s="3" t="s">
        <v>15</v>
      </c>
      <c r="E20" s="3" t="s">
        <v>30</v>
      </c>
      <c r="F20" s="3" t="s">
        <v>68</v>
      </c>
      <c r="G20" s="4">
        <v>3</v>
      </c>
      <c r="H20" s="5">
        <v>799</v>
      </c>
      <c r="I20" s="5">
        <v>0</v>
      </c>
      <c r="J20" s="5">
        <f t="shared" si="1"/>
        <v>2397</v>
      </c>
      <c r="K20" s="3" t="s">
        <v>69</v>
      </c>
    </row>
    <row r="21" spans="1:11" x14ac:dyDescent="0.25">
      <c r="A21" s="6" t="s">
        <v>84</v>
      </c>
      <c r="B21" s="7" t="s">
        <v>71</v>
      </c>
      <c r="C21" s="14" t="s">
        <v>85</v>
      </c>
      <c r="D21" s="7" t="s">
        <v>29</v>
      </c>
      <c r="E21" s="7" t="s">
        <v>16</v>
      </c>
      <c r="F21" s="7" t="s">
        <v>17</v>
      </c>
      <c r="G21" s="8">
        <v>3</v>
      </c>
      <c r="H21" s="9">
        <v>39</v>
      </c>
      <c r="I21" s="9">
        <v>10.83</v>
      </c>
      <c r="J21" s="9">
        <f t="shared" si="1"/>
        <v>106.17</v>
      </c>
      <c r="K21" s="7" t="s">
        <v>25</v>
      </c>
    </row>
    <row r="22" spans="1:11" x14ac:dyDescent="0.25">
      <c r="A22" s="2" t="s">
        <v>86</v>
      </c>
      <c r="B22" s="3" t="s">
        <v>55</v>
      </c>
      <c r="C22" s="13" t="s">
        <v>87</v>
      </c>
      <c r="D22" s="3" t="s">
        <v>47</v>
      </c>
      <c r="E22" s="3" t="s">
        <v>23</v>
      </c>
      <c r="F22" s="3" t="s">
        <v>88</v>
      </c>
      <c r="G22" s="4">
        <v>2</v>
      </c>
      <c r="H22" s="5">
        <v>650</v>
      </c>
      <c r="I22" s="5">
        <v>0</v>
      </c>
      <c r="J22" s="5">
        <f t="shared" si="1"/>
        <v>1300</v>
      </c>
      <c r="K22" s="3" t="s">
        <v>89</v>
      </c>
    </row>
    <row r="23" spans="1:11" x14ac:dyDescent="0.25">
      <c r="A23" s="6" t="s">
        <v>90</v>
      </c>
      <c r="B23" s="7" t="s">
        <v>13</v>
      </c>
      <c r="C23" s="14" t="s">
        <v>91</v>
      </c>
      <c r="D23" s="7" t="s">
        <v>39</v>
      </c>
      <c r="E23" s="7" t="s">
        <v>23</v>
      </c>
      <c r="F23" s="7" t="s">
        <v>88</v>
      </c>
      <c r="G23" s="8">
        <v>2</v>
      </c>
      <c r="H23" s="9">
        <v>650</v>
      </c>
      <c r="I23" s="9">
        <v>158.76</v>
      </c>
      <c r="J23" s="9">
        <f t="shared" si="1"/>
        <v>1141.24</v>
      </c>
      <c r="K23" s="7" t="s">
        <v>18</v>
      </c>
    </row>
    <row r="24" spans="1:11" x14ac:dyDescent="0.25">
      <c r="A24" s="2" t="s">
        <v>92</v>
      </c>
      <c r="B24" s="3" t="s">
        <v>27</v>
      </c>
      <c r="C24" s="13" t="s">
        <v>93</v>
      </c>
      <c r="D24" s="3" t="s">
        <v>15</v>
      </c>
      <c r="E24" s="3" t="s">
        <v>52</v>
      </c>
      <c r="F24" s="3" t="s">
        <v>53</v>
      </c>
      <c r="G24" s="4">
        <v>2</v>
      </c>
      <c r="H24" s="5">
        <v>149</v>
      </c>
      <c r="I24" s="5">
        <v>21.54</v>
      </c>
      <c r="J24" s="5">
        <f t="shared" si="1"/>
        <v>276.45999999999998</v>
      </c>
      <c r="K24" s="3" t="s">
        <v>49</v>
      </c>
    </row>
    <row r="25" spans="1:11" x14ac:dyDescent="0.25">
      <c r="A25" s="6" t="s">
        <v>94</v>
      </c>
      <c r="B25" s="7" t="s">
        <v>95</v>
      </c>
      <c r="C25" s="14" t="s">
        <v>96</v>
      </c>
      <c r="D25" s="7" t="s">
        <v>47</v>
      </c>
      <c r="E25" s="7" t="s">
        <v>52</v>
      </c>
      <c r="F25" s="7" t="s">
        <v>61</v>
      </c>
      <c r="G25" s="8">
        <v>2</v>
      </c>
      <c r="H25" s="9">
        <v>199</v>
      </c>
      <c r="I25" s="9">
        <v>14.73</v>
      </c>
      <c r="J25" s="9">
        <f t="shared" si="1"/>
        <v>383.27</v>
      </c>
      <c r="K25" s="7" t="s">
        <v>69</v>
      </c>
    </row>
    <row r="26" spans="1:11" x14ac:dyDescent="0.25">
      <c r="A26" s="2" t="s">
        <v>97</v>
      </c>
      <c r="B26" s="3" t="s">
        <v>41</v>
      </c>
      <c r="C26" s="13" t="s">
        <v>98</v>
      </c>
      <c r="D26" s="3" t="s">
        <v>22</v>
      </c>
      <c r="E26" s="3" t="s">
        <v>52</v>
      </c>
      <c r="F26" s="3" t="s">
        <v>99</v>
      </c>
      <c r="G26" s="4">
        <v>3</v>
      </c>
      <c r="H26" s="5">
        <v>79</v>
      </c>
      <c r="I26" s="5">
        <v>23.94</v>
      </c>
      <c r="J26" s="5">
        <f t="shared" si="1"/>
        <v>213.06</v>
      </c>
      <c r="K26" s="3" t="s">
        <v>65</v>
      </c>
    </row>
    <row r="27" spans="1:11" x14ac:dyDescent="0.25">
      <c r="A27" s="6" t="s">
        <v>100</v>
      </c>
      <c r="B27" s="7" t="s">
        <v>101</v>
      </c>
      <c r="C27" s="14" t="s">
        <v>102</v>
      </c>
      <c r="D27" s="7" t="s">
        <v>47</v>
      </c>
      <c r="E27" s="7" t="s">
        <v>16</v>
      </c>
      <c r="F27" s="7" t="s">
        <v>103</v>
      </c>
      <c r="G27" s="8">
        <v>4</v>
      </c>
      <c r="H27" s="9">
        <v>89</v>
      </c>
      <c r="I27" s="9">
        <v>0</v>
      </c>
      <c r="J27" s="9">
        <f t="shared" si="1"/>
        <v>356</v>
      </c>
      <c r="K27" s="7" t="s">
        <v>32</v>
      </c>
    </row>
    <row r="28" spans="1:11" x14ac:dyDescent="0.25">
      <c r="A28" s="2" t="s">
        <v>104</v>
      </c>
      <c r="B28" s="3" t="s">
        <v>41</v>
      </c>
      <c r="C28" s="13" t="s">
        <v>105</v>
      </c>
      <c r="D28" s="3" t="s">
        <v>47</v>
      </c>
      <c r="E28" s="3" t="s">
        <v>30</v>
      </c>
      <c r="F28" s="3" t="s">
        <v>106</v>
      </c>
      <c r="G28" s="4">
        <v>4</v>
      </c>
      <c r="H28" s="5">
        <v>299</v>
      </c>
      <c r="I28" s="5">
        <v>0</v>
      </c>
      <c r="J28" s="5">
        <f t="shared" si="1"/>
        <v>1196</v>
      </c>
      <c r="K28" s="3" t="s">
        <v>18</v>
      </c>
    </row>
    <row r="29" spans="1:11" x14ac:dyDescent="0.25">
      <c r="A29" s="6" t="s">
        <v>107</v>
      </c>
      <c r="B29" s="7" t="s">
        <v>27</v>
      </c>
      <c r="C29" s="14" t="s">
        <v>108</v>
      </c>
      <c r="D29" s="7" t="s">
        <v>29</v>
      </c>
      <c r="E29" s="7" t="s">
        <v>23</v>
      </c>
      <c r="F29" s="7" t="s">
        <v>24</v>
      </c>
      <c r="G29" s="8">
        <v>4</v>
      </c>
      <c r="H29" s="9">
        <v>180</v>
      </c>
      <c r="I29" s="9">
        <v>0</v>
      </c>
      <c r="J29" s="9">
        <f t="shared" si="1"/>
        <v>720</v>
      </c>
      <c r="K29" s="7" t="s">
        <v>18</v>
      </c>
    </row>
    <row r="30" spans="1:11" x14ac:dyDescent="0.25">
      <c r="A30" s="2" t="s">
        <v>109</v>
      </c>
      <c r="B30" s="3" t="s">
        <v>110</v>
      </c>
      <c r="C30" s="13" t="s">
        <v>111</v>
      </c>
      <c r="D30" s="3" t="s">
        <v>15</v>
      </c>
      <c r="E30" s="3" t="s">
        <v>52</v>
      </c>
      <c r="F30" s="3" t="s">
        <v>53</v>
      </c>
      <c r="G30" s="4">
        <v>3</v>
      </c>
      <c r="H30" s="5">
        <v>149</v>
      </c>
      <c r="I30" s="5">
        <v>19.920000000000002</v>
      </c>
      <c r="J30" s="5">
        <f t="shared" si="1"/>
        <v>427.08</v>
      </c>
      <c r="K30" s="3" t="s">
        <v>44</v>
      </c>
    </row>
    <row r="31" spans="1:11" x14ac:dyDescent="0.25">
      <c r="A31" s="6" t="s">
        <v>112</v>
      </c>
      <c r="B31" s="7" t="s">
        <v>41</v>
      </c>
      <c r="C31" s="14" t="s">
        <v>113</v>
      </c>
      <c r="D31" s="7" t="s">
        <v>15</v>
      </c>
      <c r="E31" s="7" t="s">
        <v>16</v>
      </c>
      <c r="F31" s="7" t="s">
        <v>103</v>
      </c>
      <c r="G31" s="8">
        <v>3</v>
      </c>
      <c r="H31" s="9">
        <v>89</v>
      </c>
      <c r="I31" s="9">
        <v>0</v>
      </c>
      <c r="J31" s="9">
        <f t="shared" si="1"/>
        <v>267</v>
      </c>
      <c r="K31" s="7" t="s">
        <v>89</v>
      </c>
    </row>
    <row r="32" spans="1:11" x14ac:dyDescent="0.25">
      <c r="A32" s="2" t="s">
        <v>114</v>
      </c>
      <c r="B32" s="3" t="s">
        <v>27</v>
      </c>
      <c r="C32" s="13" t="s">
        <v>115</v>
      </c>
      <c r="D32" s="3" t="s">
        <v>47</v>
      </c>
      <c r="E32" s="3" t="s">
        <v>16</v>
      </c>
      <c r="F32" s="3" t="s">
        <v>116</v>
      </c>
      <c r="G32" s="4">
        <v>5</v>
      </c>
      <c r="H32" s="5">
        <v>45</v>
      </c>
      <c r="I32" s="10"/>
      <c r="J32" s="5">
        <f t="shared" si="1"/>
        <v>225</v>
      </c>
      <c r="K32" s="3" t="s">
        <v>18</v>
      </c>
    </row>
    <row r="33" spans="1:11" x14ac:dyDescent="0.25">
      <c r="A33" s="6" t="s">
        <v>117</v>
      </c>
      <c r="B33" s="7" t="s">
        <v>20</v>
      </c>
      <c r="C33" s="14" t="s">
        <v>118</v>
      </c>
      <c r="D33" s="7" t="s">
        <v>15</v>
      </c>
      <c r="E33" s="7" t="s">
        <v>52</v>
      </c>
      <c r="F33" s="7" t="s">
        <v>99</v>
      </c>
      <c r="G33" s="8">
        <v>4</v>
      </c>
      <c r="H33" s="9">
        <v>79</v>
      </c>
      <c r="I33" s="9">
        <v>15.05</v>
      </c>
      <c r="J33" s="9">
        <f t="shared" si="1"/>
        <v>300.95</v>
      </c>
      <c r="K33" s="7" t="s">
        <v>49</v>
      </c>
    </row>
    <row r="34" spans="1:11" x14ac:dyDescent="0.25">
      <c r="A34" s="2" t="s">
        <v>119</v>
      </c>
      <c r="B34" s="3" t="s">
        <v>27</v>
      </c>
      <c r="C34" s="13" t="s">
        <v>120</v>
      </c>
      <c r="D34" s="3" t="s">
        <v>29</v>
      </c>
      <c r="E34" s="3" t="s">
        <v>30</v>
      </c>
      <c r="F34" s="3" t="s">
        <v>106</v>
      </c>
      <c r="G34" s="4">
        <v>5</v>
      </c>
      <c r="H34" s="5">
        <v>299</v>
      </c>
      <c r="I34" s="5">
        <v>30.07</v>
      </c>
      <c r="J34" s="5">
        <f t="shared" si="1"/>
        <v>1464.93</v>
      </c>
      <c r="K34" s="3" t="s">
        <v>69</v>
      </c>
    </row>
    <row r="35" spans="1:11" x14ac:dyDescent="0.25">
      <c r="A35" s="6" t="s">
        <v>121</v>
      </c>
      <c r="B35" s="7" t="s">
        <v>110</v>
      </c>
      <c r="C35" s="14" t="s">
        <v>122</v>
      </c>
      <c r="D35" s="7" t="s">
        <v>15</v>
      </c>
      <c r="E35" s="7" t="s">
        <v>30</v>
      </c>
      <c r="F35" s="7" t="s">
        <v>68</v>
      </c>
      <c r="G35" s="8">
        <v>4</v>
      </c>
      <c r="H35" s="9">
        <v>799</v>
      </c>
      <c r="I35" s="9">
        <v>0</v>
      </c>
      <c r="J35" s="9">
        <f t="shared" si="1"/>
        <v>3196</v>
      </c>
      <c r="K35" s="7" t="s">
        <v>32</v>
      </c>
    </row>
    <row r="36" spans="1:11" x14ac:dyDescent="0.25">
      <c r="A36" s="2" t="s">
        <v>123</v>
      </c>
      <c r="B36" s="3" t="s">
        <v>55</v>
      </c>
      <c r="C36" s="13" t="s">
        <v>124</v>
      </c>
      <c r="D36" s="3" t="s">
        <v>39</v>
      </c>
      <c r="E36" s="3" t="s">
        <v>52</v>
      </c>
      <c r="F36" s="3" t="s">
        <v>61</v>
      </c>
      <c r="G36" s="4">
        <v>3</v>
      </c>
      <c r="H36" s="5">
        <v>199</v>
      </c>
      <c r="I36" s="5">
        <v>0</v>
      </c>
      <c r="J36" s="5">
        <f t="shared" si="1"/>
        <v>597</v>
      </c>
      <c r="K36" s="3" t="s">
        <v>65</v>
      </c>
    </row>
    <row r="37" spans="1:11" x14ac:dyDescent="0.25">
      <c r="A37" s="6" t="s">
        <v>125</v>
      </c>
      <c r="B37" s="7" t="s">
        <v>101</v>
      </c>
      <c r="C37" s="14" t="s">
        <v>126</v>
      </c>
      <c r="D37" s="7" t="s">
        <v>39</v>
      </c>
      <c r="E37" s="7" t="s">
        <v>30</v>
      </c>
      <c r="F37" s="7" t="s">
        <v>31</v>
      </c>
      <c r="G37" s="8">
        <v>4</v>
      </c>
      <c r="H37" s="9">
        <v>2500</v>
      </c>
      <c r="I37" s="9">
        <v>572.13</v>
      </c>
      <c r="J37" s="9">
        <f t="shared" si="1"/>
        <v>9427.8700000000008</v>
      </c>
      <c r="K37" s="7" t="s">
        <v>25</v>
      </c>
    </row>
    <row r="38" spans="1:11" x14ac:dyDescent="0.25">
      <c r="A38" s="2" t="s">
        <v>127</v>
      </c>
      <c r="B38" s="3" t="s">
        <v>37</v>
      </c>
      <c r="C38" s="13" t="s">
        <v>128</v>
      </c>
      <c r="D38" s="3" t="s">
        <v>47</v>
      </c>
      <c r="E38" s="3" t="s">
        <v>52</v>
      </c>
      <c r="F38" s="3" t="s">
        <v>75</v>
      </c>
      <c r="G38" s="4">
        <v>5</v>
      </c>
      <c r="H38" s="5">
        <v>249</v>
      </c>
      <c r="I38" s="5">
        <v>45.43</v>
      </c>
      <c r="J38" s="5">
        <f t="shared" si="1"/>
        <v>1199.57</v>
      </c>
      <c r="K38" s="3" t="s">
        <v>69</v>
      </c>
    </row>
    <row r="39" spans="1:11" x14ac:dyDescent="0.25">
      <c r="A39" s="6" t="s">
        <v>129</v>
      </c>
      <c r="B39" s="7" t="s">
        <v>101</v>
      </c>
      <c r="C39" s="14" t="s">
        <v>130</v>
      </c>
      <c r="D39" s="7" t="s">
        <v>39</v>
      </c>
      <c r="E39" s="7" t="s">
        <v>52</v>
      </c>
      <c r="F39" s="7" t="s">
        <v>99</v>
      </c>
      <c r="G39" s="8">
        <v>5</v>
      </c>
      <c r="H39" s="9">
        <v>79</v>
      </c>
      <c r="I39" s="9">
        <v>21.26</v>
      </c>
      <c r="J39" s="9">
        <f t="shared" si="1"/>
        <v>373.74</v>
      </c>
      <c r="K39" s="7" t="s">
        <v>44</v>
      </c>
    </row>
    <row r="40" spans="1:11" x14ac:dyDescent="0.25">
      <c r="A40" s="2" t="s">
        <v>131</v>
      </c>
      <c r="B40" s="3" t="s">
        <v>37</v>
      </c>
      <c r="C40" s="13" t="s">
        <v>132</v>
      </c>
      <c r="D40" s="3" t="s">
        <v>39</v>
      </c>
      <c r="E40" s="3" t="s">
        <v>23</v>
      </c>
      <c r="F40" s="3" t="s">
        <v>48</v>
      </c>
      <c r="G40" s="4">
        <v>4</v>
      </c>
      <c r="H40" s="5">
        <v>450</v>
      </c>
      <c r="I40" s="5">
        <v>165.66</v>
      </c>
      <c r="J40" s="5">
        <f t="shared" si="1"/>
        <v>1634.34</v>
      </c>
      <c r="K40" s="3" t="s">
        <v>65</v>
      </c>
    </row>
    <row r="41" spans="1:11" x14ac:dyDescent="0.25">
      <c r="A41" s="6" t="s">
        <v>133</v>
      </c>
      <c r="B41" s="7" t="s">
        <v>134</v>
      </c>
      <c r="C41" s="14" t="s">
        <v>28</v>
      </c>
      <c r="D41" s="7" t="s">
        <v>39</v>
      </c>
      <c r="E41" s="7" t="s">
        <v>23</v>
      </c>
      <c r="F41" s="7" t="s">
        <v>88</v>
      </c>
      <c r="G41" s="8">
        <v>3</v>
      </c>
      <c r="H41" s="9">
        <v>650</v>
      </c>
      <c r="I41" s="9">
        <v>75.23</v>
      </c>
      <c r="J41" s="9">
        <f t="shared" si="1"/>
        <v>1874.77</v>
      </c>
      <c r="K41" s="7" t="s">
        <v>49</v>
      </c>
    </row>
    <row r="42" spans="1:11" x14ac:dyDescent="0.25">
      <c r="A42" s="2" t="s">
        <v>135</v>
      </c>
      <c r="B42" s="3" t="s">
        <v>37</v>
      </c>
      <c r="C42" s="13" t="s">
        <v>136</v>
      </c>
      <c r="D42" s="3" t="s">
        <v>15</v>
      </c>
      <c r="E42" s="3" t="s">
        <v>30</v>
      </c>
      <c r="F42" s="3" t="s">
        <v>106</v>
      </c>
      <c r="G42" s="4">
        <v>1</v>
      </c>
      <c r="H42" s="5">
        <v>299</v>
      </c>
      <c r="I42" s="5">
        <v>0</v>
      </c>
      <c r="J42" s="5">
        <f t="shared" si="1"/>
        <v>299</v>
      </c>
      <c r="K42" s="3" t="s">
        <v>32</v>
      </c>
    </row>
    <row r="43" spans="1:11" x14ac:dyDescent="0.25">
      <c r="A43" s="6" t="s">
        <v>137</v>
      </c>
      <c r="B43" s="7" t="s">
        <v>101</v>
      </c>
      <c r="C43" s="14" t="s">
        <v>102</v>
      </c>
      <c r="D43" s="7" t="s">
        <v>22</v>
      </c>
      <c r="E43" s="7" t="s">
        <v>23</v>
      </c>
      <c r="F43" s="7" t="s">
        <v>43</v>
      </c>
      <c r="G43" s="8">
        <v>3</v>
      </c>
      <c r="H43" s="9">
        <v>350</v>
      </c>
      <c r="I43" s="9">
        <v>0</v>
      </c>
      <c r="J43" s="9">
        <f t="shared" si="1"/>
        <v>1050</v>
      </c>
      <c r="K43" s="7" t="s">
        <v>25</v>
      </c>
    </row>
    <row r="44" spans="1:11" x14ac:dyDescent="0.25">
      <c r="A44" s="2" t="s">
        <v>138</v>
      </c>
      <c r="B44" s="3" t="s">
        <v>34</v>
      </c>
      <c r="C44" s="13" t="s">
        <v>72</v>
      </c>
      <c r="D44" s="3" t="s">
        <v>29</v>
      </c>
      <c r="E44" s="3" t="s">
        <v>23</v>
      </c>
      <c r="F44" s="3" t="s">
        <v>24</v>
      </c>
      <c r="G44" s="4">
        <v>4</v>
      </c>
      <c r="H44" s="5">
        <v>180</v>
      </c>
      <c r="I44" s="5">
        <v>0</v>
      </c>
      <c r="J44" s="5">
        <f t="shared" si="1"/>
        <v>720</v>
      </c>
      <c r="K44" s="3" t="s">
        <v>49</v>
      </c>
    </row>
    <row r="45" spans="1:11" x14ac:dyDescent="0.25">
      <c r="A45" s="6" t="s">
        <v>139</v>
      </c>
      <c r="B45" s="7" t="s">
        <v>55</v>
      </c>
      <c r="C45" s="14" t="s">
        <v>140</v>
      </c>
      <c r="D45" s="7" t="s">
        <v>15</v>
      </c>
      <c r="E45" s="7" t="s">
        <v>16</v>
      </c>
      <c r="F45" s="7" t="s">
        <v>116</v>
      </c>
      <c r="G45" s="8">
        <v>1</v>
      </c>
      <c r="H45" s="9">
        <v>45</v>
      </c>
      <c r="I45" s="9">
        <v>0</v>
      </c>
      <c r="J45" s="9">
        <f t="shared" si="1"/>
        <v>45</v>
      </c>
      <c r="K45" s="7" t="s">
        <v>49</v>
      </c>
    </row>
    <row r="46" spans="1:11" x14ac:dyDescent="0.25">
      <c r="A46" s="2" t="s">
        <v>141</v>
      </c>
      <c r="B46" s="3" t="s">
        <v>71</v>
      </c>
      <c r="C46" s="13" t="s">
        <v>142</v>
      </c>
      <c r="D46" s="3" t="s">
        <v>47</v>
      </c>
      <c r="E46" s="3" t="s">
        <v>52</v>
      </c>
      <c r="F46" s="3" t="s">
        <v>99</v>
      </c>
      <c r="G46" s="4">
        <v>5</v>
      </c>
      <c r="H46" s="5">
        <v>79</v>
      </c>
      <c r="I46" s="5">
        <v>0</v>
      </c>
      <c r="J46" s="5">
        <f t="shared" si="1"/>
        <v>395</v>
      </c>
      <c r="K46" s="3" t="s">
        <v>65</v>
      </c>
    </row>
    <row r="47" spans="1:11" x14ac:dyDescent="0.25">
      <c r="A47" s="6" t="s">
        <v>143</v>
      </c>
      <c r="B47" s="7" t="s">
        <v>55</v>
      </c>
      <c r="C47" s="14" t="s">
        <v>144</v>
      </c>
      <c r="D47" s="7" t="s">
        <v>29</v>
      </c>
      <c r="E47" s="7" t="s">
        <v>30</v>
      </c>
      <c r="F47" s="7" t="s">
        <v>31</v>
      </c>
      <c r="G47" s="8">
        <v>1</v>
      </c>
      <c r="H47" s="9">
        <v>2500</v>
      </c>
      <c r="I47" s="9">
        <v>339.08</v>
      </c>
      <c r="J47" s="9">
        <f t="shared" si="1"/>
        <v>2160.92</v>
      </c>
      <c r="K47" s="7" t="s">
        <v>25</v>
      </c>
    </row>
    <row r="48" spans="1:11" x14ac:dyDescent="0.25">
      <c r="A48" s="2" t="s">
        <v>145</v>
      </c>
      <c r="B48" s="3" t="s">
        <v>27</v>
      </c>
      <c r="C48" s="13" t="s">
        <v>146</v>
      </c>
      <c r="D48" s="3" t="s">
        <v>39</v>
      </c>
      <c r="E48" s="3" t="s">
        <v>52</v>
      </c>
      <c r="F48" s="3" t="s">
        <v>61</v>
      </c>
      <c r="G48" s="4">
        <v>4</v>
      </c>
      <c r="H48" s="5">
        <v>199</v>
      </c>
      <c r="I48" s="5">
        <v>32.75</v>
      </c>
      <c r="J48" s="5">
        <f t="shared" si="1"/>
        <v>763.25</v>
      </c>
      <c r="K48" s="3" t="s">
        <v>18</v>
      </c>
    </row>
    <row r="49" spans="1:11" x14ac:dyDescent="0.25">
      <c r="A49" s="6" t="s">
        <v>147</v>
      </c>
      <c r="B49" s="7" t="s">
        <v>20</v>
      </c>
      <c r="C49" s="14" t="s">
        <v>148</v>
      </c>
      <c r="D49" s="7" t="s">
        <v>149</v>
      </c>
      <c r="E49" s="7" t="s">
        <v>52</v>
      </c>
      <c r="F49" s="7" t="s">
        <v>61</v>
      </c>
      <c r="G49" s="8">
        <v>2</v>
      </c>
      <c r="H49" s="9">
        <v>199</v>
      </c>
      <c r="I49" s="9">
        <v>0</v>
      </c>
      <c r="J49" s="9">
        <f t="shared" si="1"/>
        <v>398</v>
      </c>
      <c r="K49" s="7" t="s">
        <v>18</v>
      </c>
    </row>
    <row r="50" spans="1:11" x14ac:dyDescent="0.25">
      <c r="A50" s="2" t="s">
        <v>150</v>
      </c>
      <c r="B50" s="3" t="s">
        <v>41</v>
      </c>
      <c r="C50" s="13" t="s">
        <v>151</v>
      </c>
      <c r="D50" s="3" t="s">
        <v>15</v>
      </c>
      <c r="E50" s="3" t="s">
        <v>30</v>
      </c>
      <c r="F50" s="3" t="s">
        <v>152</v>
      </c>
      <c r="G50" s="4">
        <v>3</v>
      </c>
      <c r="H50" s="5">
        <v>4500</v>
      </c>
      <c r="I50" s="5">
        <v>45.28</v>
      </c>
      <c r="J50" s="5">
        <f t="shared" si="1"/>
        <v>13454.72</v>
      </c>
      <c r="K50" s="3" t="s">
        <v>89</v>
      </c>
    </row>
    <row r="51" spans="1:11" x14ac:dyDescent="0.25">
      <c r="A51" s="6" t="s">
        <v>153</v>
      </c>
      <c r="B51" s="7" t="s">
        <v>101</v>
      </c>
      <c r="C51" s="14" t="s">
        <v>74</v>
      </c>
      <c r="D51" s="7" t="s">
        <v>15</v>
      </c>
      <c r="E51" s="7" t="s">
        <v>30</v>
      </c>
      <c r="F51" s="7" t="s">
        <v>31</v>
      </c>
      <c r="G51" s="8">
        <v>3</v>
      </c>
      <c r="H51" s="9">
        <v>2500</v>
      </c>
      <c r="I51" s="9">
        <v>66.239999999999995</v>
      </c>
      <c r="J51" s="9">
        <f t="shared" ref="J51:J82" si="2">(G51*H51)-I51</f>
        <v>7433.76</v>
      </c>
      <c r="K51" s="7" t="s">
        <v>69</v>
      </c>
    </row>
    <row r="52" spans="1:11" x14ac:dyDescent="0.25">
      <c r="A52" s="2" t="s">
        <v>154</v>
      </c>
      <c r="B52" s="3" t="s">
        <v>71</v>
      </c>
      <c r="C52" s="13" t="s">
        <v>155</v>
      </c>
      <c r="D52" s="3" t="s">
        <v>39</v>
      </c>
      <c r="E52" s="3" t="s">
        <v>16</v>
      </c>
      <c r="F52" s="3" t="s">
        <v>17</v>
      </c>
      <c r="G52" s="4">
        <v>1</v>
      </c>
      <c r="H52" s="5">
        <v>39</v>
      </c>
      <c r="I52" s="5">
        <v>5.03</v>
      </c>
      <c r="J52" s="5">
        <f t="shared" si="2"/>
        <v>33.97</v>
      </c>
      <c r="K52" s="3" t="s">
        <v>18</v>
      </c>
    </row>
    <row r="53" spans="1:11" x14ac:dyDescent="0.25">
      <c r="A53" s="6" t="s">
        <v>156</v>
      </c>
      <c r="B53" s="7" t="s">
        <v>63</v>
      </c>
      <c r="C53" s="14" t="s">
        <v>157</v>
      </c>
      <c r="D53" s="7" t="s">
        <v>47</v>
      </c>
      <c r="E53" s="7" t="s">
        <v>23</v>
      </c>
      <c r="F53" s="7" t="s">
        <v>43</v>
      </c>
      <c r="G53" s="8">
        <v>3</v>
      </c>
      <c r="H53" s="9">
        <v>350</v>
      </c>
      <c r="I53" s="9">
        <v>10.82</v>
      </c>
      <c r="J53" s="9">
        <f t="shared" si="2"/>
        <v>1039.18</v>
      </c>
      <c r="K53" s="7" t="s">
        <v>25</v>
      </c>
    </row>
    <row r="54" spans="1:11" x14ac:dyDescent="0.25">
      <c r="A54" s="2" t="s">
        <v>158</v>
      </c>
      <c r="B54" s="3" t="s">
        <v>27</v>
      </c>
      <c r="C54" s="13" t="s">
        <v>159</v>
      </c>
      <c r="D54" s="3" t="s">
        <v>39</v>
      </c>
      <c r="E54" s="3" t="s">
        <v>16</v>
      </c>
      <c r="F54" s="3" t="s">
        <v>116</v>
      </c>
      <c r="G54" s="4">
        <v>4</v>
      </c>
      <c r="H54" s="5">
        <v>45</v>
      </c>
      <c r="I54" s="5">
        <v>0</v>
      </c>
      <c r="J54" s="5">
        <f t="shared" si="2"/>
        <v>180</v>
      </c>
      <c r="K54" s="3" t="s">
        <v>18</v>
      </c>
    </row>
    <row r="55" spans="1:11" x14ac:dyDescent="0.25">
      <c r="A55" s="6" t="s">
        <v>160</v>
      </c>
      <c r="B55" s="7" t="s">
        <v>71</v>
      </c>
      <c r="C55" s="14" t="s">
        <v>161</v>
      </c>
      <c r="D55" s="7" t="s">
        <v>47</v>
      </c>
      <c r="E55" s="7" t="s">
        <v>30</v>
      </c>
      <c r="F55" s="7" t="s">
        <v>106</v>
      </c>
      <c r="G55" s="8">
        <v>1</v>
      </c>
      <c r="H55" s="9">
        <v>299</v>
      </c>
      <c r="I55" s="9">
        <v>29.58</v>
      </c>
      <c r="J55" s="9">
        <f t="shared" si="2"/>
        <v>269.42</v>
      </c>
      <c r="K55" s="7" t="s">
        <v>44</v>
      </c>
    </row>
    <row r="56" spans="1:11" x14ac:dyDescent="0.25">
      <c r="A56" s="2" t="s">
        <v>162</v>
      </c>
      <c r="B56" s="3" t="s">
        <v>55</v>
      </c>
      <c r="C56" s="13" t="s">
        <v>102</v>
      </c>
      <c r="D56" s="3" t="s">
        <v>39</v>
      </c>
      <c r="E56" s="3" t="s">
        <v>16</v>
      </c>
      <c r="F56" s="3" t="s">
        <v>78</v>
      </c>
      <c r="G56" s="4">
        <v>2</v>
      </c>
      <c r="H56" s="5">
        <v>59</v>
      </c>
      <c r="I56" s="5">
        <v>5.25</v>
      </c>
      <c r="J56" s="5">
        <f t="shared" si="2"/>
        <v>112.75</v>
      </c>
      <c r="K56" s="3" t="s">
        <v>69</v>
      </c>
    </row>
    <row r="57" spans="1:11" x14ac:dyDescent="0.25">
      <c r="A57" s="6" t="s">
        <v>163</v>
      </c>
      <c r="B57" s="7" t="s">
        <v>101</v>
      </c>
      <c r="C57" s="14" t="s">
        <v>164</v>
      </c>
      <c r="D57" s="7" t="s">
        <v>39</v>
      </c>
      <c r="E57" s="7" t="s">
        <v>23</v>
      </c>
      <c r="F57" s="7" t="s">
        <v>43</v>
      </c>
      <c r="G57" s="8">
        <v>5</v>
      </c>
      <c r="H57" s="9">
        <v>350</v>
      </c>
      <c r="I57" s="9">
        <v>204.51</v>
      </c>
      <c r="J57" s="9">
        <f t="shared" si="2"/>
        <v>1545.49</v>
      </c>
      <c r="K57" s="7" t="s">
        <v>44</v>
      </c>
    </row>
    <row r="58" spans="1:11" x14ac:dyDescent="0.25">
      <c r="A58" s="2" t="s">
        <v>165</v>
      </c>
      <c r="B58" s="3" t="s">
        <v>20</v>
      </c>
      <c r="C58" s="13" t="s">
        <v>166</v>
      </c>
      <c r="D58" s="3" t="s">
        <v>29</v>
      </c>
      <c r="E58" s="3" t="s">
        <v>52</v>
      </c>
      <c r="F58" s="3" t="s">
        <v>61</v>
      </c>
      <c r="G58" s="4">
        <v>3</v>
      </c>
      <c r="H58" s="5">
        <v>199</v>
      </c>
      <c r="I58" s="5">
        <v>49.41</v>
      </c>
      <c r="J58" s="5">
        <f t="shared" si="2"/>
        <v>547.59</v>
      </c>
      <c r="K58" s="3" t="s">
        <v>89</v>
      </c>
    </row>
    <row r="59" spans="1:11" x14ac:dyDescent="0.25">
      <c r="A59" s="6" t="s">
        <v>167</v>
      </c>
      <c r="B59" s="7" t="s">
        <v>110</v>
      </c>
      <c r="C59" s="14" t="s">
        <v>168</v>
      </c>
      <c r="D59" s="7" t="s">
        <v>22</v>
      </c>
      <c r="E59" s="7" t="s">
        <v>16</v>
      </c>
      <c r="F59" s="7" t="s">
        <v>103</v>
      </c>
      <c r="G59" s="8">
        <v>2</v>
      </c>
      <c r="H59" s="9">
        <v>89</v>
      </c>
      <c r="I59" s="9">
        <v>0</v>
      </c>
      <c r="J59" s="9">
        <f t="shared" si="2"/>
        <v>178</v>
      </c>
      <c r="K59" s="7" t="s">
        <v>32</v>
      </c>
    </row>
    <row r="60" spans="1:11" x14ac:dyDescent="0.25">
      <c r="A60" s="2" t="s">
        <v>169</v>
      </c>
      <c r="B60" s="3" t="s">
        <v>41</v>
      </c>
      <c r="C60" s="13" t="s">
        <v>170</v>
      </c>
      <c r="D60" s="3" t="s">
        <v>29</v>
      </c>
      <c r="E60" s="3" t="s">
        <v>30</v>
      </c>
      <c r="F60" s="3" t="s">
        <v>152</v>
      </c>
      <c r="G60" s="4">
        <v>5</v>
      </c>
      <c r="H60" s="5">
        <v>4500</v>
      </c>
      <c r="I60" s="5">
        <v>3267.95</v>
      </c>
      <c r="J60" s="5">
        <f t="shared" si="2"/>
        <v>19232.05</v>
      </c>
      <c r="K60" s="3" t="s">
        <v>18</v>
      </c>
    </row>
    <row r="61" spans="1:11" x14ac:dyDescent="0.25">
      <c r="A61" s="6" t="s">
        <v>171</v>
      </c>
      <c r="B61" s="7" t="s">
        <v>101</v>
      </c>
      <c r="C61" s="14" t="s">
        <v>172</v>
      </c>
      <c r="D61" s="7" t="s">
        <v>15</v>
      </c>
      <c r="E61" s="7" t="s">
        <v>23</v>
      </c>
      <c r="F61" s="7" t="s">
        <v>48</v>
      </c>
      <c r="G61" s="8">
        <v>1</v>
      </c>
      <c r="H61" s="9">
        <v>450</v>
      </c>
      <c r="I61" s="9">
        <v>37.08</v>
      </c>
      <c r="J61" s="9">
        <f t="shared" si="2"/>
        <v>412.92</v>
      </c>
      <c r="K61" s="7" t="s">
        <v>25</v>
      </c>
    </row>
    <row r="62" spans="1:11" x14ac:dyDescent="0.25">
      <c r="A62" s="2" t="s">
        <v>173</v>
      </c>
      <c r="B62" s="3" t="s">
        <v>37</v>
      </c>
      <c r="C62" s="13" t="s">
        <v>174</v>
      </c>
      <c r="D62" s="3" t="s">
        <v>47</v>
      </c>
      <c r="E62" s="3" t="s">
        <v>16</v>
      </c>
      <c r="F62" s="3" t="s">
        <v>78</v>
      </c>
      <c r="G62" s="4">
        <v>1</v>
      </c>
      <c r="H62" s="5">
        <v>59</v>
      </c>
      <c r="I62" s="5">
        <v>0</v>
      </c>
      <c r="J62" s="5">
        <f t="shared" si="2"/>
        <v>59</v>
      </c>
      <c r="K62" s="3" t="s">
        <v>18</v>
      </c>
    </row>
    <row r="63" spans="1:11" x14ac:dyDescent="0.25">
      <c r="A63" s="6" t="s">
        <v>175</v>
      </c>
      <c r="B63" s="7" t="s">
        <v>63</v>
      </c>
      <c r="C63" s="14" t="s">
        <v>176</v>
      </c>
      <c r="D63" s="7" t="s">
        <v>39</v>
      </c>
      <c r="E63" s="7" t="s">
        <v>16</v>
      </c>
      <c r="F63" s="7" t="s">
        <v>78</v>
      </c>
      <c r="G63" s="8">
        <v>5</v>
      </c>
      <c r="H63" s="9">
        <v>59</v>
      </c>
      <c r="I63" s="9">
        <v>29.95</v>
      </c>
      <c r="J63" s="9">
        <f t="shared" si="2"/>
        <v>265.05</v>
      </c>
      <c r="K63" s="7" t="s">
        <v>44</v>
      </c>
    </row>
    <row r="64" spans="1:11" x14ac:dyDescent="0.25">
      <c r="A64" s="2" t="s">
        <v>177</v>
      </c>
      <c r="B64" s="3" t="s">
        <v>101</v>
      </c>
      <c r="C64" s="13" t="s">
        <v>178</v>
      </c>
      <c r="D64" s="3" t="s">
        <v>29</v>
      </c>
      <c r="E64" s="3" t="s">
        <v>30</v>
      </c>
      <c r="F64" s="3" t="s">
        <v>106</v>
      </c>
      <c r="G64" s="4">
        <v>5</v>
      </c>
      <c r="H64" s="5">
        <v>299</v>
      </c>
      <c r="I64" s="5">
        <v>0</v>
      </c>
      <c r="J64" s="5">
        <f t="shared" si="2"/>
        <v>1495</v>
      </c>
      <c r="K64" s="3" t="s">
        <v>65</v>
      </c>
    </row>
    <row r="65" spans="1:11" x14ac:dyDescent="0.25">
      <c r="A65" s="6" t="s">
        <v>179</v>
      </c>
      <c r="B65" s="7" t="s">
        <v>20</v>
      </c>
      <c r="C65" s="14" t="s">
        <v>180</v>
      </c>
      <c r="D65" s="7" t="s">
        <v>47</v>
      </c>
      <c r="E65" s="7" t="s">
        <v>52</v>
      </c>
      <c r="F65" s="7" t="s">
        <v>99</v>
      </c>
      <c r="G65" s="8">
        <v>5</v>
      </c>
      <c r="H65" s="9">
        <v>79</v>
      </c>
      <c r="I65" s="9">
        <v>48.3</v>
      </c>
      <c r="J65" s="9">
        <f t="shared" si="2"/>
        <v>346.7</v>
      </c>
      <c r="K65" s="7" t="s">
        <v>44</v>
      </c>
    </row>
    <row r="66" spans="1:11" x14ac:dyDescent="0.25">
      <c r="A66" s="2" t="s">
        <v>181</v>
      </c>
      <c r="B66" s="3" t="s">
        <v>13</v>
      </c>
      <c r="C66" s="13" t="s">
        <v>178</v>
      </c>
      <c r="D66" s="3" t="s">
        <v>22</v>
      </c>
      <c r="E66" s="3" t="s">
        <v>16</v>
      </c>
      <c r="F66" s="3" t="s">
        <v>103</v>
      </c>
      <c r="G66" s="4">
        <v>4</v>
      </c>
      <c r="H66" s="5">
        <v>89</v>
      </c>
      <c r="I66" s="5">
        <v>3.15</v>
      </c>
      <c r="J66" s="5">
        <f t="shared" si="2"/>
        <v>352.85</v>
      </c>
      <c r="K66" s="3" t="s">
        <v>25</v>
      </c>
    </row>
    <row r="67" spans="1:11" x14ac:dyDescent="0.25">
      <c r="A67" s="6" t="s">
        <v>182</v>
      </c>
      <c r="B67" s="7" t="s">
        <v>95</v>
      </c>
      <c r="C67" s="14" t="s">
        <v>183</v>
      </c>
      <c r="D67" s="7" t="s">
        <v>29</v>
      </c>
      <c r="E67" s="7" t="s">
        <v>52</v>
      </c>
      <c r="F67" s="7" t="s">
        <v>75</v>
      </c>
      <c r="G67" s="8">
        <v>3</v>
      </c>
      <c r="H67" s="9">
        <v>249</v>
      </c>
      <c r="I67" s="9">
        <v>0</v>
      </c>
      <c r="J67" s="9">
        <f t="shared" si="2"/>
        <v>747</v>
      </c>
      <c r="K67" s="7" t="s">
        <v>18</v>
      </c>
    </row>
    <row r="68" spans="1:11" x14ac:dyDescent="0.25">
      <c r="A68" s="2" t="s">
        <v>184</v>
      </c>
      <c r="B68" s="3" t="s">
        <v>63</v>
      </c>
      <c r="C68" s="13" t="s">
        <v>46</v>
      </c>
      <c r="D68" s="3" t="s">
        <v>15</v>
      </c>
      <c r="E68" s="3" t="s">
        <v>30</v>
      </c>
      <c r="F68" s="3" t="s">
        <v>106</v>
      </c>
      <c r="G68" s="4">
        <v>2</v>
      </c>
      <c r="H68" s="5">
        <v>299</v>
      </c>
      <c r="I68" s="5">
        <v>54.25</v>
      </c>
      <c r="J68" s="5">
        <f t="shared" si="2"/>
        <v>543.75</v>
      </c>
      <c r="K68" s="3" t="s">
        <v>89</v>
      </c>
    </row>
    <row r="69" spans="1:11" x14ac:dyDescent="0.25">
      <c r="A69" s="6" t="s">
        <v>185</v>
      </c>
      <c r="B69" s="7" t="s">
        <v>13</v>
      </c>
      <c r="C69" s="14" t="s">
        <v>186</v>
      </c>
      <c r="D69" s="7" t="s">
        <v>22</v>
      </c>
      <c r="E69" s="7" t="s">
        <v>30</v>
      </c>
      <c r="F69" s="7" t="s">
        <v>152</v>
      </c>
      <c r="G69" s="8">
        <v>5</v>
      </c>
      <c r="H69" s="9">
        <v>4500</v>
      </c>
      <c r="I69" s="9">
        <v>0</v>
      </c>
      <c r="J69" s="9">
        <f t="shared" si="2"/>
        <v>22500</v>
      </c>
      <c r="K69" s="7" t="s">
        <v>65</v>
      </c>
    </row>
    <row r="70" spans="1:11" x14ac:dyDescent="0.25">
      <c r="A70" s="2" t="s">
        <v>187</v>
      </c>
      <c r="B70" s="3" t="s">
        <v>27</v>
      </c>
      <c r="C70" s="13" t="s">
        <v>188</v>
      </c>
      <c r="D70" s="3" t="s">
        <v>15</v>
      </c>
      <c r="E70" s="3" t="s">
        <v>16</v>
      </c>
      <c r="F70" s="3" t="s">
        <v>116</v>
      </c>
      <c r="G70" s="4">
        <v>5</v>
      </c>
      <c r="H70" s="5">
        <v>45</v>
      </c>
      <c r="I70" s="5">
        <v>0</v>
      </c>
      <c r="J70" s="5">
        <f t="shared" si="2"/>
        <v>225</v>
      </c>
      <c r="K70" s="3" t="s">
        <v>18</v>
      </c>
    </row>
    <row r="71" spans="1:11" x14ac:dyDescent="0.25">
      <c r="A71" s="6" t="s">
        <v>189</v>
      </c>
      <c r="B71" s="7" t="s">
        <v>20</v>
      </c>
      <c r="C71" s="14" t="s">
        <v>190</v>
      </c>
      <c r="D71" s="7" t="s">
        <v>15</v>
      </c>
      <c r="E71" s="7" t="s">
        <v>30</v>
      </c>
      <c r="F71" s="7" t="s">
        <v>106</v>
      </c>
      <c r="G71" s="8">
        <v>4</v>
      </c>
      <c r="H71" s="9">
        <v>299</v>
      </c>
      <c r="I71" s="9">
        <v>0</v>
      </c>
      <c r="J71" s="9">
        <f t="shared" si="2"/>
        <v>1196</v>
      </c>
      <c r="K71" s="7" t="s">
        <v>32</v>
      </c>
    </row>
    <row r="72" spans="1:11" x14ac:dyDescent="0.25">
      <c r="A72" s="2" t="s">
        <v>191</v>
      </c>
      <c r="B72" s="3" t="s">
        <v>63</v>
      </c>
      <c r="C72" s="13" t="s">
        <v>192</v>
      </c>
      <c r="D72" s="3" t="s">
        <v>22</v>
      </c>
      <c r="E72" s="3" t="s">
        <v>52</v>
      </c>
      <c r="F72" s="3" t="s">
        <v>53</v>
      </c>
      <c r="G72" s="4">
        <v>5</v>
      </c>
      <c r="H72" s="5">
        <v>149</v>
      </c>
      <c r="I72" s="5">
        <v>16.559999999999999</v>
      </c>
      <c r="J72" s="5">
        <f t="shared" si="2"/>
        <v>728.44</v>
      </c>
      <c r="K72" s="3" t="s">
        <v>25</v>
      </c>
    </row>
    <row r="73" spans="1:11" x14ac:dyDescent="0.25">
      <c r="A73" s="6" t="s">
        <v>193</v>
      </c>
      <c r="B73" s="7" t="s">
        <v>55</v>
      </c>
      <c r="C73" s="14" t="s">
        <v>194</v>
      </c>
      <c r="D73" s="7" t="s">
        <v>39</v>
      </c>
      <c r="E73" s="7" t="s">
        <v>52</v>
      </c>
      <c r="F73" s="7" t="s">
        <v>53</v>
      </c>
      <c r="G73" s="8">
        <v>4</v>
      </c>
      <c r="H73" s="9">
        <v>149</v>
      </c>
      <c r="I73" s="9">
        <v>83.62</v>
      </c>
      <c r="J73" s="9">
        <f t="shared" si="2"/>
        <v>512.38</v>
      </c>
      <c r="K73" s="7" t="s">
        <v>89</v>
      </c>
    </row>
    <row r="74" spans="1:11" x14ac:dyDescent="0.25">
      <c r="A74" s="2" t="s">
        <v>195</v>
      </c>
      <c r="B74" s="3" t="s">
        <v>20</v>
      </c>
      <c r="C74" s="13" t="s">
        <v>196</v>
      </c>
      <c r="D74" s="3" t="s">
        <v>29</v>
      </c>
      <c r="E74" s="3" t="s">
        <v>23</v>
      </c>
      <c r="F74" s="3" t="s">
        <v>48</v>
      </c>
      <c r="G74" s="4">
        <v>2</v>
      </c>
      <c r="H74" s="5">
        <v>450</v>
      </c>
      <c r="I74" s="5">
        <v>0</v>
      </c>
      <c r="J74" s="5">
        <f t="shared" si="2"/>
        <v>900</v>
      </c>
      <c r="K74" s="3" t="s">
        <v>25</v>
      </c>
    </row>
    <row r="75" spans="1:11" x14ac:dyDescent="0.25">
      <c r="A75" s="6" t="s">
        <v>197</v>
      </c>
      <c r="B75" s="7" t="s">
        <v>20</v>
      </c>
      <c r="C75" s="14" t="s">
        <v>198</v>
      </c>
      <c r="D75" s="7" t="s">
        <v>22</v>
      </c>
      <c r="E75" s="7" t="s">
        <v>16</v>
      </c>
      <c r="F75" s="7" t="s">
        <v>78</v>
      </c>
      <c r="G75" s="8">
        <v>1</v>
      </c>
      <c r="H75" s="9">
        <v>59</v>
      </c>
      <c r="I75" s="9">
        <v>5.81</v>
      </c>
      <c r="J75" s="9">
        <f t="shared" si="2"/>
        <v>53.19</v>
      </c>
      <c r="K75" s="7" t="s">
        <v>25</v>
      </c>
    </row>
    <row r="76" spans="1:11" x14ac:dyDescent="0.25">
      <c r="A76" s="2" t="s">
        <v>199</v>
      </c>
      <c r="B76" s="3" t="s">
        <v>34</v>
      </c>
      <c r="C76" s="13" t="s">
        <v>200</v>
      </c>
      <c r="D76" s="3" t="s">
        <v>22</v>
      </c>
      <c r="E76" s="3" t="s">
        <v>52</v>
      </c>
      <c r="F76" s="3" t="s">
        <v>99</v>
      </c>
      <c r="G76" s="4">
        <v>3</v>
      </c>
      <c r="H76" s="5">
        <v>79</v>
      </c>
      <c r="I76" s="5">
        <v>0</v>
      </c>
      <c r="J76" s="5">
        <f t="shared" si="2"/>
        <v>237</v>
      </c>
      <c r="K76" s="3" t="s">
        <v>69</v>
      </c>
    </row>
    <row r="77" spans="1:11" x14ac:dyDescent="0.25">
      <c r="A77" s="6" t="s">
        <v>201</v>
      </c>
      <c r="B77" s="7" t="s">
        <v>55</v>
      </c>
      <c r="C77" s="14" t="s">
        <v>202</v>
      </c>
      <c r="D77" s="7" t="s">
        <v>47</v>
      </c>
      <c r="E77" s="7" t="s">
        <v>23</v>
      </c>
      <c r="F77" s="7" t="s">
        <v>48</v>
      </c>
      <c r="G77" s="8">
        <v>1</v>
      </c>
      <c r="H77" s="9">
        <v>450</v>
      </c>
      <c r="I77" s="9">
        <v>63.87</v>
      </c>
      <c r="J77" s="9">
        <f t="shared" si="2"/>
        <v>386.13</v>
      </c>
      <c r="K77" s="7" t="s">
        <v>49</v>
      </c>
    </row>
    <row r="78" spans="1:11" x14ac:dyDescent="0.25">
      <c r="A78" s="2" t="s">
        <v>203</v>
      </c>
      <c r="B78" s="3" t="s">
        <v>101</v>
      </c>
      <c r="C78" s="13" t="s">
        <v>204</v>
      </c>
      <c r="D78" s="3" t="s">
        <v>39</v>
      </c>
      <c r="E78" s="3" t="s">
        <v>30</v>
      </c>
      <c r="F78" s="3" t="s">
        <v>152</v>
      </c>
      <c r="G78" s="4">
        <v>4</v>
      </c>
      <c r="H78" s="5">
        <v>4500</v>
      </c>
      <c r="I78" s="5">
        <v>1114.6199999999999</v>
      </c>
      <c r="J78" s="5">
        <f t="shared" si="2"/>
        <v>16885.38</v>
      </c>
      <c r="K78" s="3" t="s">
        <v>69</v>
      </c>
    </row>
    <row r="79" spans="1:11" x14ac:dyDescent="0.25">
      <c r="A79" s="6" t="s">
        <v>205</v>
      </c>
      <c r="B79" s="7" t="s">
        <v>95</v>
      </c>
      <c r="C79" s="14" t="s">
        <v>206</v>
      </c>
      <c r="D79" s="7" t="s">
        <v>15</v>
      </c>
      <c r="E79" s="7" t="s">
        <v>23</v>
      </c>
      <c r="F79" s="7" t="s">
        <v>48</v>
      </c>
      <c r="G79" s="8">
        <v>5</v>
      </c>
      <c r="H79" s="9">
        <v>450</v>
      </c>
      <c r="I79" s="9">
        <v>0</v>
      </c>
      <c r="J79" s="9">
        <f t="shared" si="2"/>
        <v>2250</v>
      </c>
      <c r="K79" s="7" t="s">
        <v>89</v>
      </c>
    </row>
    <row r="80" spans="1:11" x14ac:dyDescent="0.25">
      <c r="A80" s="2" t="s">
        <v>207</v>
      </c>
      <c r="B80" s="3" t="s">
        <v>34</v>
      </c>
      <c r="C80" s="13" t="s">
        <v>77</v>
      </c>
      <c r="D80" s="3" t="s">
        <v>47</v>
      </c>
      <c r="E80" s="3" t="s">
        <v>30</v>
      </c>
      <c r="F80" s="3" t="s">
        <v>152</v>
      </c>
      <c r="G80" s="4">
        <v>4</v>
      </c>
      <c r="H80" s="5">
        <v>4500</v>
      </c>
      <c r="I80" s="5">
        <v>2053.6999999999998</v>
      </c>
      <c r="J80" s="5">
        <f t="shared" si="2"/>
        <v>15946.3</v>
      </c>
      <c r="K80" s="3" t="s">
        <v>18</v>
      </c>
    </row>
    <row r="81" spans="1:11" x14ac:dyDescent="0.25">
      <c r="A81" s="6" t="s">
        <v>208</v>
      </c>
      <c r="B81" s="7" t="s">
        <v>71</v>
      </c>
      <c r="C81" s="14" t="s">
        <v>209</v>
      </c>
      <c r="D81" s="7" t="s">
        <v>22</v>
      </c>
      <c r="E81" s="7" t="s">
        <v>16</v>
      </c>
      <c r="F81" s="7" t="s">
        <v>78</v>
      </c>
      <c r="G81" s="8">
        <v>1</v>
      </c>
      <c r="H81" s="9">
        <v>59</v>
      </c>
      <c r="I81" s="9">
        <v>0</v>
      </c>
      <c r="J81" s="9">
        <f t="shared" si="2"/>
        <v>59</v>
      </c>
      <c r="K81" s="7" t="s">
        <v>44</v>
      </c>
    </row>
    <row r="82" spans="1:11" x14ac:dyDescent="0.25">
      <c r="A82" s="2" t="s">
        <v>210</v>
      </c>
      <c r="B82" s="3" t="s">
        <v>101</v>
      </c>
      <c r="C82" s="13" t="s">
        <v>211</v>
      </c>
      <c r="D82" s="3" t="s">
        <v>39</v>
      </c>
      <c r="E82" s="3" t="s">
        <v>23</v>
      </c>
      <c r="F82" s="3" t="s">
        <v>24</v>
      </c>
      <c r="G82" s="4">
        <v>5</v>
      </c>
      <c r="H82" s="5">
        <v>180</v>
      </c>
      <c r="I82" s="5">
        <v>0</v>
      </c>
      <c r="J82" s="5">
        <f t="shared" si="2"/>
        <v>900</v>
      </c>
      <c r="K82" s="3" t="s">
        <v>49</v>
      </c>
    </row>
    <row r="83" spans="1:11" x14ac:dyDescent="0.25">
      <c r="A83" s="6" t="s">
        <v>212</v>
      </c>
      <c r="B83" s="7" t="s">
        <v>13</v>
      </c>
      <c r="C83" s="14" t="s">
        <v>174</v>
      </c>
      <c r="D83" s="7" t="s">
        <v>47</v>
      </c>
      <c r="E83" s="7" t="s">
        <v>52</v>
      </c>
      <c r="F83" s="7" t="s">
        <v>75</v>
      </c>
      <c r="G83" s="8">
        <v>5</v>
      </c>
      <c r="H83" s="9">
        <v>249</v>
      </c>
      <c r="I83" s="9">
        <v>0</v>
      </c>
      <c r="J83" s="9">
        <f t="shared" ref="J83:J114" si="3">(G83*H83)-I83</f>
        <v>1245</v>
      </c>
      <c r="K83" s="7" t="s">
        <v>65</v>
      </c>
    </row>
    <row r="84" spans="1:11" x14ac:dyDescent="0.25">
      <c r="A84" s="2" t="s">
        <v>213</v>
      </c>
      <c r="B84" s="3" t="s">
        <v>101</v>
      </c>
      <c r="C84" s="13" t="s">
        <v>56</v>
      </c>
      <c r="D84" s="3" t="s">
        <v>15</v>
      </c>
      <c r="E84" s="3" t="s">
        <v>52</v>
      </c>
      <c r="F84" s="3" t="s">
        <v>53</v>
      </c>
      <c r="G84" s="4">
        <v>3</v>
      </c>
      <c r="H84" s="5">
        <v>149</v>
      </c>
      <c r="I84" s="5">
        <v>51.33</v>
      </c>
      <c r="J84" s="5">
        <f t="shared" si="3"/>
        <v>395.67</v>
      </c>
      <c r="K84" s="3" t="s">
        <v>44</v>
      </c>
    </row>
    <row r="85" spans="1:11" x14ac:dyDescent="0.25">
      <c r="A85" s="6" t="s">
        <v>214</v>
      </c>
      <c r="B85" s="7" t="s">
        <v>37</v>
      </c>
      <c r="C85" s="14" t="s">
        <v>215</v>
      </c>
      <c r="D85" s="7" t="s">
        <v>29</v>
      </c>
      <c r="E85" s="7" t="s">
        <v>52</v>
      </c>
      <c r="F85" s="7" t="s">
        <v>53</v>
      </c>
      <c r="G85" s="8">
        <v>4</v>
      </c>
      <c r="H85" s="9">
        <v>149</v>
      </c>
      <c r="I85" s="9">
        <v>22.76</v>
      </c>
      <c r="J85" s="9">
        <f t="shared" si="3"/>
        <v>573.24</v>
      </c>
      <c r="K85" s="7" t="s">
        <v>49</v>
      </c>
    </row>
    <row r="86" spans="1:11" x14ac:dyDescent="0.25">
      <c r="A86" s="2" t="s">
        <v>216</v>
      </c>
      <c r="B86" s="3" t="s">
        <v>41</v>
      </c>
      <c r="C86" s="13" t="s">
        <v>215</v>
      </c>
      <c r="D86" s="3" t="s">
        <v>22</v>
      </c>
      <c r="E86" s="3" t="s">
        <v>30</v>
      </c>
      <c r="F86" s="3" t="s">
        <v>152</v>
      </c>
      <c r="G86" s="4">
        <v>4</v>
      </c>
      <c r="H86" s="5">
        <v>4500</v>
      </c>
      <c r="I86" s="5">
        <v>0</v>
      </c>
      <c r="J86" s="5">
        <f t="shared" si="3"/>
        <v>18000</v>
      </c>
      <c r="K86" s="3" t="s">
        <v>32</v>
      </c>
    </row>
    <row r="87" spans="1:11" x14ac:dyDescent="0.25">
      <c r="A87" s="6" t="s">
        <v>217</v>
      </c>
      <c r="B87" s="7" t="s">
        <v>101</v>
      </c>
      <c r="C87" s="14" t="s">
        <v>218</v>
      </c>
      <c r="D87" s="7" t="s">
        <v>29</v>
      </c>
      <c r="E87" s="7" t="s">
        <v>52</v>
      </c>
      <c r="F87" s="7" t="s">
        <v>75</v>
      </c>
      <c r="G87" s="8">
        <v>4</v>
      </c>
      <c r="H87" s="9">
        <v>249</v>
      </c>
      <c r="I87" s="9">
        <v>93.47</v>
      </c>
      <c r="J87" s="9">
        <f t="shared" si="3"/>
        <v>902.53</v>
      </c>
      <c r="K87" s="7" t="s">
        <v>32</v>
      </c>
    </row>
    <row r="88" spans="1:11" x14ac:dyDescent="0.25">
      <c r="A88" s="2" t="s">
        <v>219</v>
      </c>
      <c r="B88" s="3" t="s">
        <v>71</v>
      </c>
      <c r="C88" s="13" t="s">
        <v>220</v>
      </c>
      <c r="D88" s="3" t="s">
        <v>22</v>
      </c>
      <c r="E88" s="3" t="s">
        <v>23</v>
      </c>
      <c r="F88" s="3" t="s">
        <v>88</v>
      </c>
      <c r="G88" s="4">
        <v>4</v>
      </c>
      <c r="H88" s="5">
        <v>650</v>
      </c>
      <c r="I88" s="5">
        <v>5.67</v>
      </c>
      <c r="J88" s="5">
        <f t="shared" si="3"/>
        <v>2594.33</v>
      </c>
      <c r="K88" s="3" t="s">
        <v>89</v>
      </c>
    </row>
    <row r="89" spans="1:11" x14ac:dyDescent="0.25">
      <c r="A89" s="6" t="s">
        <v>221</v>
      </c>
      <c r="B89" s="7" t="s">
        <v>110</v>
      </c>
      <c r="C89" s="14" t="s">
        <v>215</v>
      </c>
      <c r="D89" s="7" t="s">
        <v>22</v>
      </c>
      <c r="E89" s="7" t="s">
        <v>23</v>
      </c>
      <c r="F89" s="7" t="s">
        <v>43</v>
      </c>
      <c r="G89" s="8">
        <v>1</v>
      </c>
      <c r="H89" s="9">
        <v>350</v>
      </c>
      <c r="I89" s="9">
        <v>0</v>
      </c>
      <c r="J89" s="9">
        <f t="shared" si="3"/>
        <v>350</v>
      </c>
      <c r="K89" s="7" t="s">
        <v>18</v>
      </c>
    </row>
    <row r="90" spans="1:11" x14ac:dyDescent="0.25">
      <c r="A90" s="2" t="s">
        <v>222</v>
      </c>
      <c r="B90" s="3" t="s">
        <v>20</v>
      </c>
      <c r="C90" s="13" t="s">
        <v>223</v>
      </c>
      <c r="D90" s="3" t="s">
        <v>39</v>
      </c>
      <c r="E90" s="3" t="s">
        <v>30</v>
      </c>
      <c r="F90" s="3" t="s">
        <v>31</v>
      </c>
      <c r="G90" s="4">
        <v>1</v>
      </c>
      <c r="H90" s="5">
        <v>2500</v>
      </c>
      <c r="I90" s="5">
        <v>0</v>
      </c>
      <c r="J90" s="5">
        <f t="shared" si="3"/>
        <v>2500</v>
      </c>
      <c r="K90" s="3" t="s">
        <v>65</v>
      </c>
    </row>
    <row r="91" spans="1:11" x14ac:dyDescent="0.25">
      <c r="A91" s="6" t="s">
        <v>224</v>
      </c>
      <c r="B91" s="7" t="s">
        <v>13</v>
      </c>
      <c r="C91" s="14" t="s">
        <v>225</v>
      </c>
      <c r="D91" s="7" t="s">
        <v>29</v>
      </c>
      <c r="E91" s="7" t="s">
        <v>30</v>
      </c>
      <c r="F91" s="7" t="s">
        <v>68</v>
      </c>
      <c r="G91" s="8">
        <v>2</v>
      </c>
      <c r="H91" s="9">
        <v>799</v>
      </c>
      <c r="I91" s="9">
        <v>95.72</v>
      </c>
      <c r="J91" s="9">
        <f t="shared" si="3"/>
        <v>1502.28</v>
      </c>
      <c r="K91" s="7" t="s">
        <v>69</v>
      </c>
    </row>
    <row r="92" spans="1:11" x14ac:dyDescent="0.25">
      <c r="A92" s="2" t="s">
        <v>226</v>
      </c>
      <c r="B92" s="3" t="s">
        <v>95</v>
      </c>
      <c r="C92" s="13" t="s">
        <v>227</v>
      </c>
      <c r="D92" s="3" t="s">
        <v>15</v>
      </c>
      <c r="E92" s="3" t="s">
        <v>16</v>
      </c>
      <c r="F92" s="3" t="s">
        <v>116</v>
      </c>
      <c r="G92" s="4">
        <v>5</v>
      </c>
      <c r="H92" s="5">
        <v>45</v>
      </c>
      <c r="I92" s="5">
        <v>14.74</v>
      </c>
      <c r="J92" s="5">
        <f t="shared" si="3"/>
        <v>210.26</v>
      </c>
      <c r="K92" s="3" t="s">
        <v>25</v>
      </c>
    </row>
    <row r="93" spans="1:11" x14ac:dyDescent="0.25">
      <c r="A93" s="6" t="s">
        <v>228</v>
      </c>
      <c r="B93" s="7" t="s">
        <v>41</v>
      </c>
      <c r="C93" s="14" t="s">
        <v>186</v>
      </c>
      <c r="D93" s="7" t="s">
        <v>15</v>
      </c>
      <c r="E93" s="7" t="s">
        <v>52</v>
      </c>
      <c r="F93" s="7" t="s">
        <v>53</v>
      </c>
      <c r="G93" s="8">
        <v>1</v>
      </c>
      <c r="H93" s="9">
        <v>149</v>
      </c>
      <c r="I93" s="9">
        <v>0</v>
      </c>
      <c r="J93" s="9">
        <f t="shared" si="3"/>
        <v>149</v>
      </c>
      <c r="K93" s="7" t="s">
        <v>65</v>
      </c>
    </row>
    <row r="94" spans="1:11" x14ac:dyDescent="0.25">
      <c r="A94" s="2" t="s">
        <v>229</v>
      </c>
      <c r="B94" s="3" t="s">
        <v>71</v>
      </c>
      <c r="C94" s="13" t="s">
        <v>230</v>
      </c>
      <c r="D94" s="3" t="s">
        <v>47</v>
      </c>
      <c r="E94" s="3" t="s">
        <v>23</v>
      </c>
      <c r="F94" s="3" t="s">
        <v>48</v>
      </c>
      <c r="G94" s="4">
        <v>1</v>
      </c>
      <c r="H94" s="5">
        <v>450</v>
      </c>
      <c r="I94" s="5">
        <v>0</v>
      </c>
      <c r="J94" s="5">
        <f t="shared" si="3"/>
        <v>450</v>
      </c>
      <c r="K94" s="3" t="s">
        <v>25</v>
      </c>
    </row>
    <row r="95" spans="1:11" x14ac:dyDescent="0.25">
      <c r="A95" s="6" t="s">
        <v>231</v>
      </c>
      <c r="B95" s="7" t="s">
        <v>41</v>
      </c>
      <c r="C95" s="14" t="s">
        <v>232</v>
      </c>
      <c r="D95" s="7" t="s">
        <v>22</v>
      </c>
      <c r="E95" s="7" t="s">
        <v>16</v>
      </c>
      <c r="F95" s="7" t="s">
        <v>116</v>
      </c>
      <c r="G95" s="8">
        <v>1</v>
      </c>
      <c r="H95" s="9">
        <v>45</v>
      </c>
      <c r="I95" s="9">
        <v>1.56</v>
      </c>
      <c r="J95" s="9">
        <f t="shared" si="3"/>
        <v>43.44</v>
      </c>
      <c r="K95" s="7" t="s">
        <v>44</v>
      </c>
    </row>
    <row r="96" spans="1:11" x14ac:dyDescent="0.25">
      <c r="A96" s="2" t="s">
        <v>233</v>
      </c>
      <c r="B96" s="3" t="s">
        <v>55</v>
      </c>
      <c r="C96" s="13" t="s">
        <v>234</v>
      </c>
      <c r="D96" s="3" t="s">
        <v>15</v>
      </c>
      <c r="E96" s="3" t="s">
        <v>52</v>
      </c>
      <c r="F96" s="3" t="s">
        <v>99</v>
      </c>
      <c r="G96" s="4">
        <v>5</v>
      </c>
      <c r="H96" s="5">
        <v>79</v>
      </c>
      <c r="I96" s="5">
        <v>28.65</v>
      </c>
      <c r="J96" s="5">
        <f t="shared" si="3"/>
        <v>366.35</v>
      </c>
      <c r="K96" s="3" t="s">
        <v>49</v>
      </c>
    </row>
    <row r="97" spans="1:11" x14ac:dyDescent="0.25">
      <c r="A97" s="6" t="s">
        <v>235</v>
      </c>
      <c r="B97" s="7" t="s">
        <v>63</v>
      </c>
      <c r="C97" s="14" t="s">
        <v>192</v>
      </c>
      <c r="D97" s="7" t="s">
        <v>29</v>
      </c>
      <c r="E97" s="7" t="s">
        <v>30</v>
      </c>
      <c r="F97" s="7" t="s">
        <v>106</v>
      </c>
      <c r="G97" s="8">
        <v>3</v>
      </c>
      <c r="H97" s="9">
        <v>299</v>
      </c>
      <c r="I97" s="9">
        <v>35.04</v>
      </c>
      <c r="J97" s="9">
        <f t="shared" si="3"/>
        <v>861.96</v>
      </c>
      <c r="K97" s="7" t="s">
        <v>25</v>
      </c>
    </row>
    <row r="98" spans="1:11" x14ac:dyDescent="0.25">
      <c r="A98" s="2" t="s">
        <v>236</v>
      </c>
      <c r="B98" s="3" t="s">
        <v>101</v>
      </c>
      <c r="C98" s="13" t="s">
        <v>237</v>
      </c>
      <c r="D98" s="3" t="s">
        <v>39</v>
      </c>
      <c r="E98" s="3" t="s">
        <v>30</v>
      </c>
      <c r="F98" s="3" t="s">
        <v>68</v>
      </c>
      <c r="G98" s="4">
        <v>2</v>
      </c>
      <c r="H98" s="5">
        <v>799</v>
      </c>
      <c r="I98" s="5">
        <v>0</v>
      </c>
      <c r="J98" s="5">
        <f t="shared" si="3"/>
        <v>1598</v>
      </c>
      <c r="K98" s="3" t="s">
        <v>65</v>
      </c>
    </row>
    <row r="99" spans="1:11" x14ac:dyDescent="0.25">
      <c r="A99" s="6" t="s">
        <v>238</v>
      </c>
      <c r="B99" s="7" t="s">
        <v>101</v>
      </c>
      <c r="C99" s="14" t="s">
        <v>239</v>
      </c>
      <c r="D99" s="7" t="s">
        <v>47</v>
      </c>
      <c r="E99" s="7" t="s">
        <v>23</v>
      </c>
      <c r="F99" s="7" t="s">
        <v>43</v>
      </c>
      <c r="G99" s="8">
        <v>2</v>
      </c>
      <c r="H99" s="9">
        <v>350</v>
      </c>
      <c r="I99" s="9">
        <v>81.5</v>
      </c>
      <c r="J99" s="9">
        <f t="shared" si="3"/>
        <v>618.5</v>
      </c>
      <c r="K99" s="7" t="s">
        <v>18</v>
      </c>
    </row>
    <row r="100" spans="1:11" x14ac:dyDescent="0.25">
      <c r="A100" s="2" t="s">
        <v>240</v>
      </c>
      <c r="B100" s="3" t="s">
        <v>55</v>
      </c>
      <c r="C100" s="13" t="s">
        <v>241</v>
      </c>
      <c r="D100" s="3" t="s">
        <v>47</v>
      </c>
      <c r="E100" s="3" t="s">
        <v>52</v>
      </c>
      <c r="F100" s="3" t="s">
        <v>75</v>
      </c>
      <c r="G100" s="4">
        <v>4</v>
      </c>
      <c r="H100" s="5">
        <v>249</v>
      </c>
      <c r="I100" s="5">
        <v>132.52000000000001</v>
      </c>
      <c r="J100" s="5">
        <f t="shared" si="3"/>
        <v>863.48</v>
      </c>
      <c r="K100" s="3" t="s">
        <v>65</v>
      </c>
    </row>
    <row r="101" spans="1:11" x14ac:dyDescent="0.25">
      <c r="A101" s="6" t="s">
        <v>242</v>
      </c>
      <c r="B101" s="7" t="s">
        <v>41</v>
      </c>
      <c r="C101" s="14" t="s">
        <v>243</v>
      </c>
      <c r="D101" s="7" t="s">
        <v>22</v>
      </c>
      <c r="E101" s="7" t="s">
        <v>23</v>
      </c>
      <c r="F101" s="7" t="s">
        <v>48</v>
      </c>
      <c r="G101" s="8">
        <v>1</v>
      </c>
      <c r="H101" s="9">
        <v>450</v>
      </c>
      <c r="I101" s="9">
        <v>45.62</v>
      </c>
      <c r="J101" s="9">
        <f t="shared" si="3"/>
        <v>404.38</v>
      </c>
      <c r="K101" s="7" t="s">
        <v>65</v>
      </c>
    </row>
    <row r="102" spans="1:11" x14ac:dyDescent="0.25">
      <c r="A102" s="2" t="s">
        <v>244</v>
      </c>
      <c r="B102" s="3" t="s">
        <v>71</v>
      </c>
      <c r="C102" s="13" t="s">
        <v>132</v>
      </c>
      <c r="D102" s="3" t="s">
        <v>15</v>
      </c>
      <c r="E102" s="3" t="s">
        <v>30</v>
      </c>
      <c r="F102" s="3" t="s">
        <v>152</v>
      </c>
      <c r="G102" s="4">
        <v>1</v>
      </c>
      <c r="H102" s="5">
        <v>4500</v>
      </c>
      <c r="I102" s="5">
        <v>0</v>
      </c>
      <c r="J102" s="5">
        <f t="shared" si="3"/>
        <v>4500</v>
      </c>
      <c r="K102" s="3" t="s">
        <v>18</v>
      </c>
    </row>
    <row r="103" spans="1:11" x14ac:dyDescent="0.25">
      <c r="A103" s="6" t="s">
        <v>245</v>
      </c>
      <c r="B103" s="7" t="s">
        <v>34</v>
      </c>
      <c r="C103" s="14" t="s">
        <v>246</v>
      </c>
      <c r="D103" s="7" t="s">
        <v>15</v>
      </c>
      <c r="E103" s="7" t="s">
        <v>52</v>
      </c>
      <c r="F103" s="7" t="s">
        <v>99</v>
      </c>
      <c r="G103" s="8">
        <v>2</v>
      </c>
      <c r="H103" s="9">
        <v>79</v>
      </c>
      <c r="I103" s="9">
        <v>0</v>
      </c>
      <c r="J103" s="9">
        <f t="shared" si="3"/>
        <v>158</v>
      </c>
      <c r="K103" s="7" t="s">
        <v>49</v>
      </c>
    </row>
    <row r="104" spans="1:11" x14ac:dyDescent="0.25">
      <c r="A104" s="2" t="s">
        <v>247</v>
      </c>
      <c r="B104" s="3" t="s">
        <v>13</v>
      </c>
      <c r="C104" s="13" t="s">
        <v>248</v>
      </c>
      <c r="D104" s="3" t="s">
        <v>15</v>
      </c>
      <c r="E104" s="3" t="s">
        <v>16</v>
      </c>
      <c r="F104" s="3" t="s">
        <v>103</v>
      </c>
      <c r="G104" s="4">
        <v>3</v>
      </c>
      <c r="H104" s="5">
        <v>89</v>
      </c>
      <c r="I104" s="5">
        <v>0</v>
      </c>
      <c r="J104" s="5">
        <f t="shared" si="3"/>
        <v>267</v>
      </c>
      <c r="K104" s="3" t="s">
        <v>65</v>
      </c>
    </row>
    <row r="105" spans="1:11" x14ac:dyDescent="0.25">
      <c r="A105" s="6" t="s">
        <v>249</v>
      </c>
      <c r="B105" s="7" t="s">
        <v>27</v>
      </c>
      <c r="C105" s="14" t="s">
        <v>250</v>
      </c>
      <c r="D105" s="7" t="s">
        <v>47</v>
      </c>
      <c r="E105" s="7" t="s">
        <v>52</v>
      </c>
      <c r="F105" s="7" t="s">
        <v>75</v>
      </c>
      <c r="G105" s="8">
        <v>2</v>
      </c>
      <c r="H105" s="9">
        <v>249</v>
      </c>
      <c r="I105" s="9">
        <v>13.48</v>
      </c>
      <c r="J105" s="9">
        <f t="shared" si="3"/>
        <v>484.52</v>
      </c>
      <c r="K105" s="7" t="s">
        <v>89</v>
      </c>
    </row>
    <row r="106" spans="1:11" x14ac:dyDescent="0.25">
      <c r="A106" s="2" t="s">
        <v>251</v>
      </c>
      <c r="B106" s="3" t="s">
        <v>27</v>
      </c>
      <c r="C106" s="13" t="s">
        <v>21</v>
      </c>
      <c r="D106" s="3" t="s">
        <v>15</v>
      </c>
      <c r="E106" s="3" t="s">
        <v>16</v>
      </c>
      <c r="F106" s="3" t="s">
        <v>17</v>
      </c>
      <c r="G106" s="4">
        <v>5</v>
      </c>
      <c r="H106" s="5">
        <v>39</v>
      </c>
      <c r="I106" s="5">
        <v>0</v>
      </c>
      <c r="J106" s="5">
        <f t="shared" si="3"/>
        <v>195</v>
      </c>
      <c r="K106" s="3" t="s">
        <v>89</v>
      </c>
    </row>
    <row r="107" spans="1:11" x14ac:dyDescent="0.25">
      <c r="A107" s="6" t="s">
        <v>252</v>
      </c>
      <c r="B107" s="7" t="s">
        <v>37</v>
      </c>
      <c r="C107" s="14" t="s">
        <v>253</v>
      </c>
      <c r="D107" s="7" t="s">
        <v>29</v>
      </c>
      <c r="E107" s="7" t="s">
        <v>30</v>
      </c>
      <c r="F107" s="7" t="s">
        <v>68</v>
      </c>
      <c r="G107" s="8">
        <v>3</v>
      </c>
      <c r="H107" s="9">
        <v>799</v>
      </c>
      <c r="I107" s="9">
        <v>81.17</v>
      </c>
      <c r="J107" s="9">
        <f t="shared" si="3"/>
        <v>2315.83</v>
      </c>
      <c r="K107" s="7" t="s">
        <v>32</v>
      </c>
    </row>
    <row r="108" spans="1:11" x14ac:dyDescent="0.25">
      <c r="A108" s="2" t="s">
        <v>254</v>
      </c>
      <c r="B108" s="3" t="s">
        <v>13</v>
      </c>
      <c r="C108" s="13" t="s">
        <v>255</v>
      </c>
      <c r="D108" s="3" t="s">
        <v>39</v>
      </c>
      <c r="E108" s="3" t="s">
        <v>16</v>
      </c>
      <c r="F108" s="3" t="s">
        <v>116</v>
      </c>
      <c r="G108" s="4">
        <v>5</v>
      </c>
      <c r="H108" s="5">
        <v>45</v>
      </c>
      <c r="I108" s="5">
        <v>7.84</v>
      </c>
      <c r="J108" s="5">
        <f t="shared" si="3"/>
        <v>217.16</v>
      </c>
      <c r="K108" s="3" t="s">
        <v>69</v>
      </c>
    </row>
    <row r="109" spans="1:11" x14ac:dyDescent="0.25">
      <c r="A109" s="6" t="s">
        <v>256</v>
      </c>
      <c r="B109" s="7" t="s">
        <v>41</v>
      </c>
      <c r="C109" s="14" t="s">
        <v>257</v>
      </c>
      <c r="D109" s="7" t="s">
        <v>39</v>
      </c>
      <c r="E109" s="7" t="s">
        <v>52</v>
      </c>
      <c r="F109" s="7" t="s">
        <v>61</v>
      </c>
      <c r="G109" s="8">
        <v>1</v>
      </c>
      <c r="H109" s="9">
        <v>199</v>
      </c>
      <c r="I109" s="9">
        <v>0</v>
      </c>
      <c r="J109" s="9">
        <f t="shared" si="3"/>
        <v>199</v>
      </c>
      <c r="K109" s="7" t="s">
        <v>18</v>
      </c>
    </row>
    <row r="110" spans="1:11" x14ac:dyDescent="0.25">
      <c r="A110" s="2" t="s">
        <v>258</v>
      </c>
      <c r="B110" s="3" t="s">
        <v>27</v>
      </c>
      <c r="C110" s="13" t="s">
        <v>102</v>
      </c>
      <c r="D110" s="3" t="s">
        <v>15</v>
      </c>
      <c r="E110" s="3" t="s">
        <v>23</v>
      </c>
      <c r="F110" s="3" t="s">
        <v>48</v>
      </c>
      <c r="G110" s="4">
        <v>4</v>
      </c>
      <c r="H110" s="5">
        <v>450</v>
      </c>
      <c r="I110" s="5">
        <v>45.65</v>
      </c>
      <c r="J110" s="5">
        <f t="shared" si="3"/>
        <v>1754.35</v>
      </c>
      <c r="K110" s="3" t="s">
        <v>49</v>
      </c>
    </row>
    <row r="111" spans="1:11" x14ac:dyDescent="0.25">
      <c r="A111" s="6" t="s">
        <v>259</v>
      </c>
      <c r="B111" s="7" t="s">
        <v>63</v>
      </c>
      <c r="C111" s="14" t="s">
        <v>260</v>
      </c>
      <c r="D111" s="7" t="s">
        <v>22</v>
      </c>
      <c r="E111" s="7" t="s">
        <v>30</v>
      </c>
      <c r="F111" s="7" t="s">
        <v>106</v>
      </c>
      <c r="G111" s="8">
        <v>4</v>
      </c>
      <c r="H111" s="9">
        <v>299</v>
      </c>
      <c r="I111" s="9">
        <v>0</v>
      </c>
      <c r="J111" s="9">
        <f t="shared" si="3"/>
        <v>1196</v>
      </c>
      <c r="K111" s="7" t="s">
        <v>69</v>
      </c>
    </row>
    <row r="112" spans="1:11" x14ac:dyDescent="0.25">
      <c r="A112" s="2" t="s">
        <v>261</v>
      </c>
      <c r="B112" s="3" t="s">
        <v>20</v>
      </c>
      <c r="C112" s="13" t="s">
        <v>46</v>
      </c>
      <c r="D112" s="3" t="s">
        <v>29</v>
      </c>
      <c r="E112" s="3" t="s">
        <v>16</v>
      </c>
      <c r="F112" s="3" t="s">
        <v>78</v>
      </c>
      <c r="G112" s="4">
        <v>1</v>
      </c>
      <c r="H112" s="5">
        <v>59</v>
      </c>
      <c r="I112" s="5">
        <v>0</v>
      </c>
      <c r="J112" s="5">
        <f t="shared" si="3"/>
        <v>59</v>
      </c>
      <c r="K112" s="3" t="s">
        <v>65</v>
      </c>
    </row>
    <row r="113" spans="1:11" x14ac:dyDescent="0.25">
      <c r="A113" s="6" t="s">
        <v>262</v>
      </c>
      <c r="B113" s="7" t="s">
        <v>55</v>
      </c>
      <c r="C113" s="14" t="s">
        <v>263</v>
      </c>
      <c r="D113" s="7" t="s">
        <v>29</v>
      </c>
      <c r="E113" s="7" t="s">
        <v>23</v>
      </c>
      <c r="F113" s="7" t="s">
        <v>43</v>
      </c>
      <c r="G113" s="8">
        <v>2</v>
      </c>
      <c r="H113" s="9">
        <v>350</v>
      </c>
      <c r="I113" s="9">
        <v>94.2</v>
      </c>
      <c r="J113" s="9">
        <f t="shared" si="3"/>
        <v>605.79999999999995</v>
      </c>
      <c r="K113" s="7" t="s">
        <v>69</v>
      </c>
    </row>
    <row r="114" spans="1:11" x14ac:dyDescent="0.25">
      <c r="A114" s="2" t="s">
        <v>264</v>
      </c>
      <c r="B114" s="3" t="s">
        <v>71</v>
      </c>
      <c r="C114" s="13" t="s">
        <v>265</v>
      </c>
      <c r="D114" s="3" t="s">
        <v>39</v>
      </c>
      <c r="E114" s="3" t="s">
        <v>23</v>
      </c>
      <c r="F114" s="3" t="s">
        <v>88</v>
      </c>
      <c r="G114" s="4">
        <v>4</v>
      </c>
      <c r="H114" s="5">
        <v>650</v>
      </c>
      <c r="I114" s="5">
        <v>5.68</v>
      </c>
      <c r="J114" s="5">
        <f t="shared" si="3"/>
        <v>2594.3200000000002</v>
      </c>
      <c r="K114" s="3" t="s">
        <v>44</v>
      </c>
    </row>
    <row r="115" spans="1:11" x14ac:dyDescent="0.25">
      <c r="A115" s="6" t="s">
        <v>266</v>
      </c>
      <c r="B115" s="7" t="s">
        <v>95</v>
      </c>
      <c r="C115" s="14" t="s">
        <v>267</v>
      </c>
      <c r="D115" s="7" t="s">
        <v>22</v>
      </c>
      <c r="E115" s="7" t="s">
        <v>23</v>
      </c>
      <c r="F115" s="7" t="s">
        <v>43</v>
      </c>
      <c r="G115" s="8">
        <v>2</v>
      </c>
      <c r="H115" s="9">
        <v>350</v>
      </c>
      <c r="I115" s="9">
        <v>66.7</v>
      </c>
      <c r="J115" s="9">
        <f t="shared" ref="J115:J146" si="4">(G115*H115)-I115</f>
        <v>633.29999999999995</v>
      </c>
      <c r="K115" s="7" t="s">
        <v>49</v>
      </c>
    </row>
    <row r="116" spans="1:11" x14ac:dyDescent="0.25">
      <c r="A116" s="2" t="s">
        <v>268</v>
      </c>
      <c r="B116" s="3" t="s">
        <v>41</v>
      </c>
      <c r="C116" s="13" t="s">
        <v>269</v>
      </c>
      <c r="D116" s="3" t="s">
        <v>22</v>
      </c>
      <c r="E116" s="3" t="s">
        <v>30</v>
      </c>
      <c r="F116" s="3" t="s">
        <v>68</v>
      </c>
      <c r="G116" s="4">
        <v>4</v>
      </c>
      <c r="H116" s="5">
        <v>799</v>
      </c>
      <c r="I116" s="5">
        <v>164.38</v>
      </c>
      <c r="J116" s="5">
        <f t="shared" si="4"/>
        <v>3031.62</v>
      </c>
      <c r="K116" s="3" t="s">
        <v>69</v>
      </c>
    </row>
    <row r="117" spans="1:11" x14ac:dyDescent="0.25">
      <c r="A117" s="6" t="s">
        <v>270</v>
      </c>
      <c r="B117" s="7" t="s">
        <v>41</v>
      </c>
      <c r="C117" s="14" t="s">
        <v>271</v>
      </c>
      <c r="D117" s="7"/>
      <c r="E117" s="7" t="s">
        <v>16</v>
      </c>
      <c r="F117" s="7" t="s">
        <v>116</v>
      </c>
      <c r="G117" s="8">
        <v>2</v>
      </c>
      <c r="H117" s="9">
        <v>45</v>
      </c>
      <c r="I117" s="9">
        <v>0</v>
      </c>
      <c r="J117" s="9">
        <f t="shared" si="4"/>
        <v>90</v>
      </c>
      <c r="K117" s="7" t="s">
        <v>18</v>
      </c>
    </row>
    <row r="118" spans="1:11" x14ac:dyDescent="0.25">
      <c r="A118" s="2" t="s">
        <v>272</v>
      </c>
      <c r="B118" s="3" t="s">
        <v>55</v>
      </c>
      <c r="C118" s="13" t="s">
        <v>273</v>
      </c>
      <c r="D118" s="3" t="s">
        <v>39</v>
      </c>
      <c r="E118" s="3" t="s">
        <v>30</v>
      </c>
      <c r="F118" s="3" t="s">
        <v>31</v>
      </c>
      <c r="G118" s="4">
        <v>5</v>
      </c>
      <c r="H118" s="5">
        <v>2500</v>
      </c>
      <c r="I118" s="5">
        <v>0</v>
      </c>
      <c r="J118" s="5">
        <f t="shared" si="4"/>
        <v>12500</v>
      </c>
      <c r="K118" s="3" t="s">
        <v>49</v>
      </c>
    </row>
    <row r="119" spans="1:11" x14ac:dyDescent="0.25">
      <c r="A119" s="6" t="s">
        <v>274</v>
      </c>
      <c r="B119" s="7" t="s">
        <v>55</v>
      </c>
      <c r="C119" s="14" t="s">
        <v>275</v>
      </c>
      <c r="D119" s="7" t="s">
        <v>29</v>
      </c>
      <c r="E119" s="7" t="s">
        <v>52</v>
      </c>
      <c r="F119" s="7" t="s">
        <v>99</v>
      </c>
      <c r="G119" s="8">
        <v>5</v>
      </c>
      <c r="H119" s="9">
        <v>79</v>
      </c>
      <c r="I119" s="9">
        <v>0</v>
      </c>
      <c r="J119" s="9">
        <f t="shared" si="4"/>
        <v>395</v>
      </c>
      <c r="K119" s="7" t="s">
        <v>25</v>
      </c>
    </row>
    <row r="120" spans="1:11" x14ac:dyDescent="0.25">
      <c r="A120" s="2" t="s">
        <v>276</v>
      </c>
      <c r="B120" s="3" t="s">
        <v>277</v>
      </c>
      <c r="C120" s="13" t="s">
        <v>278</v>
      </c>
      <c r="D120" s="3" t="s">
        <v>39</v>
      </c>
      <c r="E120" s="3" t="s">
        <v>23</v>
      </c>
      <c r="F120" s="3" t="s">
        <v>88</v>
      </c>
      <c r="G120" s="4">
        <v>3</v>
      </c>
      <c r="H120" s="5">
        <v>650</v>
      </c>
      <c r="I120" s="5">
        <v>0</v>
      </c>
      <c r="J120" s="5">
        <f t="shared" si="4"/>
        <v>1950</v>
      </c>
      <c r="K120" s="3" t="s">
        <v>69</v>
      </c>
    </row>
    <row r="121" spans="1:11" x14ac:dyDescent="0.25">
      <c r="A121" s="6" t="s">
        <v>279</v>
      </c>
      <c r="B121" s="7" t="s">
        <v>37</v>
      </c>
      <c r="C121" s="14" t="s">
        <v>280</v>
      </c>
      <c r="D121" s="7" t="s">
        <v>22</v>
      </c>
      <c r="E121" s="7" t="s">
        <v>52</v>
      </c>
      <c r="F121" s="7" t="s">
        <v>99</v>
      </c>
      <c r="G121" s="8">
        <v>1</v>
      </c>
      <c r="H121" s="9">
        <v>79</v>
      </c>
      <c r="I121" s="9">
        <v>0</v>
      </c>
      <c r="J121" s="9">
        <f t="shared" si="4"/>
        <v>79</v>
      </c>
      <c r="K121" s="7" t="s">
        <v>69</v>
      </c>
    </row>
    <row r="122" spans="1:11" x14ac:dyDescent="0.25">
      <c r="A122" s="2" t="s">
        <v>281</v>
      </c>
      <c r="B122" s="3" t="s">
        <v>34</v>
      </c>
      <c r="C122" s="13" t="s">
        <v>282</v>
      </c>
      <c r="D122" s="3" t="s">
        <v>149</v>
      </c>
      <c r="E122" s="3" t="s">
        <v>30</v>
      </c>
      <c r="F122" s="3" t="s">
        <v>31</v>
      </c>
      <c r="G122" s="4">
        <v>4</v>
      </c>
      <c r="H122" s="5">
        <v>2500</v>
      </c>
      <c r="I122" s="5">
        <v>0</v>
      </c>
      <c r="J122" s="5">
        <f t="shared" si="4"/>
        <v>10000</v>
      </c>
      <c r="K122" s="3" t="s">
        <v>49</v>
      </c>
    </row>
    <row r="123" spans="1:11" x14ac:dyDescent="0.25">
      <c r="A123" s="6" t="s">
        <v>283</v>
      </c>
      <c r="B123" s="7" t="s">
        <v>71</v>
      </c>
      <c r="C123" s="14" t="s">
        <v>284</v>
      </c>
      <c r="D123" s="7" t="s">
        <v>15</v>
      </c>
      <c r="E123" s="7" t="s">
        <v>23</v>
      </c>
      <c r="F123" s="7" t="s">
        <v>88</v>
      </c>
      <c r="G123" s="8">
        <v>2</v>
      </c>
      <c r="H123" s="9">
        <v>650</v>
      </c>
      <c r="I123" s="9">
        <v>59.25</v>
      </c>
      <c r="J123" s="9">
        <f t="shared" si="4"/>
        <v>1240.75</v>
      </c>
      <c r="K123" s="7" t="s">
        <v>44</v>
      </c>
    </row>
    <row r="124" spans="1:11" x14ac:dyDescent="0.25">
      <c r="A124" s="2" t="s">
        <v>285</v>
      </c>
      <c r="B124" s="3" t="s">
        <v>55</v>
      </c>
      <c r="C124" s="13" t="s">
        <v>286</v>
      </c>
      <c r="D124" s="3" t="s">
        <v>39</v>
      </c>
      <c r="E124" s="3" t="s">
        <v>30</v>
      </c>
      <c r="F124" s="3" t="s">
        <v>31</v>
      </c>
      <c r="G124" s="4">
        <v>2</v>
      </c>
      <c r="H124" s="5">
        <v>2500</v>
      </c>
      <c r="I124" s="5">
        <v>574.07000000000005</v>
      </c>
      <c r="J124" s="5">
        <f t="shared" si="4"/>
        <v>4425.93</v>
      </c>
      <c r="K124" s="3" t="s">
        <v>44</v>
      </c>
    </row>
    <row r="125" spans="1:11" x14ac:dyDescent="0.25">
      <c r="A125" s="6" t="s">
        <v>287</v>
      </c>
      <c r="B125" s="7" t="s">
        <v>101</v>
      </c>
      <c r="C125" s="14" t="s">
        <v>288</v>
      </c>
      <c r="D125" s="7" t="s">
        <v>47</v>
      </c>
      <c r="E125" s="7" t="s">
        <v>52</v>
      </c>
      <c r="F125" s="7" t="s">
        <v>99</v>
      </c>
      <c r="G125" s="8">
        <v>2</v>
      </c>
      <c r="H125" s="9">
        <v>79</v>
      </c>
      <c r="I125" s="9">
        <v>0</v>
      </c>
      <c r="J125" s="9">
        <f t="shared" si="4"/>
        <v>158</v>
      </c>
      <c r="K125" s="7" t="s">
        <v>49</v>
      </c>
    </row>
    <row r="126" spans="1:11" x14ac:dyDescent="0.25">
      <c r="A126" s="2" t="s">
        <v>289</v>
      </c>
      <c r="B126" s="3" t="s">
        <v>20</v>
      </c>
      <c r="C126" s="13" t="s">
        <v>290</v>
      </c>
      <c r="D126" s="3" t="s">
        <v>47</v>
      </c>
      <c r="E126" s="3" t="s">
        <v>52</v>
      </c>
      <c r="F126" s="3" t="s">
        <v>61</v>
      </c>
      <c r="G126" s="4">
        <v>1</v>
      </c>
      <c r="H126" s="5">
        <v>199</v>
      </c>
      <c r="I126" s="5">
        <v>0</v>
      </c>
      <c r="J126" s="5">
        <f t="shared" si="4"/>
        <v>199</v>
      </c>
      <c r="K126" s="3" t="s">
        <v>65</v>
      </c>
    </row>
    <row r="127" spans="1:11" x14ac:dyDescent="0.25">
      <c r="A127" s="6" t="s">
        <v>291</v>
      </c>
      <c r="B127" s="7" t="s">
        <v>95</v>
      </c>
      <c r="C127" s="14" t="s">
        <v>292</v>
      </c>
      <c r="D127" s="7" t="s">
        <v>22</v>
      </c>
      <c r="E127" s="7" t="s">
        <v>16</v>
      </c>
      <c r="F127" s="7" t="s">
        <v>78</v>
      </c>
      <c r="G127" s="8">
        <v>1</v>
      </c>
      <c r="H127" s="9">
        <v>59</v>
      </c>
      <c r="I127" s="9">
        <v>8.6199999999999992</v>
      </c>
      <c r="J127" s="9">
        <f t="shared" si="4"/>
        <v>50.38</v>
      </c>
      <c r="K127" s="7" t="s">
        <v>65</v>
      </c>
    </row>
    <row r="128" spans="1:11" x14ac:dyDescent="0.25">
      <c r="A128" s="2" t="s">
        <v>293</v>
      </c>
      <c r="B128" s="3" t="s">
        <v>34</v>
      </c>
      <c r="C128" s="13" t="s">
        <v>294</v>
      </c>
      <c r="D128" s="3" t="s">
        <v>47</v>
      </c>
      <c r="E128" s="3" t="s">
        <v>30</v>
      </c>
      <c r="F128" s="3" t="s">
        <v>152</v>
      </c>
      <c r="G128" s="4">
        <v>2</v>
      </c>
      <c r="H128" s="5">
        <v>4500</v>
      </c>
      <c r="I128" s="5">
        <v>1208.1099999999999</v>
      </c>
      <c r="J128" s="5">
        <f t="shared" si="4"/>
        <v>7791.89</v>
      </c>
      <c r="K128" s="3" t="s">
        <v>18</v>
      </c>
    </row>
    <row r="129" spans="1:11" x14ac:dyDescent="0.25">
      <c r="A129" s="6" t="s">
        <v>295</v>
      </c>
      <c r="B129" s="7" t="s">
        <v>71</v>
      </c>
      <c r="C129" s="14" t="s">
        <v>296</v>
      </c>
      <c r="D129" s="7" t="s">
        <v>29</v>
      </c>
      <c r="E129" s="7" t="s">
        <v>16</v>
      </c>
      <c r="F129" s="7" t="s">
        <v>78</v>
      </c>
      <c r="G129" s="8">
        <v>2</v>
      </c>
      <c r="H129" s="9">
        <v>59</v>
      </c>
      <c r="I129" s="9">
        <v>13.12</v>
      </c>
      <c r="J129" s="9">
        <f t="shared" si="4"/>
        <v>104.88</v>
      </c>
      <c r="K129" s="7" t="s">
        <v>69</v>
      </c>
    </row>
    <row r="130" spans="1:11" x14ac:dyDescent="0.25">
      <c r="A130" s="2" t="s">
        <v>297</v>
      </c>
      <c r="B130" s="3" t="s">
        <v>27</v>
      </c>
      <c r="C130" s="13" t="s">
        <v>298</v>
      </c>
      <c r="D130" s="3" t="s">
        <v>15</v>
      </c>
      <c r="E130" s="3" t="s">
        <v>16</v>
      </c>
      <c r="F130" s="3" t="s">
        <v>116</v>
      </c>
      <c r="G130" s="4">
        <v>1</v>
      </c>
      <c r="H130" s="5">
        <v>45</v>
      </c>
      <c r="I130" s="5">
        <v>5.87</v>
      </c>
      <c r="J130" s="5">
        <f t="shared" si="4"/>
        <v>39.130000000000003</v>
      </c>
      <c r="K130" s="3" t="s">
        <v>25</v>
      </c>
    </row>
    <row r="131" spans="1:11" x14ac:dyDescent="0.25">
      <c r="A131" s="6" t="s">
        <v>299</v>
      </c>
      <c r="B131" s="7" t="s">
        <v>27</v>
      </c>
      <c r="C131" s="14" t="s">
        <v>28</v>
      </c>
      <c r="D131" s="7" t="s">
        <v>47</v>
      </c>
      <c r="E131" s="7" t="s">
        <v>30</v>
      </c>
      <c r="F131" s="7" t="s">
        <v>68</v>
      </c>
      <c r="G131" s="8">
        <v>3</v>
      </c>
      <c r="H131" s="9">
        <v>799</v>
      </c>
      <c r="I131" s="9">
        <v>0</v>
      </c>
      <c r="J131" s="9">
        <f t="shared" si="4"/>
        <v>2397</v>
      </c>
      <c r="K131" s="7" t="s">
        <v>89</v>
      </c>
    </row>
    <row r="132" spans="1:11" x14ac:dyDescent="0.25">
      <c r="A132" s="2" t="s">
        <v>300</v>
      </c>
      <c r="B132" s="3" t="s">
        <v>101</v>
      </c>
      <c r="C132" s="13" t="s">
        <v>301</v>
      </c>
      <c r="D132" s="3" t="s">
        <v>22</v>
      </c>
      <c r="E132" s="3" t="s">
        <v>30</v>
      </c>
      <c r="F132" s="3" t="s">
        <v>106</v>
      </c>
      <c r="G132" s="4">
        <v>2</v>
      </c>
      <c r="H132" s="5">
        <v>299</v>
      </c>
      <c r="I132" s="5">
        <v>4.3899999999999997</v>
      </c>
      <c r="J132" s="5">
        <f t="shared" si="4"/>
        <v>593.61</v>
      </c>
      <c r="K132" s="3" t="s">
        <v>49</v>
      </c>
    </row>
    <row r="133" spans="1:11" x14ac:dyDescent="0.25">
      <c r="A133" s="6" t="s">
        <v>302</v>
      </c>
      <c r="B133" s="7" t="s">
        <v>110</v>
      </c>
      <c r="C133" s="14" t="s">
        <v>241</v>
      </c>
      <c r="D133" s="7" t="s">
        <v>47</v>
      </c>
      <c r="E133" s="7" t="s">
        <v>30</v>
      </c>
      <c r="F133" s="7" t="s">
        <v>152</v>
      </c>
      <c r="G133" s="8">
        <v>3</v>
      </c>
      <c r="H133" s="9">
        <v>4500</v>
      </c>
      <c r="I133" s="9">
        <v>570.78</v>
      </c>
      <c r="J133" s="9">
        <f t="shared" si="4"/>
        <v>12929.22</v>
      </c>
      <c r="K133" s="7" t="s">
        <v>18</v>
      </c>
    </row>
    <row r="134" spans="1:11" x14ac:dyDescent="0.25">
      <c r="A134" s="2" t="s">
        <v>303</v>
      </c>
      <c r="B134" s="3" t="s">
        <v>27</v>
      </c>
      <c r="C134" s="13" t="s">
        <v>304</v>
      </c>
      <c r="D134" s="3" t="s">
        <v>15</v>
      </c>
      <c r="E134" s="3" t="s">
        <v>30</v>
      </c>
      <c r="F134" s="3" t="s">
        <v>68</v>
      </c>
      <c r="G134" s="4">
        <v>1</v>
      </c>
      <c r="H134" s="5">
        <v>799</v>
      </c>
      <c r="I134" s="5">
        <v>84.27</v>
      </c>
      <c r="J134" s="5">
        <f t="shared" si="4"/>
        <v>714.73</v>
      </c>
      <c r="K134" s="3" t="s">
        <v>89</v>
      </c>
    </row>
    <row r="135" spans="1:11" x14ac:dyDescent="0.25">
      <c r="A135" s="6" t="s">
        <v>305</v>
      </c>
      <c r="B135" s="7" t="s">
        <v>13</v>
      </c>
      <c r="C135" s="14" t="s">
        <v>211</v>
      </c>
      <c r="D135" s="7" t="s">
        <v>15</v>
      </c>
      <c r="E135" s="7" t="s">
        <v>16</v>
      </c>
      <c r="F135" s="7" t="s">
        <v>103</v>
      </c>
      <c r="G135" s="8">
        <v>5</v>
      </c>
      <c r="H135" s="9">
        <v>89</v>
      </c>
      <c r="I135" s="9">
        <v>0</v>
      </c>
      <c r="J135" s="9">
        <f t="shared" si="4"/>
        <v>445</v>
      </c>
      <c r="K135" s="7" t="s">
        <v>69</v>
      </c>
    </row>
    <row r="136" spans="1:11" x14ac:dyDescent="0.25">
      <c r="A136" s="2" t="s">
        <v>306</v>
      </c>
      <c r="B136" s="3" t="s">
        <v>95</v>
      </c>
      <c r="C136" s="13" t="s">
        <v>307</v>
      </c>
      <c r="D136" s="3" t="s">
        <v>22</v>
      </c>
      <c r="E136" s="3" t="s">
        <v>52</v>
      </c>
      <c r="F136" s="3" t="s">
        <v>99</v>
      </c>
      <c r="G136" s="4">
        <v>1</v>
      </c>
      <c r="H136" s="5">
        <v>79</v>
      </c>
      <c r="I136" s="5">
        <v>0</v>
      </c>
      <c r="J136" s="5">
        <f t="shared" si="4"/>
        <v>79</v>
      </c>
      <c r="K136" s="3" t="s">
        <v>18</v>
      </c>
    </row>
    <row r="137" spans="1:11" x14ac:dyDescent="0.25">
      <c r="A137" s="6" t="s">
        <v>308</v>
      </c>
      <c r="B137" s="7" t="s">
        <v>27</v>
      </c>
      <c r="C137" s="14" t="s">
        <v>309</v>
      </c>
      <c r="D137" s="7" t="s">
        <v>39</v>
      </c>
      <c r="E137" s="7" t="s">
        <v>52</v>
      </c>
      <c r="F137" s="7" t="s">
        <v>53</v>
      </c>
      <c r="G137" s="8">
        <v>1</v>
      </c>
      <c r="H137" s="9">
        <v>149</v>
      </c>
      <c r="I137" s="9">
        <v>19.2</v>
      </c>
      <c r="J137" s="9">
        <f t="shared" si="4"/>
        <v>129.80000000000001</v>
      </c>
      <c r="K137" s="7" t="s">
        <v>44</v>
      </c>
    </row>
    <row r="138" spans="1:11" x14ac:dyDescent="0.25">
      <c r="A138" s="2" t="s">
        <v>310</v>
      </c>
      <c r="B138" s="3" t="s">
        <v>71</v>
      </c>
      <c r="C138" s="13" t="s">
        <v>311</v>
      </c>
      <c r="D138" s="3" t="s">
        <v>15</v>
      </c>
      <c r="E138" s="3" t="s">
        <v>16</v>
      </c>
      <c r="F138" s="3" t="s">
        <v>17</v>
      </c>
      <c r="G138" s="4">
        <v>3</v>
      </c>
      <c r="H138" s="5">
        <v>39</v>
      </c>
      <c r="I138" s="5">
        <v>0</v>
      </c>
      <c r="J138" s="5">
        <f t="shared" si="4"/>
        <v>117</v>
      </c>
      <c r="K138" s="3" t="s">
        <v>69</v>
      </c>
    </row>
    <row r="139" spans="1:11" x14ac:dyDescent="0.25">
      <c r="A139" s="6" t="s">
        <v>312</v>
      </c>
      <c r="B139" s="7" t="s">
        <v>71</v>
      </c>
      <c r="C139" s="14" t="s">
        <v>206</v>
      </c>
      <c r="D139" s="7" t="s">
        <v>29</v>
      </c>
      <c r="E139" s="7" t="s">
        <v>30</v>
      </c>
      <c r="F139" s="7" t="s">
        <v>68</v>
      </c>
      <c r="G139" s="8">
        <v>2</v>
      </c>
      <c r="H139" s="9">
        <v>799</v>
      </c>
      <c r="I139" s="9">
        <v>0</v>
      </c>
      <c r="J139" s="9">
        <f t="shared" si="4"/>
        <v>1598</v>
      </c>
      <c r="K139" s="7" t="s">
        <v>69</v>
      </c>
    </row>
    <row r="140" spans="1:11" x14ac:dyDescent="0.25">
      <c r="A140" s="2" t="s">
        <v>313</v>
      </c>
      <c r="B140" s="3" t="s">
        <v>110</v>
      </c>
      <c r="C140" s="13" t="s">
        <v>314</v>
      </c>
      <c r="D140" s="3" t="s">
        <v>15</v>
      </c>
      <c r="E140" s="3" t="s">
        <v>16</v>
      </c>
      <c r="F140" s="3" t="s">
        <v>103</v>
      </c>
      <c r="G140" s="4">
        <v>3</v>
      </c>
      <c r="H140" s="5">
        <v>89</v>
      </c>
      <c r="I140" s="5">
        <v>4.68</v>
      </c>
      <c r="J140" s="5">
        <f t="shared" si="4"/>
        <v>262.32</v>
      </c>
      <c r="K140" s="3" t="s">
        <v>49</v>
      </c>
    </row>
    <row r="141" spans="1:11" x14ac:dyDescent="0.25">
      <c r="A141" s="6" t="s">
        <v>315</v>
      </c>
      <c r="B141" s="7" t="s">
        <v>110</v>
      </c>
      <c r="C141" s="14" t="s">
        <v>316</v>
      </c>
      <c r="D141" s="7" t="s">
        <v>22</v>
      </c>
      <c r="E141" s="7" t="s">
        <v>52</v>
      </c>
      <c r="F141" s="7" t="s">
        <v>53</v>
      </c>
      <c r="G141" s="8">
        <v>3</v>
      </c>
      <c r="H141" s="9">
        <v>149</v>
      </c>
      <c r="I141" s="9">
        <v>41.24</v>
      </c>
      <c r="J141" s="9">
        <f t="shared" si="4"/>
        <v>405.76</v>
      </c>
      <c r="K141" s="7" t="s">
        <v>89</v>
      </c>
    </row>
    <row r="142" spans="1:11" x14ac:dyDescent="0.25">
      <c r="A142" s="2" t="s">
        <v>317</v>
      </c>
      <c r="B142" s="3" t="s">
        <v>63</v>
      </c>
      <c r="C142" s="13" t="s">
        <v>318</v>
      </c>
      <c r="D142" s="3" t="s">
        <v>47</v>
      </c>
      <c r="E142" s="3" t="s">
        <v>52</v>
      </c>
      <c r="F142" s="3" t="s">
        <v>99</v>
      </c>
      <c r="G142" s="4">
        <v>4</v>
      </c>
      <c r="H142" s="5">
        <v>79</v>
      </c>
      <c r="I142" s="5">
        <v>0</v>
      </c>
      <c r="J142" s="5">
        <f t="shared" si="4"/>
        <v>316</v>
      </c>
      <c r="K142" s="3" t="s">
        <v>69</v>
      </c>
    </row>
    <row r="143" spans="1:11" x14ac:dyDescent="0.25">
      <c r="A143" s="6" t="s">
        <v>319</v>
      </c>
      <c r="B143" s="7" t="s">
        <v>20</v>
      </c>
      <c r="C143" s="14" t="s">
        <v>320</v>
      </c>
      <c r="D143" s="7" t="s">
        <v>22</v>
      </c>
      <c r="E143" s="7" t="s">
        <v>16</v>
      </c>
      <c r="F143" s="7" t="s">
        <v>78</v>
      </c>
      <c r="G143" s="8">
        <v>4</v>
      </c>
      <c r="H143" s="9">
        <v>59</v>
      </c>
      <c r="I143" s="9">
        <v>0</v>
      </c>
      <c r="J143" s="9">
        <f t="shared" si="4"/>
        <v>236</v>
      </c>
      <c r="K143" s="7" t="s">
        <v>89</v>
      </c>
    </row>
    <row r="144" spans="1:11" x14ac:dyDescent="0.25">
      <c r="A144" s="2" t="s">
        <v>321</v>
      </c>
      <c r="B144" s="3" t="s">
        <v>71</v>
      </c>
      <c r="C144" s="13" t="s">
        <v>188</v>
      </c>
      <c r="D144" s="3" t="s">
        <v>39</v>
      </c>
      <c r="E144" s="3" t="s">
        <v>23</v>
      </c>
      <c r="F144" s="3" t="s">
        <v>24</v>
      </c>
      <c r="G144" s="4">
        <v>4</v>
      </c>
      <c r="H144" s="5">
        <v>180</v>
      </c>
      <c r="I144" s="5">
        <v>0</v>
      </c>
      <c r="J144" s="5">
        <f t="shared" si="4"/>
        <v>720</v>
      </c>
      <c r="K144" s="3" t="s">
        <v>49</v>
      </c>
    </row>
    <row r="145" spans="1:11" x14ac:dyDescent="0.25">
      <c r="A145" s="6" t="s">
        <v>322</v>
      </c>
      <c r="B145" s="7" t="s">
        <v>55</v>
      </c>
      <c r="C145" s="14" t="s">
        <v>323</v>
      </c>
      <c r="D145" s="7" t="s">
        <v>15</v>
      </c>
      <c r="E145" s="7" t="s">
        <v>23</v>
      </c>
      <c r="F145" s="7" t="s">
        <v>48</v>
      </c>
      <c r="G145" s="8">
        <v>3</v>
      </c>
      <c r="H145" s="9">
        <v>450</v>
      </c>
      <c r="I145" s="9">
        <v>76.77</v>
      </c>
      <c r="J145" s="9">
        <f t="shared" si="4"/>
        <v>1273.23</v>
      </c>
      <c r="K145" s="7" t="s">
        <v>49</v>
      </c>
    </row>
    <row r="146" spans="1:11" x14ac:dyDescent="0.25">
      <c r="A146" s="2" t="s">
        <v>324</v>
      </c>
      <c r="B146" s="3" t="s">
        <v>101</v>
      </c>
      <c r="C146" s="13" t="s">
        <v>325</v>
      </c>
      <c r="D146" s="3" t="s">
        <v>22</v>
      </c>
      <c r="E146" s="3" t="s">
        <v>52</v>
      </c>
      <c r="F146" s="3" t="s">
        <v>53</v>
      </c>
      <c r="G146" s="4">
        <v>5</v>
      </c>
      <c r="H146" s="5">
        <v>149</v>
      </c>
      <c r="I146" s="5">
        <v>88.19</v>
      </c>
      <c r="J146" s="5">
        <f t="shared" si="4"/>
        <v>656.81</v>
      </c>
      <c r="K146" s="3" t="s">
        <v>18</v>
      </c>
    </row>
    <row r="147" spans="1:11" x14ac:dyDescent="0.25">
      <c r="A147" s="6" t="s">
        <v>326</v>
      </c>
      <c r="B147" s="7" t="s">
        <v>110</v>
      </c>
      <c r="C147" s="14" t="s">
        <v>327</v>
      </c>
      <c r="D147" s="7" t="s">
        <v>29</v>
      </c>
      <c r="E147" s="7" t="s">
        <v>23</v>
      </c>
      <c r="F147" s="7" t="s">
        <v>24</v>
      </c>
      <c r="G147" s="8">
        <v>2</v>
      </c>
      <c r="H147" s="9">
        <v>180</v>
      </c>
      <c r="I147" s="9">
        <v>14.92</v>
      </c>
      <c r="J147" s="9">
        <f t="shared" ref="J147:J178" si="5">(G147*H147)-I147</f>
        <v>345.08</v>
      </c>
      <c r="K147" s="7" t="s">
        <v>65</v>
      </c>
    </row>
    <row r="148" spans="1:11" x14ac:dyDescent="0.25">
      <c r="A148" s="2" t="s">
        <v>328</v>
      </c>
      <c r="B148" s="3" t="s">
        <v>34</v>
      </c>
      <c r="C148" s="13" t="s">
        <v>329</v>
      </c>
      <c r="D148" s="3" t="s">
        <v>15</v>
      </c>
      <c r="E148" s="3" t="s">
        <v>52</v>
      </c>
      <c r="F148" s="3" t="s">
        <v>75</v>
      </c>
      <c r="G148" s="4">
        <v>1</v>
      </c>
      <c r="H148" s="5">
        <v>249</v>
      </c>
      <c r="I148" s="5">
        <v>26.36</v>
      </c>
      <c r="J148" s="5">
        <f t="shared" si="5"/>
        <v>222.64</v>
      </c>
      <c r="K148" s="3" t="s">
        <v>18</v>
      </c>
    </row>
    <row r="149" spans="1:11" x14ac:dyDescent="0.25">
      <c r="A149" s="6" t="s">
        <v>330</v>
      </c>
      <c r="B149" s="7" t="s">
        <v>13</v>
      </c>
      <c r="C149" s="14" t="s">
        <v>331</v>
      </c>
      <c r="D149" s="7" t="s">
        <v>22</v>
      </c>
      <c r="E149" s="7" t="s">
        <v>30</v>
      </c>
      <c r="F149" s="7" t="s">
        <v>106</v>
      </c>
      <c r="G149" s="8">
        <v>1</v>
      </c>
      <c r="H149" s="9">
        <v>299</v>
      </c>
      <c r="I149" s="9">
        <v>21.48</v>
      </c>
      <c r="J149" s="9">
        <f t="shared" si="5"/>
        <v>277.52</v>
      </c>
      <c r="K149" s="7" t="s">
        <v>32</v>
      </c>
    </row>
    <row r="150" spans="1:11" x14ac:dyDescent="0.25">
      <c r="A150" s="2" t="s">
        <v>332</v>
      </c>
      <c r="B150" s="3" t="s">
        <v>13</v>
      </c>
      <c r="C150" s="13" t="s">
        <v>200</v>
      </c>
      <c r="D150" s="3" t="s">
        <v>149</v>
      </c>
      <c r="E150" s="3" t="s">
        <v>16</v>
      </c>
      <c r="F150" s="3" t="s">
        <v>116</v>
      </c>
      <c r="G150" s="4">
        <v>5</v>
      </c>
      <c r="H150" s="5">
        <v>45</v>
      </c>
      <c r="I150" s="5">
        <v>4.8099999999999996</v>
      </c>
      <c r="J150" s="5">
        <f t="shared" si="5"/>
        <v>220.19</v>
      </c>
      <c r="K150" s="3" t="s">
        <v>65</v>
      </c>
    </row>
    <row r="151" spans="1:11" x14ac:dyDescent="0.25">
      <c r="A151" s="6" t="s">
        <v>333</v>
      </c>
      <c r="B151" s="7" t="s">
        <v>71</v>
      </c>
      <c r="C151" s="14" t="s">
        <v>58</v>
      </c>
      <c r="D151" s="7" t="s">
        <v>15</v>
      </c>
      <c r="E151" s="7" t="s">
        <v>30</v>
      </c>
      <c r="F151" s="7" t="s">
        <v>31</v>
      </c>
      <c r="G151" s="8">
        <v>3</v>
      </c>
      <c r="H151" s="9">
        <v>2500</v>
      </c>
      <c r="I151" s="9">
        <v>475.99</v>
      </c>
      <c r="J151" s="9">
        <f t="shared" si="5"/>
        <v>7024.01</v>
      </c>
      <c r="K151" s="7" t="s">
        <v>44</v>
      </c>
    </row>
    <row r="152" spans="1:11" x14ac:dyDescent="0.25">
      <c r="A152" s="2" t="s">
        <v>334</v>
      </c>
      <c r="B152" s="3" t="s">
        <v>34</v>
      </c>
      <c r="C152" s="13" t="s">
        <v>253</v>
      </c>
      <c r="D152" s="3" t="s">
        <v>39</v>
      </c>
      <c r="E152" s="3" t="s">
        <v>52</v>
      </c>
      <c r="F152" s="3" t="s">
        <v>61</v>
      </c>
      <c r="G152" s="4">
        <v>1</v>
      </c>
      <c r="H152" s="5">
        <v>199</v>
      </c>
      <c r="I152" s="5">
        <v>0</v>
      </c>
      <c r="J152" s="5">
        <f t="shared" si="5"/>
        <v>199</v>
      </c>
      <c r="K152" s="3" t="s">
        <v>32</v>
      </c>
    </row>
    <row r="153" spans="1:11" x14ac:dyDescent="0.25">
      <c r="A153" s="6" t="s">
        <v>335</v>
      </c>
      <c r="B153" s="7" t="s">
        <v>101</v>
      </c>
      <c r="C153" s="14" t="s">
        <v>336</v>
      </c>
      <c r="D153" s="7" t="s">
        <v>47</v>
      </c>
      <c r="E153" s="7" t="s">
        <v>30</v>
      </c>
      <c r="F153" s="7" t="s">
        <v>31</v>
      </c>
      <c r="G153" s="8">
        <v>1</v>
      </c>
      <c r="H153" s="9">
        <v>2500</v>
      </c>
      <c r="I153" s="9">
        <v>9.85</v>
      </c>
      <c r="J153" s="9">
        <f t="shared" si="5"/>
        <v>2490.15</v>
      </c>
      <c r="K153" s="7" t="s">
        <v>69</v>
      </c>
    </row>
    <row r="154" spans="1:11" x14ac:dyDescent="0.25">
      <c r="A154" s="2" t="s">
        <v>337</v>
      </c>
      <c r="B154" s="3" t="s">
        <v>55</v>
      </c>
      <c r="C154" s="13" t="s">
        <v>338</v>
      </c>
      <c r="D154" s="3" t="s">
        <v>47</v>
      </c>
      <c r="E154" s="3" t="s">
        <v>52</v>
      </c>
      <c r="F154" s="3" t="s">
        <v>53</v>
      </c>
      <c r="G154" s="4">
        <v>2</v>
      </c>
      <c r="H154" s="5">
        <v>149</v>
      </c>
      <c r="I154" s="5">
        <v>21.39</v>
      </c>
      <c r="J154" s="5">
        <f t="shared" si="5"/>
        <v>276.61</v>
      </c>
      <c r="K154" s="3" t="s">
        <v>89</v>
      </c>
    </row>
    <row r="155" spans="1:11" x14ac:dyDescent="0.25">
      <c r="A155" s="6" t="s">
        <v>339</v>
      </c>
      <c r="B155" s="7" t="s">
        <v>110</v>
      </c>
      <c r="C155" s="14" t="s">
        <v>340</v>
      </c>
      <c r="D155" s="7" t="s">
        <v>22</v>
      </c>
      <c r="E155" s="7" t="s">
        <v>23</v>
      </c>
      <c r="F155" s="7" t="s">
        <v>48</v>
      </c>
      <c r="G155" s="8">
        <v>4</v>
      </c>
      <c r="H155" s="9">
        <v>450</v>
      </c>
      <c r="I155" s="9">
        <v>0</v>
      </c>
      <c r="J155" s="9">
        <f t="shared" si="5"/>
        <v>1800</v>
      </c>
      <c r="K155" s="7" t="s">
        <v>32</v>
      </c>
    </row>
    <row r="156" spans="1:11" x14ac:dyDescent="0.25">
      <c r="A156" s="2" t="s">
        <v>341</v>
      </c>
      <c r="B156" s="3" t="s">
        <v>277</v>
      </c>
      <c r="C156" s="13" t="s">
        <v>342</v>
      </c>
      <c r="D156" s="3" t="s">
        <v>22</v>
      </c>
      <c r="E156" s="3" t="s">
        <v>52</v>
      </c>
      <c r="F156" s="3" t="s">
        <v>75</v>
      </c>
      <c r="G156" s="4">
        <v>1</v>
      </c>
      <c r="H156" s="5">
        <v>249</v>
      </c>
      <c r="I156" s="5">
        <v>26.23</v>
      </c>
      <c r="J156" s="5">
        <f t="shared" si="5"/>
        <v>222.77</v>
      </c>
      <c r="K156" s="3" t="s">
        <v>32</v>
      </c>
    </row>
    <row r="157" spans="1:11" x14ac:dyDescent="0.25">
      <c r="A157" s="6" t="s">
        <v>343</v>
      </c>
      <c r="B157" s="7" t="s">
        <v>110</v>
      </c>
      <c r="C157" s="14" t="s">
        <v>344</v>
      </c>
      <c r="D157" s="7" t="s">
        <v>39</v>
      </c>
      <c r="E157" s="7" t="s">
        <v>16</v>
      </c>
      <c r="F157" s="7" t="s">
        <v>78</v>
      </c>
      <c r="G157" s="8">
        <v>2</v>
      </c>
      <c r="H157" s="9">
        <v>59</v>
      </c>
      <c r="I157" s="9">
        <v>0</v>
      </c>
      <c r="J157" s="9">
        <f t="shared" si="5"/>
        <v>118</v>
      </c>
      <c r="K157" s="7" t="s">
        <v>18</v>
      </c>
    </row>
    <row r="158" spans="1:11" x14ac:dyDescent="0.25">
      <c r="A158" s="2" t="s">
        <v>345</v>
      </c>
      <c r="B158" s="3" t="s">
        <v>34</v>
      </c>
      <c r="C158" s="13" t="s">
        <v>346</v>
      </c>
      <c r="D158" s="3" t="s">
        <v>29</v>
      </c>
      <c r="E158" s="3" t="s">
        <v>16</v>
      </c>
      <c r="F158" s="3" t="s">
        <v>17</v>
      </c>
      <c r="G158" s="4">
        <v>2</v>
      </c>
      <c r="H158" s="5">
        <v>39</v>
      </c>
      <c r="I158" s="5">
        <v>9.0299999999999994</v>
      </c>
      <c r="J158" s="5">
        <f t="shared" si="5"/>
        <v>68.97</v>
      </c>
      <c r="K158" s="3" t="s">
        <v>32</v>
      </c>
    </row>
    <row r="159" spans="1:11" x14ac:dyDescent="0.25">
      <c r="A159" s="6" t="s">
        <v>347</v>
      </c>
      <c r="B159" s="7" t="s">
        <v>37</v>
      </c>
      <c r="C159" s="14" t="s">
        <v>157</v>
      </c>
      <c r="D159" s="7" t="s">
        <v>15</v>
      </c>
      <c r="E159" s="7" t="s">
        <v>30</v>
      </c>
      <c r="F159" s="7" t="s">
        <v>106</v>
      </c>
      <c r="G159" s="8">
        <v>2</v>
      </c>
      <c r="H159" s="9">
        <v>299</v>
      </c>
      <c r="I159" s="9">
        <v>57.47</v>
      </c>
      <c r="J159" s="9">
        <f t="shared" si="5"/>
        <v>540.53</v>
      </c>
      <c r="K159" s="7" t="s">
        <v>89</v>
      </c>
    </row>
    <row r="160" spans="1:11" x14ac:dyDescent="0.25">
      <c r="A160" s="2" t="s">
        <v>348</v>
      </c>
      <c r="B160" s="3" t="s">
        <v>41</v>
      </c>
      <c r="C160" s="13" t="s">
        <v>349</v>
      </c>
      <c r="D160" s="3" t="s">
        <v>47</v>
      </c>
      <c r="E160" s="3" t="s">
        <v>23</v>
      </c>
      <c r="F160" s="3" t="s">
        <v>48</v>
      </c>
      <c r="G160" s="4">
        <v>3</v>
      </c>
      <c r="H160" s="5">
        <v>450</v>
      </c>
      <c r="I160" s="5">
        <v>82.14</v>
      </c>
      <c r="J160" s="5">
        <f t="shared" si="5"/>
        <v>1267.8599999999999</v>
      </c>
      <c r="K160" s="3" t="s">
        <v>18</v>
      </c>
    </row>
    <row r="161" spans="1:11" x14ac:dyDescent="0.25">
      <c r="A161" s="6" t="s">
        <v>350</v>
      </c>
      <c r="B161" s="7" t="s">
        <v>71</v>
      </c>
      <c r="C161" s="14" t="s">
        <v>93</v>
      </c>
      <c r="D161" s="7" t="s">
        <v>22</v>
      </c>
      <c r="E161" s="7" t="s">
        <v>52</v>
      </c>
      <c r="F161" s="7" t="s">
        <v>53</v>
      </c>
      <c r="G161" s="8">
        <v>3</v>
      </c>
      <c r="H161" s="9">
        <v>149</v>
      </c>
      <c r="I161" s="9">
        <v>55.79</v>
      </c>
      <c r="J161" s="9">
        <f t="shared" si="5"/>
        <v>391.21</v>
      </c>
      <c r="K161" s="7" t="s">
        <v>65</v>
      </c>
    </row>
    <row r="162" spans="1:11" x14ac:dyDescent="0.25">
      <c r="A162" s="2" t="s">
        <v>351</v>
      </c>
      <c r="B162" s="3" t="s">
        <v>13</v>
      </c>
      <c r="C162" s="13" t="s">
        <v>292</v>
      </c>
      <c r="D162" s="3" t="s">
        <v>29</v>
      </c>
      <c r="E162" s="3" t="s">
        <v>30</v>
      </c>
      <c r="F162" s="3" t="s">
        <v>68</v>
      </c>
      <c r="G162" s="4">
        <v>4</v>
      </c>
      <c r="H162" s="5">
        <v>799</v>
      </c>
      <c r="I162" s="5">
        <v>0</v>
      </c>
      <c r="J162" s="5">
        <f t="shared" si="5"/>
        <v>3196</v>
      </c>
      <c r="K162" s="3" t="s">
        <v>89</v>
      </c>
    </row>
    <row r="163" spans="1:11" x14ac:dyDescent="0.25">
      <c r="A163" s="6" t="s">
        <v>352</v>
      </c>
      <c r="B163" s="7" t="s">
        <v>27</v>
      </c>
      <c r="C163" s="14" t="s">
        <v>353</v>
      </c>
      <c r="D163" s="7" t="s">
        <v>15</v>
      </c>
      <c r="E163" s="7" t="s">
        <v>30</v>
      </c>
      <c r="F163" s="7" t="s">
        <v>106</v>
      </c>
      <c r="G163" s="8">
        <v>1</v>
      </c>
      <c r="H163" s="9">
        <v>299</v>
      </c>
      <c r="I163" s="9">
        <v>32.53</v>
      </c>
      <c r="J163" s="9">
        <f t="shared" si="5"/>
        <v>266.47000000000003</v>
      </c>
      <c r="K163" s="7" t="s">
        <v>44</v>
      </c>
    </row>
    <row r="164" spans="1:11" x14ac:dyDescent="0.25">
      <c r="A164" s="2" t="s">
        <v>354</v>
      </c>
      <c r="B164" s="3" t="s">
        <v>63</v>
      </c>
      <c r="C164" s="13" t="s">
        <v>355</v>
      </c>
      <c r="D164" s="3" t="s">
        <v>29</v>
      </c>
      <c r="E164" s="3" t="s">
        <v>23</v>
      </c>
      <c r="F164" s="3" t="s">
        <v>48</v>
      </c>
      <c r="G164" s="4">
        <v>4</v>
      </c>
      <c r="H164" s="5">
        <v>450</v>
      </c>
      <c r="I164" s="5">
        <v>234.28</v>
      </c>
      <c r="J164" s="5">
        <f t="shared" si="5"/>
        <v>1565.72</v>
      </c>
      <c r="K164" s="3" t="s">
        <v>25</v>
      </c>
    </row>
    <row r="165" spans="1:11" x14ac:dyDescent="0.25">
      <c r="A165" s="6" t="s">
        <v>356</v>
      </c>
      <c r="B165" s="7" t="s">
        <v>34</v>
      </c>
      <c r="C165" s="14" t="s">
        <v>200</v>
      </c>
      <c r="D165" s="7" t="s">
        <v>29</v>
      </c>
      <c r="E165" s="7" t="s">
        <v>23</v>
      </c>
      <c r="F165" s="7" t="s">
        <v>24</v>
      </c>
      <c r="G165" s="8">
        <v>4</v>
      </c>
      <c r="H165" s="9">
        <v>180</v>
      </c>
      <c r="I165" s="9">
        <v>0</v>
      </c>
      <c r="J165" s="9">
        <f t="shared" si="5"/>
        <v>720</v>
      </c>
      <c r="K165" s="7" t="s">
        <v>25</v>
      </c>
    </row>
    <row r="166" spans="1:11" x14ac:dyDescent="0.25">
      <c r="A166" s="2" t="s">
        <v>357</v>
      </c>
      <c r="B166" s="3" t="s">
        <v>20</v>
      </c>
      <c r="C166" s="13" t="s">
        <v>290</v>
      </c>
      <c r="D166" s="3" t="s">
        <v>15</v>
      </c>
      <c r="E166" s="3" t="s">
        <v>52</v>
      </c>
      <c r="F166" s="3" t="s">
        <v>99</v>
      </c>
      <c r="G166" s="4">
        <v>1</v>
      </c>
      <c r="H166" s="5">
        <v>79</v>
      </c>
      <c r="I166" s="5">
        <v>4.5999999999999996</v>
      </c>
      <c r="J166" s="5">
        <f t="shared" si="5"/>
        <v>74.400000000000006</v>
      </c>
      <c r="K166" s="3" t="s">
        <v>49</v>
      </c>
    </row>
    <row r="167" spans="1:11" x14ac:dyDescent="0.25">
      <c r="A167" s="6" t="s">
        <v>358</v>
      </c>
      <c r="B167" s="7" t="s">
        <v>71</v>
      </c>
      <c r="C167" s="14" t="s">
        <v>87</v>
      </c>
      <c r="D167" s="7" t="s">
        <v>47</v>
      </c>
      <c r="E167" s="7" t="s">
        <v>30</v>
      </c>
      <c r="F167" s="7" t="s">
        <v>68</v>
      </c>
      <c r="G167" s="8">
        <v>1</v>
      </c>
      <c r="H167" s="9">
        <v>799</v>
      </c>
      <c r="I167" s="9">
        <v>25.43</v>
      </c>
      <c r="J167" s="9">
        <f t="shared" si="5"/>
        <v>773.57</v>
      </c>
      <c r="K167" s="7" t="s">
        <v>18</v>
      </c>
    </row>
    <row r="168" spans="1:11" x14ac:dyDescent="0.25">
      <c r="A168" s="2" t="s">
        <v>359</v>
      </c>
      <c r="B168" s="3" t="s">
        <v>55</v>
      </c>
      <c r="C168" s="13" t="s">
        <v>360</v>
      </c>
      <c r="D168" s="3" t="s">
        <v>39</v>
      </c>
      <c r="E168" s="3" t="s">
        <v>30</v>
      </c>
      <c r="F168" s="3" t="s">
        <v>106</v>
      </c>
      <c r="G168" s="4">
        <v>2</v>
      </c>
      <c r="H168" s="5">
        <v>299</v>
      </c>
      <c r="I168" s="5">
        <v>60.63</v>
      </c>
      <c r="J168" s="5">
        <f t="shared" si="5"/>
        <v>537.37</v>
      </c>
      <c r="K168" s="3" t="s">
        <v>25</v>
      </c>
    </row>
    <row r="169" spans="1:11" x14ac:dyDescent="0.25">
      <c r="A169" s="6" t="s">
        <v>361</v>
      </c>
      <c r="B169" s="7" t="s">
        <v>27</v>
      </c>
      <c r="C169" s="14" t="s">
        <v>362</v>
      </c>
      <c r="D169" s="7" t="s">
        <v>39</v>
      </c>
      <c r="E169" s="7" t="s">
        <v>23</v>
      </c>
      <c r="F169" s="7" t="s">
        <v>43</v>
      </c>
      <c r="G169" s="8">
        <v>2</v>
      </c>
      <c r="H169" s="9">
        <v>350</v>
      </c>
      <c r="I169" s="9">
        <v>0</v>
      </c>
      <c r="J169" s="9">
        <f t="shared" si="5"/>
        <v>700</v>
      </c>
      <c r="K169" s="7" t="s">
        <v>44</v>
      </c>
    </row>
    <row r="170" spans="1:11" x14ac:dyDescent="0.25">
      <c r="A170" s="2" t="s">
        <v>363</v>
      </c>
      <c r="B170" s="3" t="s">
        <v>27</v>
      </c>
      <c r="C170" s="13" t="s">
        <v>364</v>
      </c>
      <c r="D170" s="3" t="s">
        <v>47</v>
      </c>
      <c r="E170" s="3" t="s">
        <v>23</v>
      </c>
      <c r="F170" s="3" t="s">
        <v>24</v>
      </c>
      <c r="G170" s="4">
        <v>4</v>
      </c>
      <c r="H170" s="5">
        <v>180</v>
      </c>
      <c r="I170" s="5">
        <v>0</v>
      </c>
      <c r="J170" s="5">
        <f t="shared" si="5"/>
        <v>720</v>
      </c>
      <c r="K170" s="3" t="s">
        <v>32</v>
      </c>
    </row>
    <row r="171" spans="1:11" x14ac:dyDescent="0.25">
      <c r="A171" s="6" t="s">
        <v>365</v>
      </c>
      <c r="B171" s="7" t="s">
        <v>37</v>
      </c>
      <c r="C171" s="14" t="s">
        <v>366</v>
      </c>
      <c r="D171" s="7" t="s">
        <v>39</v>
      </c>
      <c r="E171" s="7" t="s">
        <v>16</v>
      </c>
      <c r="F171" s="7" t="s">
        <v>78</v>
      </c>
      <c r="G171" s="8">
        <v>4</v>
      </c>
      <c r="H171" s="9">
        <v>59</v>
      </c>
      <c r="I171" s="9">
        <v>18.37</v>
      </c>
      <c r="J171" s="9">
        <f t="shared" si="5"/>
        <v>217.63</v>
      </c>
      <c r="K171" s="7" t="s">
        <v>32</v>
      </c>
    </row>
    <row r="172" spans="1:11" x14ac:dyDescent="0.25">
      <c r="A172" s="2" t="s">
        <v>367</v>
      </c>
      <c r="B172" s="3" t="s">
        <v>101</v>
      </c>
      <c r="C172" s="13" t="s">
        <v>368</v>
      </c>
      <c r="D172" s="3" t="s">
        <v>47</v>
      </c>
      <c r="E172" s="3" t="s">
        <v>16</v>
      </c>
      <c r="F172" s="3" t="s">
        <v>103</v>
      </c>
      <c r="G172" s="4">
        <v>4</v>
      </c>
      <c r="H172" s="5">
        <v>89</v>
      </c>
      <c r="I172" s="5">
        <v>11.12</v>
      </c>
      <c r="J172" s="5">
        <f t="shared" si="5"/>
        <v>344.88</v>
      </c>
      <c r="K172" s="3" t="s">
        <v>49</v>
      </c>
    </row>
    <row r="173" spans="1:11" x14ac:dyDescent="0.25">
      <c r="A173" s="6" t="s">
        <v>369</v>
      </c>
      <c r="B173" s="7" t="s">
        <v>37</v>
      </c>
      <c r="C173" s="14" t="s">
        <v>80</v>
      </c>
      <c r="D173" s="7" t="s">
        <v>29</v>
      </c>
      <c r="E173" s="7" t="s">
        <v>23</v>
      </c>
      <c r="F173" s="7" t="s">
        <v>48</v>
      </c>
      <c r="G173" s="8">
        <v>3</v>
      </c>
      <c r="H173" s="9">
        <v>450</v>
      </c>
      <c r="I173" s="9">
        <v>0</v>
      </c>
      <c r="J173" s="9">
        <f t="shared" si="5"/>
        <v>1350</v>
      </c>
      <c r="K173" s="7" t="s">
        <v>69</v>
      </c>
    </row>
    <row r="174" spans="1:11" x14ac:dyDescent="0.25">
      <c r="A174" s="2" t="s">
        <v>370</v>
      </c>
      <c r="B174" s="3" t="s">
        <v>71</v>
      </c>
      <c r="C174" s="13" t="s">
        <v>371</v>
      </c>
      <c r="D174" s="3" t="s">
        <v>39</v>
      </c>
      <c r="E174" s="3" t="s">
        <v>30</v>
      </c>
      <c r="F174" s="3" t="s">
        <v>31</v>
      </c>
      <c r="G174" s="4">
        <v>5</v>
      </c>
      <c r="H174" s="5">
        <v>2500</v>
      </c>
      <c r="I174" s="5">
        <v>969.41</v>
      </c>
      <c r="J174" s="5">
        <f t="shared" si="5"/>
        <v>11530.59</v>
      </c>
      <c r="K174" s="3" t="s">
        <v>44</v>
      </c>
    </row>
    <row r="175" spans="1:11" x14ac:dyDescent="0.25">
      <c r="A175" s="6" t="s">
        <v>372</v>
      </c>
      <c r="B175" s="7" t="s">
        <v>27</v>
      </c>
      <c r="C175" s="14" t="s">
        <v>373</v>
      </c>
      <c r="D175" s="7" t="s">
        <v>29</v>
      </c>
      <c r="E175" s="7" t="s">
        <v>23</v>
      </c>
      <c r="F175" s="7" t="s">
        <v>43</v>
      </c>
      <c r="G175" s="8">
        <v>4</v>
      </c>
      <c r="H175" s="9">
        <v>350</v>
      </c>
      <c r="I175" s="9">
        <v>174.04</v>
      </c>
      <c r="J175" s="9">
        <f t="shared" si="5"/>
        <v>1225.96</v>
      </c>
      <c r="K175" s="7" t="s">
        <v>69</v>
      </c>
    </row>
    <row r="176" spans="1:11" x14ac:dyDescent="0.25">
      <c r="A176" s="2" t="s">
        <v>374</v>
      </c>
      <c r="B176" s="3" t="s">
        <v>101</v>
      </c>
      <c r="C176" s="13" t="s">
        <v>263</v>
      </c>
      <c r="D176" s="3" t="s">
        <v>15</v>
      </c>
      <c r="E176" s="3" t="s">
        <v>23</v>
      </c>
      <c r="F176" s="3" t="s">
        <v>24</v>
      </c>
      <c r="G176" s="4">
        <v>5</v>
      </c>
      <c r="H176" s="5">
        <v>180</v>
      </c>
      <c r="I176" s="5">
        <v>0</v>
      </c>
      <c r="J176" s="5">
        <f t="shared" si="5"/>
        <v>900</v>
      </c>
      <c r="K176" s="3" t="s">
        <v>32</v>
      </c>
    </row>
    <row r="177" spans="1:11" x14ac:dyDescent="0.25">
      <c r="A177" s="6" t="s">
        <v>375</v>
      </c>
      <c r="B177" s="7" t="s">
        <v>63</v>
      </c>
      <c r="C177" s="14" t="s">
        <v>120</v>
      </c>
      <c r="D177" s="7" t="s">
        <v>29</v>
      </c>
      <c r="E177" s="7" t="s">
        <v>52</v>
      </c>
      <c r="F177" s="7" t="s">
        <v>75</v>
      </c>
      <c r="G177" s="8">
        <v>4</v>
      </c>
      <c r="H177" s="9">
        <v>249</v>
      </c>
      <c r="I177" s="9">
        <v>108.02</v>
      </c>
      <c r="J177" s="9">
        <f t="shared" si="5"/>
        <v>887.98</v>
      </c>
      <c r="K177" s="7" t="s">
        <v>25</v>
      </c>
    </row>
    <row r="178" spans="1:11" x14ac:dyDescent="0.25">
      <c r="A178" s="2" t="s">
        <v>376</v>
      </c>
      <c r="B178" s="3" t="s">
        <v>101</v>
      </c>
      <c r="C178" s="13" t="s">
        <v>377</v>
      </c>
      <c r="D178" s="3" t="s">
        <v>22</v>
      </c>
      <c r="E178" s="3" t="s">
        <v>23</v>
      </c>
      <c r="F178" s="3" t="s">
        <v>24</v>
      </c>
      <c r="G178" s="4">
        <v>5</v>
      </c>
      <c r="H178" s="5">
        <v>180</v>
      </c>
      <c r="I178" s="5">
        <v>0</v>
      </c>
      <c r="J178" s="5">
        <f t="shared" si="5"/>
        <v>900</v>
      </c>
      <c r="K178" s="3" t="s">
        <v>49</v>
      </c>
    </row>
    <row r="179" spans="1:11" x14ac:dyDescent="0.25">
      <c r="A179" s="6" t="s">
        <v>378</v>
      </c>
      <c r="B179" s="7" t="s">
        <v>71</v>
      </c>
      <c r="C179" s="14" t="s">
        <v>379</v>
      </c>
      <c r="D179" s="7" t="s">
        <v>149</v>
      </c>
      <c r="E179" s="7" t="s">
        <v>52</v>
      </c>
      <c r="F179" s="7" t="s">
        <v>53</v>
      </c>
      <c r="G179" s="8">
        <v>3</v>
      </c>
      <c r="H179" s="9">
        <v>149</v>
      </c>
      <c r="I179" s="9">
        <v>29.57</v>
      </c>
      <c r="J179" s="9">
        <f t="shared" ref="J179:J194" si="6">(G179*H179)-I179</f>
        <v>417.43</v>
      </c>
      <c r="K179" s="7" t="s">
        <v>44</v>
      </c>
    </row>
    <row r="180" spans="1:11" x14ac:dyDescent="0.25">
      <c r="A180" s="2" t="s">
        <v>380</v>
      </c>
      <c r="B180" s="3" t="s">
        <v>37</v>
      </c>
      <c r="C180" s="13" t="s">
        <v>381</v>
      </c>
      <c r="D180" s="3" t="s">
        <v>15</v>
      </c>
      <c r="E180" s="3" t="s">
        <v>23</v>
      </c>
      <c r="F180" s="3" t="s">
        <v>48</v>
      </c>
      <c r="G180" s="4">
        <v>2</v>
      </c>
      <c r="H180" s="5">
        <v>450</v>
      </c>
      <c r="I180" s="5">
        <v>0</v>
      </c>
      <c r="J180" s="5">
        <f t="shared" si="6"/>
        <v>900</v>
      </c>
      <c r="K180" s="3" t="s">
        <v>89</v>
      </c>
    </row>
    <row r="181" spans="1:11" x14ac:dyDescent="0.25">
      <c r="A181" s="6" t="s">
        <v>382</v>
      </c>
      <c r="B181" s="7" t="s">
        <v>13</v>
      </c>
      <c r="C181" s="14" t="s">
        <v>132</v>
      </c>
      <c r="D181" s="7" t="s">
        <v>47</v>
      </c>
      <c r="E181" s="7" t="s">
        <v>52</v>
      </c>
      <c r="F181" s="7" t="s">
        <v>61</v>
      </c>
      <c r="G181" s="8">
        <v>1</v>
      </c>
      <c r="H181" s="9">
        <v>199</v>
      </c>
      <c r="I181" s="9">
        <v>24.71</v>
      </c>
      <c r="J181" s="9">
        <f t="shared" si="6"/>
        <v>174.29</v>
      </c>
      <c r="K181" s="7" t="s">
        <v>49</v>
      </c>
    </row>
    <row r="182" spans="1:11" x14ac:dyDescent="0.25">
      <c r="A182" s="2" t="s">
        <v>383</v>
      </c>
      <c r="B182" s="3" t="s">
        <v>55</v>
      </c>
      <c r="C182" s="13" t="s">
        <v>384</v>
      </c>
      <c r="D182" s="3" t="s">
        <v>47</v>
      </c>
      <c r="E182" s="3" t="s">
        <v>52</v>
      </c>
      <c r="F182" s="3" t="s">
        <v>75</v>
      </c>
      <c r="G182" s="4">
        <v>4</v>
      </c>
      <c r="H182" s="5">
        <v>249</v>
      </c>
      <c r="I182" s="5">
        <v>119.32</v>
      </c>
      <c r="J182" s="5">
        <f t="shared" si="6"/>
        <v>876.68000000000006</v>
      </c>
      <c r="K182" s="3" t="s">
        <v>32</v>
      </c>
    </row>
    <row r="183" spans="1:11" x14ac:dyDescent="0.25">
      <c r="A183" s="6" t="s">
        <v>385</v>
      </c>
      <c r="B183" s="7" t="s">
        <v>13</v>
      </c>
      <c r="C183" s="14" t="s">
        <v>386</v>
      </c>
      <c r="D183" s="7" t="s">
        <v>39</v>
      </c>
      <c r="E183" s="7" t="s">
        <v>23</v>
      </c>
      <c r="F183" s="7" t="s">
        <v>88</v>
      </c>
      <c r="G183" s="8">
        <v>5</v>
      </c>
      <c r="H183" s="9">
        <v>650</v>
      </c>
      <c r="I183" s="9">
        <v>303.33</v>
      </c>
      <c r="J183" s="9">
        <f t="shared" si="6"/>
        <v>2946.67</v>
      </c>
      <c r="K183" s="7" t="s">
        <v>25</v>
      </c>
    </row>
    <row r="184" spans="1:11" x14ac:dyDescent="0.25">
      <c r="A184" s="2" t="s">
        <v>387</v>
      </c>
      <c r="B184" s="3" t="s">
        <v>27</v>
      </c>
      <c r="C184" s="13" t="s">
        <v>388</v>
      </c>
      <c r="D184" s="3" t="s">
        <v>149</v>
      </c>
      <c r="E184" s="3" t="s">
        <v>52</v>
      </c>
      <c r="F184" s="3" t="s">
        <v>53</v>
      </c>
      <c r="G184" s="4">
        <v>3</v>
      </c>
      <c r="H184" s="5">
        <v>149</v>
      </c>
      <c r="I184" s="5">
        <v>0</v>
      </c>
      <c r="J184" s="5">
        <f t="shared" si="6"/>
        <v>447</v>
      </c>
      <c r="K184" s="3" t="s">
        <v>65</v>
      </c>
    </row>
    <row r="185" spans="1:11" x14ac:dyDescent="0.25">
      <c r="A185" s="6" t="s">
        <v>389</v>
      </c>
      <c r="B185" s="7" t="s">
        <v>71</v>
      </c>
      <c r="C185" s="14" t="s">
        <v>390</v>
      </c>
      <c r="D185" s="7" t="s">
        <v>39</v>
      </c>
      <c r="E185" s="7" t="s">
        <v>52</v>
      </c>
      <c r="F185" s="7" t="s">
        <v>75</v>
      </c>
      <c r="G185" s="8">
        <v>5</v>
      </c>
      <c r="H185" s="9">
        <v>249</v>
      </c>
      <c r="I185" s="9">
        <v>0</v>
      </c>
      <c r="J185" s="9">
        <f t="shared" si="6"/>
        <v>1245</v>
      </c>
      <c r="K185" s="7" t="s">
        <v>65</v>
      </c>
    </row>
    <row r="186" spans="1:11" x14ac:dyDescent="0.25">
      <c r="A186" s="2" t="s">
        <v>391</v>
      </c>
      <c r="B186" s="3" t="s">
        <v>37</v>
      </c>
      <c r="C186" s="13" t="s">
        <v>392</v>
      </c>
      <c r="D186" s="3" t="s">
        <v>29</v>
      </c>
      <c r="E186" s="3" t="s">
        <v>30</v>
      </c>
      <c r="F186" s="3" t="s">
        <v>106</v>
      </c>
      <c r="G186" s="4">
        <v>4</v>
      </c>
      <c r="H186" s="5">
        <v>299</v>
      </c>
      <c r="I186" s="5">
        <v>0</v>
      </c>
      <c r="J186" s="5">
        <f t="shared" si="6"/>
        <v>1196</v>
      </c>
      <c r="K186" s="3" t="s">
        <v>32</v>
      </c>
    </row>
    <row r="187" spans="1:11" x14ac:dyDescent="0.25">
      <c r="A187" s="6" t="s">
        <v>393</v>
      </c>
      <c r="B187" s="7" t="s">
        <v>95</v>
      </c>
      <c r="C187" s="14" t="s">
        <v>394</v>
      </c>
      <c r="D187" s="7" t="s">
        <v>22</v>
      </c>
      <c r="E187" s="7" t="s">
        <v>16</v>
      </c>
      <c r="F187" s="7" t="s">
        <v>116</v>
      </c>
      <c r="G187" s="8">
        <v>5</v>
      </c>
      <c r="H187" s="9">
        <v>45</v>
      </c>
      <c r="I187" s="9">
        <v>8.09</v>
      </c>
      <c r="J187" s="9">
        <f t="shared" si="6"/>
        <v>216.91</v>
      </c>
      <c r="K187" s="7" t="s">
        <v>32</v>
      </c>
    </row>
    <row r="188" spans="1:11" x14ac:dyDescent="0.25">
      <c r="A188" s="2" t="s">
        <v>395</v>
      </c>
      <c r="B188" s="3" t="s">
        <v>63</v>
      </c>
      <c r="C188" s="13" t="s">
        <v>172</v>
      </c>
      <c r="D188" s="3" t="s">
        <v>15</v>
      </c>
      <c r="E188" s="3" t="s">
        <v>23</v>
      </c>
      <c r="F188" s="3" t="s">
        <v>24</v>
      </c>
      <c r="G188" s="4">
        <v>5</v>
      </c>
      <c r="H188" s="5">
        <v>180</v>
      </c>
      <c r="I188" s="5">
        <v>0</v>
      </c>
      <c r="J188" s="5">
        <f t="shared" si="6"/>
        <v>900</v>
      </c>
      <c r="K188" s="3" t="s">
        <v>18</v>
      </c>
    </row>
    <row r="189" spans="1:11" x14ac:dyDescent="0.25">
      <c r="A189" s="6" t="s">
        <v>396</v>
      </c>
      <c r="B189" s="7" t="s">
        <v>71</v>
      </c>
      <c r="C189" s="14" t="s">
        <v>397</v>
      </c>
      <c r="D189" s="7" t="s">
        <v>15</v>
      </c>
      <c r="E189" s="7" t="s">
        <v>16</v>
      </c>
      <c r="F189" s="7" t="s">
        <v>103</v>
      </c>
      <c r="G189" s="8">
        <v>1</v>
      </c>
      <c r="H189" s="9">
        <v>89</v>
      </c>
      <c r="I189" s="9">
        <v>11.48</v>
      </c>
      <c r="J189" s="9">
        <f t="shared" si="6"/>
        <v>77.52</v>
      </c>
      <c r="K189" s="7" t="s">
        <v>25</v>
      </c>
    </row>
    <row r="190" spans="1:11" x14ac:dyDescent="0.25">
      <c r="A190" s="2" t="s">
        <v>398</v>
      </c>
      <c r="B190" s="3" t="s">
        <v>34</v>
      </c>
      <c r="C190" s="13" t="s">
        <v>399</v>
      </c>
      <c r="D190" s="3" t="s">
        <v>39</v>
      </c>
      <c r="E190" s="3" t="s">
        <v>23</v>
      </c>
      <c r="F190" s="3" t="s">
        <v>48</v>
      </c>
      <c r="G190" s="4">
        <v>5</v>
      </c>
      <c r="H190" s="5">
        <v>450</v>
      </c>
      <c r="I190" s="5">
        <v>0</v>
      </c>
      <c r="J190" s="5">
        <f t="shared" si="6"/>
        <v>2250</v>
      </c>
      <c r="K190" s="3" t="s">
        <v>89</v>
      </c>
    </row>
    <row r="191" spans="1:11" x14ac:dyDescent="0.25">
      <c r="A191" s="6" t="s">
        <v>400</v>
      </c>
      <c r="B191" s="7" t="s">
        <v>63</v>
      </c>
      <c r="C191" s="14" t="s">
        <v>401</v>
      </c>
      <c r="D191" s="7" t="s">
        <v>29</v>
      </c>
      <c r="E191" s="7" t="s">
        <v>30</v>
      </c>
      <c r="F191" s="7" t="s">
        <v>68</v>
      </c>
      <c r="G191" s="8">
        <v>5</v>
      </c>
      <c r="H191" s="9">
        <v>799</v>
      </c>
      <c r="I191" s="9">
        <v>0</v>
      </c>
      <c r="J191" s="9">
        <f t="shared" si="6"/>
        <v>3995</v>
      </c>
      <c r="K191" s="7" t="s">
        <v>49</v>
      </c>
    </row>
    <row r="192" spans="1:11" x14ac:dyDescent="0.25">
      <c r="A192" s="2" t="s">
        <v>402</v>
      </c>
      <c r="B192" s="3" t="s">
        <v>34</v>
      </c>
      <c r="C192" s="13" t="s">
        <v>403</v>
      </c>
      <c r="D192" s="3" t="s">
        <v>29</v>
      </c>
      <c r="E192" s="3" t="s">
        <v>52</v>
      </c>
      <c r="F192" s="3" t="s">
        <v>61</v>
      </c>
      <c r="G192" s="4">
        <v>1</v>
      </c>
      <c r="H192" s="5">
        <v>199</v>
      </c>
      <c r="I192" s="5">
        <v>25.29</v>
      </c>
      <c r="J192" s="5">
        <f t="shared" si="6"/>
        <v>173.71</v>
      </c>
      <c r="K192" s="3" t="s">
        <v>32</v>
      </c>
    </row>
    <row r="193" spans="1:11" x14ac:dyDescent="0.25">
      <c r="A193" s="6" t="s">
        <v>404</v>
      </c>
      <c r="B193" s="7" t="s">
        <v>41</v>
      </c>
      <c r="C193" s="14" t="s">
        <v>405</v>
      </c>
      <c r="D193" s="7" t="s">
        <v>29</v>
      </c>
      <c r="E193" s="7" t="s">
        <v>52</v>
      </c>
      <c r="F193" s="7" t="s">
        <v>61</v>
      </c>
      <c r="G193" s="8">
        <v>3</v>
      </c>
      <c r="H193" s="9">
        <v>199</v>
      </c>
      <c r="I193" s="9">
        <v>26.43</v>
      </c>
      <c r="J193" s="9">
        <f t="shared" si="6"/>
        <v>570.57000000000005</v>
      </c>
      <c r="K193" s="7" t="s">
        <v>65</v>
      </c>
    </row>
    <row r="194" spans="1:11" x14ac:dyDescent="0.25">
      <c r="A194" s="2" t="s">
        <v>406</v>
      </c>
      <c r="B194" s="3" t="s">
        <v>110</v>
      </c>
      <c r="C194" s="13" t="s">
        <v>407</v>
      </c>
      <c r="D194" s="3" t="s">
        <v>39</v>
      </c>
      <c r="E194" s="3" t="s">
        <v>30</v>
      </c>
      <c r="F194" s="3" t="s">
        <v>31</v>
      </c>
      <c r="G194" s="4">
        <v>2</v>
      </c>
      <c r="H194" s="5">
        <v>2500</v>
      </c>
      <c r="I194" s="5">
        <v>359.67</v>
      </c>
      <c r="J194" s="5">
        <f t="shared" si="6"/>
        <v>4640.33</v>
      </c>
      <c r="K194" s="3" t="s">
        <v>32</v>
      </c>
    </row>
    <row r="195" spans="1:11" x14ac:dyDescent="0.25">
      <c r="A195" s="6" t="s">
        <v>408</v>
      </c>
      <c r="B195" s="7" t="s">
        <v>110</v>
      </c>
      <c r="C195" s="14" t="s">
        <v>409</v>
      </c>
      <c r="D195" s="7" t="s">
        <v>39</v>
      </c>
      <c r="E195" s="7" t="s">
        <v>23</v>
      </c>
      <c r="F195" s="7" t="s">
        <v>43</v>
      </c>
      <c r="G195" s="11"/>
      <c r="H195" s="9">
        <v>350</v>
      </c>
      <c r="I195" s="9">
        <v>0</v>
      </c>
      <c r="J195" s="9"/>
      <c r="K195" s="7" t="s">
        <v>44</v>
      </c>
    </row>
    <row r="196" spans="1:11" x14ac:dyDescent="0.25">
      <c r="A196" s="2" t="s">
        <v>410</v>
      </c>
      <c r="B196" s="3" t="s">
        <v>20</v>
      </c>
      <c r="C196" s="13" t="s">
        <v>284</v>
      </c>
      <c r="D196" s="3" t="s">
        <v>29</v>
      </c>
      <c r="E196" s="3" t="s">
        <v>16</v>
      </c>
      <c r="F196" s="3" t="s">
        <v>78</v>
      </c>
      <c r="G196" s="4">
        <v>4</v>
      </c>
      <c r="H196" s="5">
        <v>59</v>
      </c>
      <c r="I196" s="5">
        <v>6.23</v>
      </c>
      <c r="J196" s="5">
        <f>(G196*H196)-I196</f>
        <v>229.77</v>
      </c>
      <c r="K196" s="3" t="s">
        <v>32</v>
      </c>
    </row>
    <row r="197" spans="1:11" x14ac:dyDescent="0.25">
      <c r="A197" s="6" t="s">
        <v>411</v>
      </c>
      <c r="B197" s="7" t="s">
        <v>37</v>
      </c>
      <c r="C197" s="14" t="s">
        <v>412</v>
      </c>
      <c r="D197" s="7" t="s">
        <v>47</v>
      </c>
      <c r="E197" s="7" t="s">
        <v>30</v>
      </c>
      <c r="F197" s="7" t="s">
        <v>68</v>
      </c>
      <c r="G197" s="8">
        <v>1</v>
      </c>
      <c r="H197" s="9">
        <v>799</v>
      </c>
      <c r="I197" s="9">
        <v>2.2999999999999998</v>
      </c>
      <c r="J197" s="9">
        <f>(G197*H197)-I197</f>
        <v>796.7</v>
      </c>
      <c r="K197" s="7" t="s">
        <v>49</v>
      </c>
    </row>
    <row r="198" spans="1:11" x14ac:dyDescent="0.25">
      <c r="A198" s="2" t="s">
        <v>413</v>
      </c>
      <c r="B198" s="3" t="s">
        <v>37</v>
      </c>
      <c r="C198" s="13" t="s">
        <v>397</v>
      </c>
      <c r="D198" s="3" t="s">
        <v>29</v>
      </c>
      <c r="E198" s="3" t="s">
        <v>23</v>
      </c>
      <c r="F198" s="3" t="s">
        <v>48</v>
      </c>
      <c r="G198" s="10"/>
      <c r="H198" s="5">
        <v>450</v>
      </c>
      <c r="I198" s="5">
        <v>38.090000000000003</v>
      </c>
      <c r="J198" s="5"/>
      <c r="K198" s="3" t="s">
        <v>44</v>
      </c>
    </row>
    <row r="199" spans="1:11" x14ac:dyDescent="0.25">
      <c r="A199" s="6" t="s">
        <v>414</v>
      </c>
      <c r="B199" s="7" t="s">
        <v>55</v>
      </c>
      <c r="C199" s="14" t="s">
        <v>415</v>
      </c>
      <c r="D199" s="7" t="s">
        <v>39</v>
      </c>
      <c r="E199" s="7" t="s">
        <v>52</v>
      </c>
      <c r="F199" s="7" t="s">
        <v>75</v>
      </c>
      <c r="G199" s="8">
        <v>3</v>
      </c>
      <c r="H199" s="9">
        <v>249</v>
      </c>
      <c r="I199" s="9">
        <v>32.880000000000003</v>
      </c>
      <c r="J199" s="9">
        <f t="shared" ref="J199:J230" si="7">(G199*H199)-I199</f>
        <v>714.12</v>
      </c>
      <c r="K199" s="7" t="s">
        <v>65</v>
      </c>
    </row>
    <row r="200" spans="1:11" x14ac:dyDescent="0.25">
      <c r="A200" s="2" t="s">
        <v>416</v>
      </c>
      <c r="B200" s="3" t="s">
        <v>13</v>
      </c>
      <c r="C200" s="13" t="s">
        <v>417</v>
      </c>
      <c r="D200" s="3" t="s">
        <v>39</v>
      </c>
      <c r="E200" s="3" t="s">
        <v>30</v>
      </c>
      <c r="F200" s="3" t="s">
        <v>152</v>
      </c>
      <c r="G200" s="4">
        <v>4</v>
      </c>
      <c r="H200" s="5">
        <v>4500</v>
      </c>
      <c r="I200" s="5">
        <v>1143.76</v>
      </c>
      <c r="J200" s="5">
        <f t="shared" si="7"/>
        <v>16856.240000000002</v>
      </c>
      <c r="K200" s="3" t="s">
        <v>65</v>
      </c>
    </row>
    <row r="201" spans="1:11" x14ac:dyDescent="0.25">
      <c r="A201" s="6" t="s">
        <v>418</v>
      </c>
      <c r="B201" s="7" t="s">
        <v>20</v>
      </c>
      <c r="C201" s="14" t="s">
        <v>392</v>
      </c>
      <c r="D201" s="7" t="s">
        <v>47</v>
      </c>
      <c r="E201" s="7" t="s">
        <v>23</v>
      </c>
      <c r="F201" s="7" t="s">
        <v>43</v>
      </c>
      <c r="G201" s="8">
        <v>3</v>
      </c>
      <c r="H201" s="9">
        <v>350</v>
      </c>
      <c r="I201" s="9">
        <v>0</v>
      </c>
      <c r="J201" s="9">
        <f t="shared" si="7"/>
        <v>1050</v>
      </c>
      <c r="K201" s="7" t="s">
        <v>49</v>
      </c>
    </row>
    <row r="202" spans="1:11" x14ac:dyDescent="0.25">
      <c r="A202" s="2" t="s">
        <v>419</v>
      </c>
      <c r="B202" s="3" t="s">
        <v>63</v>
      </c>
      <c r="C202" s="13" t="s">
        <v>329</v>
      </c>
      <c r="D202" s="3" t="s">
        <v>22</v>
      </c>
      <c r="E202" s="3" t="s">
        <v>23</v>
      </c>
      <c r="F202" s="3" t="s">
        <v>43</v>
      </c>
      <c r="G202" s="4">
        <v>3</v>
      </c>
      <c r="H202" s="5">
        <v>350</v>
      </c>
      <c r="I202" s="5">
        <v>0</v>
      </c>
      <c r="J202" s="5">
        <f t="shared" si="7"/>
        <v>1050</v>
      </c>
      <c r="K202" s="3" t="s">
        <v>69</v>
      </c>
    </row>
    <row r="203" spans="1:11" x14ac:dyDescent="0.25">
      <c r="A203" s="6" t="s">
        <v>420</v>
      </c>
      <c r="B203" s="7" t="s">
        <v>55</v>
      </c>
      <c r="C203" s="14" t="s">
        <v>421</v>
      </c>
      <c r="D203" s="7" t="s">
        <v>22</v>
      </c>
      <c r="E203" s="7" t="s">
        <v>23</v>
      </c>
      <c r="F203" s="7" t="s">
        <v>48</v>
      </c>
      <c r="G203" s="8">
        <v>2</v>
      </c>
      <c r="H203" s="9">
        <v>450</v>
      </c>
      <c r="I203" s="9">
        <v>117.54</v>
      </c>
      <c r="J203" s="9">
        <f t="shared" si="7"/>
        <v>782.46</v>
      </c>
      <c r="K203" s="7" t="s">
        <v>49</v>
      </c>
    </row>
    <row r="204" spans="1:11" x14ac:dyDescent="0.25">
      <c r="A204" s="2" t="s">
        <v>422</v>
      </c>
      <c r="B204" s="3" t="s">
        <v>55</v>
      </c>
      <c r="C204" s="13" t="s">
        <v>423</v>
      </c>
      <c r="D204" s="3" t="s">
        <v>15</v>
      </c>
      <c r="E204" s="3" t="s">
        <v>30</v>
      </c>
      <c r="F204" s="3" t="s">
        <v>152</v>
      </c>
      <c r="G204" s="4">
        <v>5</v>
      </c>
      <c r="H204" s="5">
        <v>4500</v>
      </c>
      <c r="I204" s="5">
        <v>0</v>
      </c>
      <c r="J204" s="5">
        <f t="shared" si="7"/>
        <v>22500</v>
      </c>
      <c r="K204" s="3" t="s">
        <v>18</v>
      </c>
    </row>
    <row r="205" spans="1:11" x14ac:dyDescent="0.25">
      <c r="A205" s="6" t="s">
        <v>424</v>
      </c>
      <c r="B205" s="7" t="s">
        <v>63</v>
      </c>
      <c r="C205" s="14" t="s">
        <v>425</v>
      </c>
      <c r="D205" s="7" t="s">
        <v>47</v>
      </c>
      <c r="E205" s="7" t="s">
        <v>23</v>
      </c>
      <c r="F205" s="7" t="s">
        <v>48</v>
      </c>
      <c r="G205" s="8">
        <v>4</v>
      </c>
      <c r="H205" s="9">
        <v>450</v>
      </c>
      <c r="I205" s="9">
        <v>178.86</v>
      </c>
      <c r="J205" s="9">
        <f t="shared" si="7"/>
        <v>1621.1399999999999</v>
      </c>
      <c r="K205" s="7" t="s">
        <v>49</v>
      </c>
    </row>
    <row r="206" spans="1:11" x14ac:dyDescent="0.25">
      <c r="A206" s="2" t="s">
        <v>426</v>
      </c>
      <c r="B206" s="3" t="s">
        <v>101</v>
      </c>
      <c r="C206" s="13" t="s">
        <v>427</v>
      </c>
      <c r="D206" s="3" t="s">
        <v>22</v>
      </c>
      <c r="E206" s="3" t="s">
        <v>30</v>
      </c>
      <c r="F206" s="3" t="s">
        <v>68</v>
      </c>
      <c r="G206" s="4">
        <v>4</v>
      </c>
      <c r="H206" s="5">
        <v>799</v>
      </c>
      <c r="I206" s="5">
        <v>0</v>
      </c>
      <c r="J206" s="5">
        <f t="shared" si="7"/>
        <v>3196</v>
      </c>
      <c r="K206" s="3" t="s">
        <v>44</v>
      </c>
    </row>
    <row r="207" spans="1:11" x14ac:dyDescent="0.25">
      <c r="A207" s="6" t="s">
        <v>428</v>
      </c>
      <c r="B207" s="7" t="s">
        <v>20</v>
      </c>
      <c r="C207" s="14" t="s">
        <v>429</v>
      </c>
      <c r="D207" s="7" t="s">
        <v>22</v>
      </c>
      <c r="E207" s="7" t="s">
        <v>23</v>
      </c>
      <c r="F207" s="7" t="s">
        <v>48</v>
      </c>
      <c r="G207" s="8">
        <v>3</v>
      </c>
      <c r="H207" s="9">
        <v>450</v>
      </c>
      <c r="I207" s="9">
        <v>0</v>
      </c>
      <c r="J207" s="9">
        <f t="shared" si="7"/>
        <v>1350</v>
      </c>
      <c r="K207" s="7" t="s">
        <v>25</v>
      </c>
    </row>
    <row r="208" spans="1:11" x14ac:dyDescent="0.25">
      <c r="A208" s="2" t="s">
        <v>430</v>
      </c>
      <c r="B208" s="3" t="s">
        <v>34</v>
      </c>
      <c r="C208" s="13" t="s">
        <v>431</v>
      </c>
      <c r="D208" s="3" t="s">
        <v>29</v>
      </c>
      <c r="E208" s="3" t="s">
        <v>16</v>
      </c>
      <c r="F208" s="3" t="s">
        <v>78</v>
      </c>
      <c r="G208" s="4">
        <v>2</v>
      </c>
      <c r="H208" s="5">
        <v>59</v>
      </c>
      <c r="I208" s="5">
        <v>0</v>
      </c>
      <c r="J208" s="5">
        <f t="shared" si="7"/>
        <v>118</v>
      </c>
      <c r="K208" s="3" t="s">
        <v>49</v>
      </c>
    </row>
    <row r="209" spans="1:11" x14ac:dyDescent="0.25">
      <c r="A209" s="6" t="s">
        <v>432</v>
      </c>
      <c r="B209" s="7" t="s">
        <v>63</v>
      </c>
      <c r="C209" s="14" t="s">
        <v>433</v>
      </c>
      <c r="D209" s="7" t="s">
        <v>29</v>
      </c>
      <c r="E209" s="7" t="s">
        <v>16</v>
      </c>
      <c r="F209" s="7" t="s">
        <v>103</v>
      </c>
      <c r="G209" s="8">
        <v>4</v>
      </c>
      <c r="H209" s="9">
        <v>89</v>
      </c>
      <c r="I209" s="9">
        <v>0</v>
      </c>
      <c r="J209" s="9">
        <f t="shared" si="7"/>
        <v>356</v>
      </c>
      <c r="K209" s="7" t="s">
        <v>18</v>
      </c>
    </row>
    <row r="210" spans="1:11" x14ac:dyDescent="0.25">
      <c r="A210" s="2" t="s">
        <v>434</v>
      </c>
      <c r="B210" s="3" t="s">
        <v>41</v>
      </c>
      <c r="C210" s="13" t="s">
        <v>435</v>
      </c>
      <c r="D210" s="3" t="s">
        <v>15</v>
      </c>
      <c r="E210" s="3" t="s">
        <v>16</v>
      </c>
      <c r="F210" s="3" t="s">
        <v>17</v>
      </c>
      <c r="G210" s="4">
        <v>2</v>
      </c>
      <c r="H210" s="5">
        <v>39</v>
      </c>
      <c r="I210" s="5">
        <v>7.72</v>
      </c>
      <c r="J210" s="5">
        <f t="shared" si="7"/>
        <v>70.28</v>
      </c>
      <c r="K210" s="3" t="s">
        <v>69</v>
      </c>
    </row>
    <row r="211" spans="1:11" x14ac:dyDescent="0.25">
      <c r="A211" s="6" t="s">
        <v>436</v>
      </c>
      <c r="B211" s="7" t="s">
        <v>110</v>
      </c>
      <c r="C211" s="14" t="s">
        <v>437</v>
      </c>
      <c r="D211" s="7" t="s">
        <v>39</v>
      </c>
      <c r="E211" s="7" t="s">
        <v>23</v>
      </c>
      <c r="F211" s="7" t="s">
        <v>88</v>
      </c>
      <c r="G211" s="8">
        <v>4</v>
      </c>
      <c r="H211" s="9">
        <v>650</v>
      </c>
      <c r="I211" s="9">
        <v>46.67</v>
      </c>
      <c r="J211" s="9">
        <f t="shared" si="7"/>
        <v>2553.33</v>
      </c>
      <c r="K211" s="7" t="s">
        <v>65</v>
      </c>
    </row>
    <row r="212" spans="1:11" x14ac:dyDescent="0.25">
      <c r="A212" s="2" t="s">
        <v>438</v>
      </c>
      <c r="B212" s="3" t="s">
        <v>41</v>
      </c>
      <c r="C212" s="13" t="s">
        <v>439</v>
      </c>
      <c r="D212" s="3" t="s">
        <v>29</v>
      </c>
      <c r="E212" s="3" t="s">
        <v>16</v>
      </c>
      <c r="F212" s="3" t="s">
        <v>17</v>
      </c>
      <c r="G212" s="4">
        <v>2</v>
      </c>
      <c r="H212" s="5">
        <v>39</v>
      </c>
      <c r="I212" s="5">
        <v>2.52</v>
      </c>
      <c r="J212" s="5">
        <f t="shared" si="7"/>
        <v>75.48</v>
      </c>
      <c r="K212" s="3" t="s">
        <v>18</v>
      </c>
    </row>
    <row r="213" spans="1:11" x14ac:dyDescent="0.25">
      <c r="A213" s="6" t="s">
        <v>440</v>
      </c>
      <c r="B213" s="7" t="s">
        <v>55</v>
      </c>
      <c r="C213" s="14" t="s">
        <v>441</v>
      </c>
      <c r="D213" s="7" t="s">
        <v>22</v>
      </c>
      <c r="E213" s="7" t="s">
        <v>30</v>
      </c>
      <c r="F213" s="7" t="s">
        <v>31</v>
      </c>
      <c r="G213" s="8">
        <v>5</v>
      </c>
      <c r="H213" s="9">
        <v>2500</v>
      </c>
      <c r="I213" s="9">
        <v>0</v>
      </c>
      <c r="J213" s="9">
        <f t="shared" si="7"/>
        <v>12500</v>
      </c>
      <c r="K213" s="7" t="s">
        <v>18</v>
      </c>
    </row>
    <row r="214" spans="1:11" x14ac:dyDescent="0.25">
      <c r="A214" s="2" t="s">
        <v>442</v>
      </c>
      <c r="B214" s="3" t="s">
        <v>63</v>
      </c>
      <c r="C214" s="13" t="s">
        <v>443</v>
      </c>
      <c r="D214" s="3" t="s">
        <v>47</v>
      </c>
      <c r="E214" s="3" t="s">
        <v>16</v>
      </c>
      <c r="F214" s="3" t="s">
        <v>103</v>
      </c>
      <c r="G214" s="4">
        <v>3</v>
      </c>
      <c r="H214" s="5">
        <v>89</v>
      </c>
      <c r="I214" s="5">
        <v>0</v>
      </c>
      <c r="J214" s="5">
        <f t="shared" si="7"/>
        <v>267</v>
      </c>
      <c r="K214" s="3" t="s">
        <v>49</v>
      </c>
    </row>
    <row r="215" spans="1:11" x14ac:dyDescent="0.25">
      <c r="A215" s="6" t="s">
        <v>444</v>
      </c>
      <c r="B215" s="7" t="s">
        <v>101</v>
      </c>
      <c r="C215" s="14" t="s">
        <v>83</v>
      </c>
      <c r="D215" s="7" t="s">
        <v>15</v>
      </c>
      <c r="E215" s="7" t="s">
        <v>23</v>
      </c>
      <c r="F215" s="7" t="s">
        <v>24</v>
      </c>
      <c r="G215" s="8">
        <v>2</v>
      </c>
      <c r="H215" s="9">
        <v>180</v>
      </c>
      <c r="I215" s="9">
        <v>0</v>
      </c>
      <c r="J215" s="9">
        <f t="shared" si="7"/>
        <v>360</v>
      </c>
      <c r="K215" s="7" t="s">
        <v>44</v>
      </c>
    </row>
    <row r="216" spans="1:11" x14ac:dyDescent="0.25">
      <c r="A216" s="2" t="s">
        <v>445</v>
      </c>
      <c r="B216" s="3" t="s">
        <v>63</v>
      </c>
      <c r="C216" s="13" t="s">
        <v>446</v>
      </c>
      <c r="D216" s="3" t="s">
        <v>22</v>
      </c>
      <c r="E216" s="3" t="s">
        <v>23</v>
      </c>
      <c r="F216" s="3" t="s">
        <v>43</v>
      </c>
      <c r="G216" s="4">
        <v>2</v>
      </c>
      <c r="H216" s="5">
        <v>350</v>
      </c>
      <c r="I216" s="5">
        <v>101.57</v>
      </c>
      <c r="J216" s="5">
        <f t="shared" si="7"/>
        <v>598.43000000000006</v>
      </c>
      <c r="K216" s="3" t="s">
        <v>49</v>
      </c>
    </row>
    <row r="217" spans="1:11" x14ac:dyDescent="0.25">
      <c r="A217" s="6" t="s">
        <v>447</v>
      </c>
      <c r="B217" s="7" t="s">
        <v>55</v>
      </c>
      <c r="C217" s="14" t="s">
        <v>183</v>
      </c>
      <c r="D217" s="7" t="s">
        <v>29</v>
      </c>
      <c r="E217" s="7" t="s">
        <v>52</v>
      </c>
      <c r="F217" s="7" t="s">
        <v>53</v>
      </c>
      <c r="G217" s="8">
        <v>1</v>
      </c>
      <c r="H217" s="9">
        <v>149</v>
      </c>
      <c r="I217" s="9">
        <v>16.59</v>
      </c>
      <c r="J217" s="9">
        <f t="shared" si="7"/>
        <v>132.41</v>
      </c>
      <c r="K217" s="7" t="s">
        <v>44</v>
      </c>
    </row>
    <row r="218" spans="1:11" x14ac:dyDescent="0.25">
      <c r="A218" s="2" t="s">
        <v>448</v>
      </c>
      <c r="B218" s="3" t="s">
        <v>101</v>
      </c>
      <c r="C218" s="13" t="s">
        <v>449</v>
      </c>
      <c r="D218" s="3" t="s">
        <v>39</v>
      </c>
      <c r="E218" s="3" t="s">
        <v>30</v>
      </c>
      <c r="F218" s="3" t="s">
        <v>152</v>
      </c>
      <c r="G218" s="4">
        <v>1</v>
      </c>
      <c r="H218" s="5">
        <v>4500</v>
      </c>
      <c r="I218" s="5">
        <v>0</v>
      </c>
      <c r="J218" s="5">
        <f t="shared" si="7"/>
        <v>4500</v>
      </c>
      <c r="K218" s="3" t="s">
        <v>18</v>
      </c>
    </row>
    <row r="219" spans="1:11" x14ac:dyDescent="0.25">
      <c r="A219" s="6" t="s">
        <v>450</v>
      </c>
      <c r="B219" s="7" t="s">
        <v>55</v>
      </c>
      <c r="C219" s="14" t="s">
        <v>344</v>
      </c>
      <c r="D219" s="7" t="s">
        <v>39</v>
      </c>
      <c r="E219" s="7" t="s">
        <v>16</v>
      </c>
      <c r="F219" s="7" t="s">
        <v>17</v>
      </c>
      <c r="G219" s="8">
        <v>2</v>
      </c>
      <c r="H219" s="9">
        <v>39</v>
      </c>
      <c r="I219" s="9">
        <v>0</v>
      </c>
      <c r="J219" s="9">
        <f t="shared" si="7"/>
        <v>78</v>
      </c>
      <c r="K219" s="7" t="s">
        <v>44</v>
      </c>
    </row>
    <row r="220" spans="1:11" x14ac:dyDescent="0.25">
      <c r="A220" s="2" t="s">
        <v>451</v>
      </c>
      <c r="B220" s="3" t="s">
        <v>110</v>
      </c>
      <c r="C220" s="13" t="s">
        <v>452</v>
      </c>
      <c r="D220" s="3" t="s">
        <v>47</v>
      </c>
      <c r="E220" s="3" t="s">
        <v>23</v>
      </c>
      <c r="F220" s="3" t="s">
        <v>88</v>
      </c>
      <c r="G220" s="4">
        <v>3</v>
      </c>
      <c r="H220" s="5">
        <v>650</v>
      </c>
      <c r="I220" s="5">
        <v>0</v>
      </c>
      <c r="J220" s="5">
        <f t="shared" si="7"/>
        <v>1950</v>
      </c>
      <c r="K220" s="3" t="s">
        <v>69</v>
      </c>
    </row>
    <row r="221" spans="1:11" x14ac:dyDescent="0.25">
      <c r="A221" s="6" t="s">
        <v>453</v>
      </c>
      <c r="B221" s="7" t="s">
        <v>34</v>
      </c>
      <c r="C221" s="14" t="s">
        <v>454</v>
      </c>
      <c r="D221" s="7" t="s">
        <v>47</v>
      </c>
      <c r="E221" s="7" t="s">
        <v>30</v>
      </c>
      <c r="F221" s="7" t="s">
        <v>152</v>
      </c>
      <c r="G221" s="8">
        <v>1</v>
      </c>
      <c r="H221" s="9">
        <v>4500</v>
      </c>
      <c r="I221" s="9">
        <v>668.36</v>
      </c>
      <c r="J221" s="9">
        <f t="shared" si="7"/>
        <v>3831.64</v>
      </c>
      <c r="K221" s="7" t="s">
        <v>89</v>
      </c>
    </row>
    <row r="222" spans="1:11" x14ac:dyDescent="0.25">
      <c r="A222" s="2" t="s">
        <v>455</v>
      </c>
      <c r="B222" s="3" t="s">
        <v>101</v>
      </c>
      <c r="C222" s="13" t="s">
        <v>456</v>
      </c>
      <c r="D222" s="3" t="s">
        <v>47</v>
      </c>
      <c r="E222" s="3" t="s">
        <v>23</v>
      </c>
      <c r="F222" s="3" t="s">
        <v>88</v>
      </c>
      <c r="G222" s="4">
        <v>5</v>
      </c>
      <c r="H222" s="5">
        <v>650</v>
      </c>
      <c r="I222" s="5">
        <v>55.27</v>
      </c>
      <c r="J222" s="5">
        <f t="shared" si="7"/>
        <v>3194.73</v>
      </c>
      <c r="K222" s="3" t="s">
        <v>44</v>
      </c>
    </row>
    <row r="223" spans="1:11" x14ac:dyDescent="0.25">
      <c r="A223" s="6" t="s">
        <v>457</v>
      </c>
      <c r="B223" s="7" t="s">
        <v>20</v>
      </c>
      <c r="C223" s="14" t="s">
        <v>458</v>
      </c>
      <c r="D223" s="7" t="s">
        <v>47</v>
      </c>
      <c r="E223" s="7" t="s">
        <v>23</v>
      </c>
      <c r="F223" s="7" t="s">
        <v>43</v>
      </c>
      <c r="G223" s="8">
        <v>3</v>
      </c>
      <c r="H223" s="9">
        <v>350</v>
      </c>
      <c r="I223" s="9">
        <v>0</v>
      </c>
      <c r="J223" s="9">
        <f t="shared" si="7"/>
        <v>1050</v>
      </c>
      <c r="K223" s="7" t="s">
        <v>32</v>
      </c>
    </row>
    <row r="224" spans="1:11" x14ac:dyDescent="0.25">
      <c r="A224" s="2" t="s">
        <v>459</v>
      </c>
      <c r="B224" s="3" t="s">
        <v>63</v>
      </c>
      <c r="C224" s="13" t="s">
        <v>263</v>
      </c>
      <c r="D224" s="3" t="s">
        <v>39</v>
      </c>
      <c r="E224" s="3" t="s">
        <v>30</v>
      </c>
      <c r="F224" s="3" t="s">
        <v>31</v>
      </c>
      <c r="G224" s="4">
        <v>2</v>
      </c>
      <c r="H224" s="5">
        <v>2500</v>
      </c>
      <c r="I224" s="5">
        <v>492.45</v>
      </c>
      <c r="J224" s="5">
        <f t="shared" si="7"/>
        <v>4507.55</v>
      </c>
      <c r="K224" s="3" t="s">
        <v>25</v>
      </c>
    </row>
    <row r="225" spans="1:11" x14ac:dyDescent="0.25">
      <c r="A225" s="6" t="s">
        <v>460</v>
      </c>
      <c r="B225" s="7" t="s">
        <v>20</v>
      </c>
      <c r="C225" s="14" t="s">
        <v>461</v>
      </c>
      <c r="D225" s="7" t="s">
        <v>15</v>
      </c>
      <c r="E225" s="7" t="s">
        <v>52</v>
      </c>
      <c r="F225" s="7" t="s">
        <v>75</v>
      </c>
      <c r="G225" s="8">
        <v>5</v>
      </c>
      <c r="H225" s="9">
        <v>249</v>
      </c>
      <c r="I225" s="9">
        <v>0</v>
      </c>
      <c r="J225" s="9">
        <f t="shared" si="7"/>
        <v>1245</v>
      </c>
      <c r="K225" s="7" t="s">
        <v>25</v>
      </c>
    </row>
    <row r="226" spans="1:11" x14ac:dyDescent="0.25">
      <c r="A226" s="2" t="s">
        <v>462</v>
      </c>
      <c r="B226" s="3" t="s">
        <v>55</v>
      </c>
      <c r="C226" s="13" t="s">
        <v>263</v>
      </c>
      <c r="D226" s="3" t="s">
        <v>149</v>
      </c>
      <c r="E226" s="3" t="s">
        <v>52</v>
      </c>
      <c r="F226" s="3" t="s">
        <v>99</v>
      </c>
      <c r="G226" s="4">
        <v>3</v>
      </c>
      <c r="H226" s="5">
        <v>79</v>
      </c>
      <c r="I226" s="5">
        <v>23.43</v>
      </c>
      <c r="J226" s="5">
        <f t="shared" si="7"/>
        <v>213.57</v>
      </c>
      <c r="K226" s="3" t="s">
        <v>69</v>
      </c>
    </row>
    <row r="227" spans="1:11" x14ac:dyDescent="0.25">
      <c r="A227" s="6" t="s">
        <v>463</v>
      </c>
      <c r="B227" s="7" t="s">
        <v>27</v>
      </c>
      <c r="C227" s="14" t="s">
        <v>464</v>
      </c>
      <c r="D227" s="7" t="s">
        <v>47</v>
      </c>
      <c r="E227" s="7" t="s">
        <v>52</v>
      </c>
      <c r="F227" s="7" t="s">
        <v>99</v>
      </c>
      <c r="G227" s="8">
        <v>2</v>
      </c>
      <c r="H227" s="9">
        <v>79</v>
      </c>
      <c r="I227" s="9">
        <v>4.4400000000000004</v>
      </c>
      <c r="J227" s="9">
        <f t="shared" si="7"/>
        <v>153.56</v>
      </c>
      <c r="K227" s="7" t="s">
        <v>89</v>
      </c>
    </row>
    <row r="228" spans="1:11" x14ac:dyDescent="0.25">
      <c r="A228" s="2" t="s">
        <v>465</v>
      </c>
      <c r="B228" s="3" t="s">
        <v>20</v>
      </c>
      <c r="C228" s="13" t="s">
        <v>466</v>
      </c>
      <c r="D228" s="3" t="s">
        <v>47</v>
      </c>
      <c r="E228" s="3" t="s">
        <v>23</v>
      </c>
      <c r="F228" s="3" t="s">
        <v>43</v>
      </c>
      <c r="G228" s="4">
        <v>1</v>
      </c>
      <c r="H228" s="5">
        <v>350</v>
      </c>
      <c r="I228" s="5">
        <v>20.440000000000001</v>
      </c>
      <c r="J228" s="5">
        <f t="shared" si="7"/>
        <v>329.56</v>
      </c>
      <c r="K228" s="3" t="s">
        <v>49</v>
      </c>
    </row>
    <row r="229" spans="1:11" x14ac:dyDescent="0.25">
      <c r="A229" s="6" t="s">
        <v>467</v>
      </c>
      <c r="B229" s="7" t="s">
        <v>110</v>
      </c>
      <c r="C229" s="14" t="s">
        <v>250</v>
      </c>
      <c r="D229" s="7" t="s">
        <v>22</v>
      </c>
      <c r="E229" s="7" t="s">
        <v>30</v>
      </c>
      <c r="F229" s="7" t="s">
        <v>152</v>
      </c>
      <c r="G229" s="8">
        <v>1</v>
      </c>
      <c r="H229" s="9">
        <v>4500</v>
      </c>
      <c r="I229" s="9">
        <v>0</v>
      </c>
      <c r="J229" s="9">
        <f t="shared" si="7"/>
        <v>4500</v>
      </c>
      <c r="K229" s="7" t="s">
        <v>32</v>
      </c>
    </row>
    <row r="230" spans="1:11" x14ac:dyDescent="0.25">
      <c r="A230" s="2" t="s">
        <v>468</v>
      </c>
      <c r="B230" s="3" t="s">
        <v>20</v>
      </c>
      <c r="C230" s="13" t="s">
        <v>469</v>
      </c>
      <c r="D230" s="3" t="s">
        <v>39</v>
      </c>
      <c r="E230" s="3" t="s">
        <v>23</v>
      </c>
      <c r="F230" s="3" t="s">
        <v>24</v>
      </c>
      <c r="G230" s="4">
        <v>2</v>
      </c>
      <c r="H230" s="5">
        <v>180</v>
      </c>
      <c r="I230" s="5">
        <v>0</v>
      </c>
      <c r="J230" s="5">
        <f t="shared" si="7"/>
        <v>360</v>
      </c>
      <c r="K230" s="3" t="s">
        <v>69</v>
      </c>
    </row>
    <row r="231" spans="1:11" x14ac:dyDescent="0.25">
      <c r="A231" s="6" t="s">
        <v>470</v>
      </c>
      <c r="B231" s="7" t="s">
        <v>101</v>
      </c>
      <c r="C231" s="14" t="s">
        <v>471</v>
      </c>
      <c r="D231" s="7" t="s">
        <v>22</v>
      </c>
      <c r="E231" s="7" t="s">
        <v>16</v>
      </c>
      <c r="F231" s="7" t="s">
        <v>17</v>
      </c>
      <c r="G231" s="8">
        <v>5</v>
      </c>
      <c r="H231" s="9">
        <v>39</v>
      </c>
      <c r="I231" s="9">
        <v>0</v>
      </c>
      <c r="J231" s="9">
        <f t="shared" ref="J231:J262" si="8">(G231*H231)-I231</f>
        <v>195</v>
      </c>
      <c r="K231" s="7" t="s">
        <v>69</v>
      </c>
    </row>
    <row r="232" spans="1:11" x14ac:dyDescent="0.25">
      <c r="A232" s="2" t="s">
        <v>472</v>
      </c>
      <c r="B232" s="3" t="s">
        <v>34</v>
      </c>
      <c r="C232" s="13" t="s">
        <v>473</v>
      </c>
      <c r="D232" s="3" t="s">
        <v>22</v>
      </c>
      <c r="E232" s="3" t="s">
        <v>16</v>
      </c>
      <c r="F232" s="3" t="s">
        <v>17</v>
      </c>
      <c r="G232" s="4">
        <v>3</v>
      </c>
      <c r="H232" s="5">
        <v>39</v>
      </c>
      <c r="I232" s="5">
        <v>16.07</v>
      </c>
      <c r="J232" s="5">
        <f t="shared" si="8"/>
        <v>100.93</v>
      </c>
      <c r="K232" s="3" t="s">
        <v>25</v>
      </c>
    </row>
    <row r="233" spans="1:11" x14ac:dyDescent="0.25">
      <c r="A233" s="6" t="s">
        <v>474</v>
      </c>
      <c r="B233" s="7" t="s">
        <v>63</v>
      </c>
      <c r="C233" s="14" t="s">
        <v>388</v>
      </c>
      <c r="D233" s="7" t="s">
        <v>15</v>
      </c>
      <c r="E233" s="7" t="s">
        <v>30</v>
      </c>
      <c r="F233" s="7" t="s">
        <v>152</v>
      </c>
      <c r="G233" s="8">
        <v>2</v>
      </c>
      <c r="H233" s="9">
        <v>4500</v>
      </c>
      <c r="I233" s="9">
        <v>659.98</v>
      </c>
      <c r="J233" s="9">
        <f t="shared" si="8"/>
        <v>8340.02</v>
      </c>
      <c r="K233" s="7" t="s">
        <v>49</v>
      </c>
    </row>
    <row r="234" spans="1:11" x14ac:dyDescent="0.25">
      <c r="A234" s="2" t="s">
        <v>475</v>
      </c>
      <c r="B234" s="3" t="s">
        <v>13</v>
      </c>
      <c r="C234" s="13" t="s">
        <v>476</v>
      </c>
      <c r="D234" s="3" t="s">
        <v>29</v>
      </c>
      <c r="E234" s="3" t="s">
        <v>52</v>
      </c>
      <c r="F234" s="3" t="s">
        <v>61</v>
      </c>
      <c r="G234" s="4">
        <v>2</v>
      </c>
      <c r="H234" s="5">
        <v>199</v>
      </c>
      <c r="I234" s="5">
        <v>15.6</v>
      </c>
      <c r="J234" s="5">
        <f t="shared" si="8"/>
        <v>382.4</v>
      </c>
      <c r="K234" s="3" t="s">
        <v>69</v>
      </c>
    </row>
    <row r="235" spans="1:11" x14ac:dyDescent="0.25">
      <c r="A235" s="6" t="s">
        <v>477</v>
      </c>
      <c r="B235" s="7" t="s">
        <v>55</v>
      </c>
      <c r="C235" s="14" t="s">
        <v>362</v>
      </c>
      <c r="D235" s="7" t="s">
        <v>39</v>
      </c>
      <c r="E235" s="7" t="s">
        <v>23</v>
      </c>
      <c r="F235" s="7" t="s">
        <v>88</v>
      </c>
      <c r="G235" s="8">
        <v>4</v>
      </c>
      <c r="H235" s="9">
        <v>650</v>
      </c>
      <c r="I235" s="9">
        <v>368.7</v>
      </c>
      <c r="J235" s="9">
        <f t="shared" si="8"/>
        <v>2231.3000000000002</v>
      </c>
      <c r="K235" s="7" t="s">
        <v>32</v>
      </c>
    </row>
    <row r="236" spans="1:11" x14ac:dyDescent="0.25">
      <c r="A236" s="2" t="s">
        <v>478</v>
      </c>
      <c r="B236" s="3" t="s">
        <v>110</v>
      </c>
      <c r="C236" s="13" t="s">
        <v>151</v>
      </c>
      <c r="D236" s="3" t="s">
        <v>29</v>
      </c>
      <c r="E236" s="3" t="s">
        <v>52</v>
      </c>
      <c r="F236" s="3" t="s">
        <v>75</v>
      </c>
      <c r="G236" s="4">
        <v>2</v>
      </c>
      <c r="H236" s="5">
        <v>249</v>
      </c>
      <c r="I236" s="5">
        <v>64.17</v>
      </c>
      <c r="J236" s="5">
        <f t="shared" si="8"/>
        <v>433.83</v>
      </c>
      <c r="K236" s="3" t="s">
        <v>89</v>
      </c>
    </row>
    <row r="237" spans="1:11" x14ac:dyDescent="0.25">
      <c r="A237" s="6" t="s">
        <v>479</v>
      </c>
      <c r="B237" s="7" t="s">
        <v>95</v>
      </c>
      <c r="C237" s="14" t="s">
        <v>480</v>
      </c>
      <c r="D237" s="7" t="s">
        <v>15</v>
      </c>
      <c r="E237" s="7" t="s">
        <v>30</v>
      </c>
      <c r="F237" s="7" t="s">
        <v>31</v>
      </c>
      <c r="G237" s="8">
        <v>3</v>
      </c>
      <c r="H237" s="9">
        <v>2500</v>
      </c>
      <c r="I237" s="9">
        <v>649.45000000000005</v>
      </c>
      <c r="J237" s="9">
        <f t="shared" si="8"/>
        <v>6850.55</v>
      </c>
      <c r="K237" s="7" t="s">
        <v>25</v>
      </c>
    </row>
    <row r="238" spans="1:11" x14ac:dyDescent="0.25">
      <c r="A238" s="2" t="s">
        <v>481</v>
      </c>
      <c r="B238" s="3" t="s">
        <v>20</v>
      </c>
      <c r="C238" s="13" t="s">
        <v>482</v>
      </c>
      <c r="D238" s="3" t="s">
        <v>149</v>
      </c>
      <c r="E238" s="3" t="s">
        <v>52</v>
      </c>
      <c r="F238" s="3" t="s">
        <v>99</v>
      </c>
      <c r="G238" s="4">
        <v>5</v>
      </c>
      <c r="H238" s="5">
        <v>79</v>
      </c>
      <c r="I238" s="5">
        <v>31.72</v>
      </c>
      <c r="J238" s="5">
        <f t="shared" si="8"/>
        <v>363.28</v>
      </c>
      <c r="K238" s="3" t="s">
        <v>25</v>
      </c>
    </row>
    <row r="239" spans="1:11" x14ac:dyDescent="0.25">
      <c r="A239" s="6" t="s">
        <v>483</v>
      </c>
      <c r="B239" s="7" t="s">
        <v>34</v>
      </c>
      <c r="C239" s="14" t="s">
        <v>484</v>
      </c>
      <c r="D239" s="7" t="s">
        <v>47</v>
      </c>
      <c r="E239" s="7" t="s">
        <v>30</v>
      </c>
      <c r="F239" s="7" t="s">
        <v>152</v>
      </c>
      <c r="G239" s="8">
        <v>3</v>
      </c>
      <c r="H239" s="9">
        <v>4500</v>
      </c>
      <c r="I239" s="9">
        <v>0</v>
      </c>
      <c r="J239" s="9">
        <f t="shared" si="8"/>
        <v>13500</v>
      </c>
      <c r="K239" s="7" t="s">
        <v>32</v>
      </c>
    </row>
    <row r="240" spans="1:11" x14ac:dyDescent="0.25">
      <c r="A240" s="2" t="s">
        <v>485</v>
      </c>
      <c r="B240" s="3" t="s">
        <v>134</v>
      </c>
      <c r="C240" s="13" t="s">
        <v>486</v>
      </c>
      <c r="D240" s="3" t="s">
        <v>15</v>
      </c>
      <c r="E240" s="3" t="s">
        <v>23</v>
      </c>
      <c r="F240" s="3" t="s">
        <v>43</v>
      </c>
      <c r="G240" s="4">
        <v>2</v>
      </c>
      <c r="H240" s="5">
        <v>350</v>
      </c>
      <c r="I240" s="5">
        <v>0</v>
      </c>
      <c r="J240" s="5">
        <f t="shared" si="8"/>
        <v>700</v>
      </c>
      <c r="K240" s="3" t="s">
        <v>25</v>
      </c>
    </row>
    <row r="241" spans="1:11" x14ac:dyDescent="0.25">
      <c r="A241" s="6" t="s">
        <v>487</v>
      </c>
      <c r="B241" s="7" t="s">
        <v>41</v>
      </c>
      <c r="C241" s="14" t="s">
        <v>488</v>
      </c>
      <c r="D241" s="7" t="s">
        <v>29</v>
      </c>
      <c r="E241" s="7" t="s">
        <v>30</v>
      </c>
      <c r="F241" s="7" t="s">
        <v>31</v>
      </c>
      <c r="G241" s="8">
        <v>5</v>
      </c>
      <c r="H241" s="9">
        <v>2500</v>
      </c>
      <c r="I241" s="9">
        <v>0</v>
      </c>
      <c r="J241" s="9">
        <f t="shared" si="8"/>
        <v>12500</v>
      </c>
      <c r="K241" s="7" t="s">
        <v>49</v>
      </c>
    </row>
    <row r="242" spans="1:11" x14ac:dyDescent="0.25">
      <c r="A242" s="2" t="s">
        <v>489</v>
      </c>
      <c r="B242" s="3" t="s">
        <v>63</v>
      </c>
      <c r="C242" s="13" t="s">
        <v>304</v>
      </c>
      <c r="D242" s="3" t="s">
        <v>29</v>
      </c>
      <c r="E242" s="3" t="s">
        <v>52</v>
      </c>
      <c r="F242" s="3" t="s">
        <v>75</v>
      </c>
      <c r="G242" s="4">
        <v>4</v>
      </c>
      <c r="H242" s="5">
        <v>249</v>
      </c>
      <c r="I242" s="5">
        <v>0</v>
      </c>
      <c r="J242" s="5">
        <f t="shared" si="8"/>
        <v>996</v>
      </c>
      <c r="K242" s="3" t="s">
        <v>89</v>
      </c>
    </row>
    <row r="243" spans="1:11" x14ac:dyDescent="0.25">
      <c r="A243" s="6" t="s">
        <v>490</v>
      </c>
      <c r="B243" s="7" t="s">
        <v>20</v>
      </c>
      <c r="C243" s="14" t="s">
        <v>223</v>
      </c>
      <c r="D243" s="7" t="s">
        <v>22</v>
      </c>
      <c r="E243" s="7" t="s">
        <v>16</v>
      </c>
      <c r="F243" s="7" t="s">
        <v>116</v>
      </c>
      <c r="G243" s="8">
        <v>3</v>
      </c>
      <c r="H243" s="9">
        <v>45</v>
      </c>
      <c r="I243" s="9">
        <v>11.56</v>
      </c>
      <c r="J243" s="9">
        <f t="shared" si="8"/>
        <v>123.44</v>
      </c>
      <c r="K243" s="7" t="s">
        <v>89</v>
      </c>
    </row>
    <row r="244" spans="1:11" x14ac:dyDescent="0.25">
      <c r="A244" s="2" t="s">
        <v>491</v>
      </c>
      <c r="B244" s="3" t="s">
        <v>41</v>
      </c>
      <c r="C244" s="13" t="s">
        <v>492</v>
      </c>
      <c r="D244" s="3" t="s">
        <v>22</v>
      </c>
      <c r="E244" s="3" t="s">
        <v>52</v>
      </c>
      <c r="F244" s="3" t="s">
        <v>75</v>
      </c>
      <c r="G244" s="4">
        <v>5</v>
      </c>
      <c r="H244" s="5">
        <v>249</v>
      </c>
      <c r="I244" s="5">
        <v>0</v>
      </c>
      <c r="J244" s="5">
        <f t="shared" si="8"/>
        <v>1245</v>
      </c>
      <c r="K244" s="3" t="s">
        <v>69</v>
      </c>
    </row>
    <row r="245" spans="1:11" x14ac:dyDescent="0.25">
      <c r="A245" s="6" t="s">
        <v>493</v>
      </c>
      <c r="B245" s="7" t="s">
        <v>55</v>
      </c>
      <c r="C245" s="14" t="s">
        <v>74</v>
      </c>
      <c r="D245" s="7" t="s">
        <v>15</v>
      </c>
      <c r="E245" s="7" t="s">
        <v>23</v>
      </c>
      <c r="F245" s="7" t="s">
        <v>48</v>
      </c>
      <c r="G245" s="8">
        <v>4</v>
      </c>
      <c r="H245" s="9">
        <v>450</v>
      </c>
      <c r="I245" s="9">
        <v>0</v>
      </c>
      <c r="J245" s="9">
        <f t="shared" si="8"/>
        <v>1800</v>
      </c>
      <c r="K245" s="7" t="s">
        <v>69</v>
      </c>
    </row>
    <row r="246" spans="1:11" x14ac:dyDescent="0.25">
      <c r="A246" s="2" t="s">
        <v>494</v>
      </c>
      <c r="B246" s="3" t="s">
        <v>20</v>
      </c>
      <c r="C246" s="13" t="s">
        <v>192</v>
      </c>
      <c r="D246" s="3" t="s">
        <v>15</v>
      </c>
      <c r="E246" s="3" t="s">
        <v>16</v>
      </c>
      <c r="F246" s="3" t="s">
        <v>116</v>
      </c>
      <c r="G246" s="4">
        <v>5</v>
      </c>
      <c r="H246" s="5">
        <v>45</v>
      </c>
      <c r="I246" s="5">
        <v>0</v>
      </c>
      <c r="J246" s="5">
        <f t="shared" si="8"/>
        <v>225</v>
      </c>
      <c r="K246" s="3" t="s">
        <v>65</v>
      </c>
    </row>
    <row r="247" spans="1:11" x14ac:dyDescent="0.25">
      <c r="A247" s="6" t="s">
        <v>495</v>
      </c>
      <c r="B247" s="7" t="s">
        <v>63</v>
      </c>
      <c r="C247" s="14" t="s">
        <v>360</v>
      </c>
      <c r="D247" s="7" t="s">
        <v>15</v>
      </c>
      <c r="E247" s="7" t="s">
        <v>52</v>
      </c>
      <c r="F247" s="7" t="s">
        <v>99</v>
      </c>
      <c r="G247" s="8">
        <v>5</v>
      </c>
      <c r="H247" s="9">
        <v>79</v>
      </c>
      <c r="I247" s="9">
        <v>30.11</v>
      </c>
      <c r="J247" s="9">
        <f t="shared" si="8"/>
        <v>364.89</v>
      </c>
      <c r="K247" s="7" t="s">
        <v>49</v>
      </c>
    </row>
    <row r="248" spans="1:11" x14ac:dyDescent="0.25">
      <c r="A248" s="2" t="s">
        <v>496</v>
      </c>
      <c r="B248" s="3" t="s">
        <v>41</v>
      </c>
      <c r="C248" s="13" t="s">
        <v>497</v>
      </c>
      <c r="D248" s="3" t="s">
        <v>22</v>
      </c>
      <c r="E248" s="3" t="s">
        <v>23</v>
      </c>
      <c r="F248" s="3" t="s">
        <v>48</v>
      </c>
      <c r="G248" s="4">
        <v>5</v>
      </c>
      <c r="H248" s="5">
        <v>450</v>
      </c>
      <c r="I248" s="5">
        <v>190.48</v>
      </c>
      <c r="J248" s="5">
        <f t="shared" si="8"/>
        <v>2059.52</v>
      </c>
      <c r="K248" s="3" t="s">
        <v>18</v>
      </c>
    </row>
    <row r="249" spans="1:11" x14ac:dyDescent="0.25">
      <c r="A249" s="6" t="s">
        <v>498</v>
      </c>
      <c r="B249" s="7" t="s">
        <v>110</v>
      </c>
      <c r="C249" s="14" t="s">
        <v>499</v>
      </c>
      <c r="D249" s="7" t="s">
        <v>22</v>
      </c>
      <c r="E249" s="7" t="s">
        <v>23</v>
      </c>
      <c r="F249" s="7" t="s">
        <v>24</v>
      </c>
      <c r="G249" s="8">
        <v>5</v>
      </c>
      <c r="H249" s="9">
        <v>180</v>
      </c>
      <c r="I249" s="9">
        <v>97.38</v>
      </c>
      <c r="J249" s="9">
        <f t="shared" si="8"/>
        <v>802.62</v>
      </c>
      <c r="K249" s="7" t="s">
        <v>18</v>
      </c>
    </row>
    <row r="250" spans="1:11" x14ac:dyDescent="0.25">
      <c r="A250" s="2" t="s">
        <v>500</v>
      </c>
      <c r="B250" s="3" t="s">
        <v>110</v>
      </c>
      <c r="C250" s="13" t="s">
        <v>501</v>
      </c>
      <c r="D250" s="3" t="s">
        <v>47</v>
      </c>
      <c r="E250" s="3" t="s">
        <v>23</v>
      </c>
      <c r="F250" s="3" t="s">
        <v>48</v>
      </c>
      <c r="G250" s="4">
        <v>2</v>
      </c>
      <c r="H250" s="5">
        <v>450</v>
      </c>
      <c r="I250" s="5">
        <v>3.64</v>
      </c>
      <c r="J250" s="5">
        <f t="shared" si="8"/>
        <v>896.36</v>
      </c>
      <c r="K250" s="3" t="s">
        <v>44</v>
      </c>
    </row>
    <row r="251" spans="1:11" x14ac:dyDescent="0.25">
      <c r="A251" s="6" t="s">
        <v>502</v>
      </c>
      <c r="B251" s="7" t="s">
        <v>37</v>
      </c>
      <c r="C251" s="14" t="s">
        <v>503</v>
      </c>
      <c r="D251" s="7" t="s">
        <v>15</v>
      </c>
      <c r="E251" s="7" t="s">
        <v>23</v>
      </c>
      <c r="F251" s="7" t="s">
        <v>88</v>
      </c>
      <c r="G251" s="8">
        <v>4</v>
      </c>
      <c r="H251" s="9">
        <v>650</v>
      </c>
      <c r="I251" s="9">
        <v>0</v>
      </c>
      <c r="J251" s="9">
        <f t="shared" si="8"/>
        <v>2600</v>
      </c>
      <c r="K251" s="7" t="s">
        <v>32</v>
      </c>
    </row>
    <row r="252" spans="1:11" x14ac:dyDescent="0.25">
      <c r="A252" s="2" t="s">
        <v>504</v>
      </c>
      <c r="B252" s="3" t="s">
        <v>101</v>
      </c>
      <c r="C252" s="13" t="s">
        <v>505</v>
      </c>
      <c r="D252" s="3" t="s">
        <v>47</v>
      </c>
      <c r="E252" s="3"/>
      <c r="F252" s="3" t="s">
        <v>24</v>
      </c>
      <c r="G252" s="4">
        <v>3</v>
      </c>
      <c r="H252" s="5">
        <v>180</v>
      </c>
      <c r="I252" s="5">
        <v>45.3</v>
      </c>
      <c r="J252" s="5">
        <f t="shared" si="8"/>
        <v>494.7</v>
      </c>
      <c r="K252" s="3" t="s">
        <v>65</v>
      </c>
    </row>
    <row r="253" spans="1:11" x14ac:dyDescent="0.25">
      <c r="A253" s="6" t="s">
        <v>506</v>
      </c>
      <c r="B253" s="7" t="s">
        <v>101</v>
      </c>
      <c r="C253" s="14" t="s">
        <v>486</v>
      </c>
      <c r="D253" s="7" t="s">
        <v>47</v>
      </c>
      <c r="E253" s="7" t="s">
        <v>16</v>
      </c>
      <c r="F253" s="7" t="s">
        <v>78</v>
      </c>
      <c r="G253" s="8">
        <v>1</v>
      </c>
      <c r="H253" s="9">
        <v>59</v>
      </c>
      <c r="I253" s="9">
        <v>0</v>
      </c>
      <c r="J253" s="9">
        <f t="shared" si="8"/>
        <v>59</v>
      </c>
      <c r="K253" s="7" t="s">
        <v>69</v>
      </c>
    </row>
    <row r="254" spans="1:11" x14ac:dyDescent="0.25">
      <c r="A254" s="2" t="s">
        <v>507</v>
      </c>
      <c r="B254" s="3" t="s">
        <v>63</v>
      </c>
      <c r="C254" s="13" t="s">
        <v>508</v>
      </c>
      <c r="D254" s="3" t="s">
        <v>15</v>
      </c>
      <c r="E254" s="3" t="s">
        <v>23</v>
      </c>
      <c r="F254" s="3" t="s">
        <v>88</v>
      </c>
      <c r="G254" s="4">
        <v>3</v>
      </c>
      <c r="H254" s="5">
        <v>650</v>
      </c>
      <c r="I254" s="5">
        <v>234.28</v>
      </c>
      <c r="J254" s="5">
        <f t="shared" si="8"/>
        <v>1715.72</v>
      </c>
      <c r="K254" s="3" t="s">
        <v>69</v>
      </c>
    </row>
    <row r="255" spans="1:11" x14ac:dyDescent="0.25">
      <c r="A255" s="6" t="s">
        <v>509</v>
      </c>
      <c r="B255" s="7" t="s">
        <v>13</v>
      </c>
      <c r="C255" s="14" t="s">
        <v>510</v>
      </c>
      <c r="D255" s="7" t="s">
        <v>22</v>
      </c>
      <c r="E255" s="7" t="s">
        <v>16</v>
      </c>
      <c r="F255" s="7" t="s">
        <v>116</v>
      </c>
      <c r="G255" s="8">
        <v>2</v>
      </c>
      <c r="H255" s="9">
        <v>45</v>
      </c>
      <c r="I255" s="9">
        <v>9.69</v>
      </c>
      <c r="J255" s="9">
        <f t="shared" si="8"/>
        <v>80.31</v>
      </c>
      <c r="K255" s="7" t="s">
        <v>89</v>
      </c>
    </row>
    <row r="256" spans="1:11" x14ac:dyDescent="0.25">
      <c r="A256" s="2" t="s">
        <v>511</v>
      </c>
      <c r="B256" s="3" t="s">
        <v>55</v>
      </c>
      <c r="C256" s="13" t="s">
        <v>265</v>
      </c>
      <c r="D256" s="3" t="s">
        <v>22</v>
      </c>
      <c r="E256" s="3" t="s">
        <v>52</v>
      </c>
      <c r="F256" s="3" t="s">
        <v>75</v>
      </c>
      <c r="G256" s="4">
        <v>2</v>
      </c>
      <c r="H256" s="5">
        <v>249</v>
      </c>
      <c r="I256" s="5">
        <v>0</v>
      </c>
      <c r="J256" s="5">
        <f t="shared" si="8"/>
        <v>498</v>
      </c>
      <c r="K256" s="3" t="s">
        <v>69</v>
      </c>
    </row>
    <row r="257" spans="1:11" x14ac:dyDescent="0.25">
      <c r="A257" s="6" t="s">
        <v>512</v>
      </c>
      <c r="B257" s="7" t="s">
        <v>71</v>
      </c>
      <c r="C257" s="14" t="s">
        <v>513</v>
      </c>
      <c r="D257" s="7" t="s">
        <v>15</v>
      </c>
      <c r="E257" s="7" t="s">
        <v>30</v>
      </c>
      <c r="F257" s="7" t="s">
        <v>106</v>
      </c>
      <c r="G257" s="8">
        <v>2</v>
      </c>
      <c r="H257" s="9">
        <v>299</v>
      </c>
      <c r="I257" s="9">
        <v>0</v>
      </c>
      <c r="J257" s="9">
        <f t="shared" si="8"/>
        <v>598</v>
      </c>
      <c r="K257" s="7" t="s">
        <v>49</v>
      </c>
    </row>
    <row r="258" spans="1:11" x14ac:dyDescent="0.25">
      <c r="A258" s="2" t="s">
        <v>514</v>
      </c>
      <c r="B258" s="3" t="s">
        <v>63</v>
      </c>
      <c r="C258" s="13" t="s">
        <v>237</v>
      </c>
      <c r="D258" s="3" t="s">
        <v>39</v>
      </c>
      <c r="E258" s="3" t="s">
        <v>30</v>
      </c>
      <c r="F258" s="3" t="s">
        <v>152</v>
      </c>
      <c r="G258" s="4">
        <v>2</v>
      </c>
      <c r="H258" s="5">
        <v>4500</v>
      </c>
      <c r="I258" s="5">
        <v>470.76</v>
      </c>
      <c r="J258" s="5">
        <f t="shared" si="8"/>
        <v>8529.24</v>
      </c>
      <c r="K258" s="3" t="s">
        <v>49</v>
      </c>
    </row>
    <row r="259" spans="1:11" x14ac:dyDescent="0.25">
      <c r="A259" s="6" t="s">
        <v>515</v>
      </c>
      <c r="B259" s="7" t="s">
        <v>71</v>
      </c>
      <c r="C259" s="14" t="s">
        <v>516</v>
      </c>
      <c r="D259" s="7" t="s">
        <v>15</v>
      </c>
      <c r="E259" s="7" t="s">
        <v>30</v>
      </c>
      <c r="F259" s="7" t="s">
        <v>31</v>
      </c>
      <c r="G259" s="8">
        <v>4</v>
      </c>
      <c r="H259" s="9">
        <v>2500</v>
      </c>
      <c r="I259" s="9">
        <v>0</v>
      </c>
      <c r="J259" s="9">
        <f t="shared" si="8"/>
        <v>10000</v>
      </c>
      <c r="K259" s="7" t="s">
        <v>89</v>
      </c>
    </row>
    <row r="260" spans="1:11" x14ac:dyDescent="0.25">
      <c r="A260" s="2" t="s">
        <v>517</v>
      </c>
      <c r="B260" s="3" t="s">
        <v>41</v>
      </c>
      <c r="C260" s="13" t="s">
        <v>518</v>
      </c>
      <c r="D260" s="3" t="s">
        <v>15</v>
      </c>
      <c r="E260" s="3" t="s">
        <v>30</v>
      </c>
      <c r="F260" s="3" t="s">
        <v>152</v>
      </c>
      <c r="G260" s="4">
        <v>5</v>
      </c>
      <c r="H260" s="5">
        <v>4500</v>
      </c>
      <c r="I260" s="5">
        <v>2490</v>
      </c>
      <c r="J260" s="5">
        <f t="shared" si="8"/>
        <v>20010</v>
      </c>
      <c r="K260" s="3" t="s">
        <v>25</v>
      </c>
    </row>
    <row r="261" spans="1:11" x14ac:dyDescent="0.25">
      <c r="A261" s="6" t="s">
        <v>519</v>
      </c>
      <c r="B261" s="7" t="s">
        <v>37</v>
      </c>
      <c r="C261" s="14" t="s">
        <v>87</v>
      </c>
      <c r="D261" s="7" t="s">
        <v>39</v>
      </c>
      <c r="E261" s="7" t="s">
        <v>23</v>
      </c>
      <c r="F261" s="7" t="s">
        <v>88</v>
      </c>
      <c r="G261" s="8">
        <v>5</v>
      </c>
      <c r="H261" s="9">
        <v>650</v>
      </c>
      <c r="I261" s="9">
        <v>5.86</v>
      </c>
      <c r="J261" s="9">
        <f t="shared" si="8"/>
        <v>3244.14</v>
      </c>
      <c r="K261" s="7" t="s">
        <v>89</v>
      </c>
    </row>
    <row r="262" spans="1:11" x14ac:dyDescent="0.25">
      <c r="A262" s="2" t="s">
        <v>520</v>
      </c>
      <c r="B262" s="3" t="s">
        <v>63</v>
      </c>
      <c r="C262" s="13" t="s">
        <v>243</v>
      </c>
      <c r="D262" s="3" t="s">
        <v>39</v>
      </c>
      <c r="E262" s="3" t="s">
        <v>16</v>
      </c>
      <c r="F262" s="3" t="s">
        <v>116</v>
      </c>
      <c r="G262" s="4">
        <v>5</v>
      </c>
      <c r="H262" s="5">
        <v>45</v>
      </c>
      <c r="I262" s="5">
        <v>0</v>
      </c>
      <c r="J262" s="5">
        <f t="shared" si="8"/>
        <v>225</v>
      </c>
      <c r="K262" s="3" t="s">
        <v>18</v>
      </c>
    </row>
    <row r="263" spans="1:11" x14ac:dyDescent="0.25">
      <c r="A263" s="6" t="s">
        <v>521</v>
      </c>
      <c r="B263" s="7" t="s">
        <v>34</v>
      </c>
      <c r="C263" s="14" t="s">
        <v>87</v>
      </c>
      <c r="D263" s="7" t="s">
        <v>29</v>
      </c>
      <c r="E263" s="7" t="s">
        <v>30</v>
      </c>
      <c r="F263" s="7" t="s">
        <v>68</v>
      </c>
      <c r="G263" s="8">
        <v>2</v>
      </c>
      <c r="H263" s="9">
        <v>799</v>
      </c>
      <c r="I263" s="9">
        <v>0</v>
      </c>
      <c r="J263" s="9">
        <f t="shared" ref="J263:J294" si="9">(G263*H263)-I263</f>
        <v>1598</v>
      </c>
      <c r="K263" s="7" t="s">
        <v>65</v>
      </c>
    </row>
    <row r="264" spans="1:11" x14ac:dyDescent="0.25">
      <c r="A264" s="2" t="s">
        <v>522</v>
      </c>
      <c r="B264" s="3" t="s">
        <v>71</v>
      </c>
      <c r="C264" s="13" t="s">
        <v>523</v>
      </c>
      <c r="D264" s="3" t="s">
        <v>47</v>
      </c>
      <c r="E264" s="3" t="s">
        <v>52</v>
      </c>
      <c r="F264" s="3" t="s">
        <v>99</v>
      </c>
      <c r="G264" s="4">
        <v>4</v>
      </c>
      <c r="H264" s="5">
        <v>79</v>
      </c>
      <c r="I264" s="5">
        <v>27.24</v>
      </c>
      <c r="J264" s="5">
        <f t="shared" si="9"/>
        <v>288.76</v>
      </c>
      <c r="K264" s="3" t="s">
        <v>49</v>
      </c>
    </row>
    <row r="265" spans="1:11" x14ac:dyDescent="0.25">
      <c r="A265" s="6" t="s">
        <v>524</v>
      </c>
      <c r="B265" s="7" t="s">
        <v>71</v>
      </c>
      <c r="C265" s="14" t="s">
        <v>525</v>
      </c>
      <c r="D265" s="7" t="s">
        <v>29</v>
      </c>
      <c r="E265" s="7" t="s">
        <v>23</v>
      </c>
      <c r="F265" s="7" t="s">
        <v>24</v>
      </c>
      <c r="G265" s="8">
        <v>1</v>
      </c>
      <c r="H265" s="9">
        <v>180</v>
      </c>
      <c r="I265" s="9">
        <v>0</v>
      </c>
      <c r="J265" s="9">
        <f t="shared" si="9"/>
        <v>180</v>
      </c>
      <c r="K265" s="7" t="s">
        <v>69</v>
      </c>
    </row>
    <row r="266" spans="1:11" x14ac:dyDescent="0.25">
      <c r="A266" s="2" t="s">
        <v>526</v>
      </c>
      <c r="B266" s="3" t="s">
        <v>63</v>
      </c>
      <c r="C266" s="13" t="s">
        <v>527</v>
      </c>
      <c r="D266" s="3" t="s">
        <v>39</v>
      </c>
      <c r="E266" s="3" t="s">
        <v>23</v>
      </c>
      <c r="F266" s="3" t="s">
        <v>88</v>
      </c>
      <c r="G266" s="4">
        <v>5</v>
      </c>
      <c r="H266" s="5">
        <v>650</v>
      </c>
      <c r="I266" s="5">
        <v>426.42</v>
      </c>
      <c r="J266" s="5">
        <f t="shared" si="9"/>
        <v>2823.58</v>
      </c>
      <c r="K266" s="3" t="s">
        <v>65</v>
      </c>
    </row>
    <row r="267" spans="1:11" x14ac:dyDescent="0.25">
      <c r="A267" s="6" t="s">
        <v>528</v>
      </c>
      <c r="B267" s="7" t="s">
        <v>34</v>
      </c>
      <c r="C267" s="14" t="s">
        <v>529</v>
      </c>
      <c r="D267" s="7" t="s">
        <v>149</v>
      </c>
      <c r="E267" s="7" t="s">
        <v>16</v>
      </c>
      <c r="F267" s="7" t="s">
        <v>17</v>
      </c>
      <c r="G267" s="8">
        <v>2</v>
      </c>
      <c r="H267" s="9">
        <v>39</v>
      </c>
      <c r="I267" s="9">
        <v>0</v>
      </c>
      <c r="J267" s="9">
        <f t="shared" si="9"/>
        <v>78</v>
      </c>
      <c r="K267" s="7" t="s">
        <v>25</v>
      </c>
    </row>
    <row r="268" spans="1:11" x14ac:dyDescent="0.25">
      <c r="A268" s="2" t="s">
        <v>530</v>
      </c>
      <c r="B268" s="3" t="s">
        <v>27</v>
      </c>
      <c r="C268" s="13" t="s">
        <v>531</v>
      </c>
      <c r="D268" s="3" t="s">
        <v>22</v>
      </c>
      <c r="E268" s="3" t="s">
        <v>52</v>
      </c>
      <c r="F268" s="3" t="s">
        <v>99</v>
      </c>
      <c r="G268" s="4">
        <v>2</v>
      </c>
      <c r="H268" s="5">
        <v>79</v>
      </c>
      <c r="I268" s="5">
        <v>0.5</v>
      </c>
      <c r="J268" s="5">
        <f t="shared" si="9"/>
        <v>157.5</v>
      </c>
      <c r="K268" s="3" t="s">
        <v>89</v>
      </c>
    </row>
    <row r="269" spans="1:11" x14ac:dyDescent="0.25">
      <c r="A269" s="6" t="s">
        <v>532</v>
      </c>
      <c r="B269" s="7" t="s">
        <v>95</v>
      </c>
      <c r="C269" s="14" t="s">
        <v>533</v>
      </c>
      <c r="D269" s="7" t="s">
        <v>22</v>
      </c>
      <c r="E269" s="7" t="s">
        <v>30</v>
      </c>
      <c r="F269" s="7" t="s">
        <v>152</v>
      </c>
      <c r="G269" s="8">
        <v>2</v>
      </c>
      <c r="H269" s="9">
        <v>4500</v>
      </c>
      <c r="I269" s="9">
        <v>948.09</v>
      </c>
      <c r="J269" s="9">
        <f t="shared" si="9"/>
        <v>8051.91</v>
      </c>
      <c r="K269" s="7" t="s">
        <v>32</v>
      </c>
    </row>
    <row r="270" spans="1:11" x14ac:dyDescent="0.25">
      <c r="A270" s="2" t="s">
        <v>534</v>
      </c>
      <c r="B270" s="3" t="s">
        <v>37</v>
      </c>
      <c r="C270" s="13" t="s">
        <v>535</v>
      </c>
      <c r="D270" s="3" t="s">
        <v>39</v>
      </c>
      <c r="E270" s="3" t="s">
        <v>16</v>
      </c>
      <c r="F270" s="3" t="s">
        <v>116</v>
      </c>
      <c r="G270" s="4">
        <v>5</v>
      </c>
      <c r="H270" s="5">
        <v>45</v>
      </c>
      <c r="I270" s="5">
        <v>21.33</v>
      </c>
      <c r="J270" s="5">
        <f t="shared" si="9"/>
        <v>203.67000000000002</v>
      </c>
      <c r="K270" s="3" t="s">
        <v>32</v>
      </c>
    </row>
    <row r="271" spans="1:11" x14ac:dyDescent="0.25">
      <c r="A271" s="6" t="s">
        <v>536</v>
      </c>
      <c r="B271" s="7" t="s">
        <v>71</v>
      </c>
      <c r="C271" s="14" t="s">
        <v>537</v>
      </c>
      <c r="D271" s="7" t="s">
        <v>47</v>
      </c>
      <c r="E271" s="7" t="s">
        <v>16</v>
      </c>
      <c r="F271" s="7" t="s">
        <v>116</v>
      </c>
      <c r="G271" s="8">
        <v>2</v>
      </c>
      <c r="H271" s="9">
        <v>45</v>
      </c>
      <c r="I271" s="9">
        <v>0</v>
      </c>
      <c r="J271" s="9">
        <f t="shared" si="9"/>
        <v>90</v>
      </c>
      <c r="K271" s="7" t="s">
        <v>49</v>
      </c>
    </row>
    <row r="272" spans="1:11" x14ac:dyDescent="0.25">
      <c r="A272" s="2" t="s">
        <v>538</v>
      </c>
      <c r="B272" s="3" t="s">
        <v>55</v>
      </c>
      <c r="C272" s="13" t="s">
        <v>539</v>
      </c>
      <c r="D272" s="3" t="s">
        <v>15</v>
      </c>
      <c r="E272" s="3" t="s">
        <v>30</v>
      </c>
      <c r="F272" s="3" t="s">
        <v>68</v>
      </c>
      <c r="G272" s="4">
        <v>4</v>
      </c>
      <c r="H272" s="5">
        <v>799</v>
      </c>
      <c r="I272" s="5">
        <v>0</v>
      </c>
      <c r="J272" s="5">
        <f t="shared" si="9"/>
        <v>3196</v>
      </c>
      <c r="K272" s="3" t="s">
        <v>89</v>
      </c>
    </row>
    <row r="273" spans="1:11" x14ac:dyDescent="0.25">
      <c r="A273" s="6" t="s">
        <v>540</v>
      </c>
      <c r="B273" s="7" t="s">
        <v>110</v>
      </c>
      <c r="C273" s="14" t="s">
        <v>96</v>
      </c>
      <c r="D273" s="7" t="s">
        <v>39</v>
      </c>
      <c r="E273" s="7" t="s">
        <v>16</v>
      </c>
      <c r="F273" s="7" t="s">
        <v>17</v>
      </c>
      <c r="G273" s="8">
        <v>1</v>
      </c>
      <c r="H273" s="9">
        <v>39</v>
      </c>
      <c r="I273" s="9">
        <v>0</v>
      </c>
      <c r="J273" s="9">
        <f t="shared" si="9"/>
        <v>39</v>
      </c>
      <c r="K273" s="7" t="s">
        <v>32</v>
      </c>
    </row>
    <row r="274" spans="1:11" x14ac:dyDescent="0.25">
      <c r="A274" s="2" t="s">
        <v>541</v>
      </c>
      <c r="B274" s="3" t="s">
        <v>101</v>
      </c>
      <c r="C274" s="13" t="s">
        <v>542</v>
      </c>
      <c r="D274" s="3" t="s">
        <v>39</v>
      </c>
      <c r="E274" s="3" t="s">
        <v>30</v>
      </c>
      <c r="F274" s="3" t="s">
        <v>152</v>
      </c>
      <c r="G274" s="4">
        <v>4</v>
      </c>
      <c r="H274" s="5">
        <v>4500</v>
      </c>
      <c r="I274" s="5">
        <v>2300.34</v>
      </c>
      <c r="J274" s="5">
        <f t="shared" si="9"/>
        <v>15699.66</v>
      </c>
      <c r="K274" s="3" t="s">
        <v>65</v>
      </c>
    </row>
    <row r="275" spans="1:11" x14ac:dyDescent="0.25">
      <c r="A275" s="6" t="s">
        <v>543</v>
      </c>
      <c r="B275" s="7" t="s">
        <v>13</v>
      </c>
      <c r="C275" s="14" t="s">
        <v>384</v>
      </c>
      <c r="D275" s="7" t="s">
        <v>22</v>
      </c>
      <c r="E275" s="7" t="s">
        <v>16</v>
      </c>
      <c r="F275" s="7" t="s">
        <v>78</v>
      </c>
      <c r="G275" s="8">
        <v>1</v>
      </c>
      <c r="H275" s="9">
        <v>59</v>
      </c>
      <c r="I275" s="9">
        <v>0.95</v>
      </c>
      <c r="J275" s="9">
        <f t="shared" si="9"/>
        <v>58.05</v>
      </c>
      <c r="K275" s="7" t="s">
        <v>32</v>
      </c>
    </row>
    <row r="276" spans="1:11" x14ac:dyDescent="0.25">
      <c r="A276" s="2" t="s">
        <v>544</v>
      </c>
      <c r="B276" s="3" t="s">
        <v>110</v>
      </c>
      <c r="C276" s="13" t="s">
        <v>545</v>
      </c>
      <c r="D276" s="3" t="s">
        <v>22</v>
      </c>
      <c r="E276" s="3" t="s">
        <v>23</v>
      </c>
      <c r="F276" s="3" t="s">
        <v>48</v>
      </c>
      <c r="G276" s="4">
        <v>5</v>
      </c>
      <c r="H276" s="5">
        <v>450</v>
      </c>
      <c r="I276" s="5">
        <v>303.27</v>
      </c>
      <c r="J276" s="5">
        <f t="shared" si="9"/>
        <v>1946.73</v>
      </c>
      <c r="K276" s="3" t="s">
        <v>69</v>
      </c>
    </row>
    <row r="277" spans="1:11" x14ac:dyDescent="0.25">
      <c r="A277" s="6" t="s">
        <v>546</v>
      </c>
      <c r="B277" s="7" t="s">
        <v>55</v>
      </c>
      <c r="C277" s="14" t="s">
        <v>547</v>
      </c>
      <c r="D277" s="7" t="s">
        <v>22</v>
      </c>
      <c r="E277" s="7" t="s">
        <v>30</v>
      </c>
      <c r="F277" s="7" t="s">
        <v>106</v>
      </c>
      <c r="G277" s="8">
        <v>2</v>
      </c>
      <c r="H277" s="9">
        <v>299</v>
      </c>
      <c r="I277" s="9">
        <v>66.64</v>
      </c>
      <c r="J277" s="9">
        <f t="shared" si="9"/>
        <v>531.36</v>
      </c>
      <c r="K277" s="7" t="s">
        <v>89</v>
      </c>
    </row>
    <row r="278" spans="1:11" x14ac:dyDescent="0.25">
      <c r="A278" s="2" t="s">
        <v>548</v>
      </c>
      <c r="B278" s="3" t="s">
        <v>37</v>
      </c>
      <c r="C278" s="13" t="s">
        <v>549</v>
      </c>
      <c r="D278" s="3" t="s">
        <v>29</v>
      </c>
      <c r="E278" s="3" t="s">
        <v>52</v>
      </c>
      <c r="F278" s="3" t="s">
        <v>61</v>
      </c>
      <c r="G278" s="4">
        <v>2</v>
      </c>
      <c r="H278" s="5">
        <v>199</v>
      </c>
      <c r="I278" s="5">
        <v>12.68</v>
      </c>
      <c r="J278" s="5">
        <f t="shared" si="9"/>
        <v>385.32</v>
      </c>
      <c r="K278" s="3" t="s">
        <v>25</v>
      </c>
    </row>
    <row r="279" spans="1:11" x14ac:dyDescent="0.25">
      <c r="A279" s="6" t="s">
        <v>550</v>
      </c>
      <c r="B279" s="7" t="s">
        <v>37</v>
      </c>
      <c r="C279" s="14" t="s">
        <v>273</v>
      </c>
      <c r="D279" s="7" t="s">
        <v>22</v>
      </c>
      <c r="E279" s="7" t="s">
        <v>52</v>
      </c>
      <c r="F279" s="7" t="s">
        <v>99</v>
      </c>
      <c r="G279" s="8">
        <v>1</v>
      </c>
      <c r="H279" s="9">
        <v>79</v>
      </c>
      <c r="I279" s="9">
        <v>1.69</v>
      </c>
      <c r="J279" s="9">
        <f t="shared" si="9"/>
        <v>77.31</v>
      </c>
      <c r="K279" s="7" t="s">
        <v>49</v>
      </c>
    </row>
    <row r="280" spans="1:11" x14ac:dyDescent="0.25">
      <c r="A280" s="2" t="s">
        <v>551</v>
      </c>
      <c r="B280" s="3" t="s">
        <v>37</v>
      </c>
      <c r="C280" s="13" t="s">
        <v>60</v>
      </c>
      <c r="D280" s="3" t="s">
        <v>47</v>
      </c>
      <c r="E280" s="3" t="s">
        <v>52</v>
      </c>
      <c r="F280" s="3" t="s">
        <v>53</v>
      </c>
      <c r="G280" s="4">
        <v>2</v>
      </c>
      <c r="H280" s="5">
        <v>149</v>
      </c>
      <c r="I280" s="5">
        <v>0</v>
      </c>
      <c r="J280" s="5">
        <f t="shared" si="9"/>
        <v>298</v>
      </c>
      <c r="K280" s="3" t="s">
        <v>89</v>
      </c>
    </row>
    <row r="281" spans="1:11" x14ac:dyDescent="0.25">
      <c r="A281" s="6" t="s">
        <v>552</v>
      </c>
      <c r="B281" s="7" t="s">
        <v>27</v>
      </c>
      <c r="C281" s="14" t="s">
        <v>38</v>
      </c>
      <c r="D281" s="7" t="s">
        <v>39</v>
      </c>
      <c r="E281" s="7" t="s">
        <v>30</v>
      </c>
      <c r="F281" s="7" t="s">
        <v>68</v>
      </c>
      <c r="G281" s="8">
        <v>4</v>
      </c>
      <c r="H281" s="9">
        <v>799</v>
      </c>
      <c r="I281" s="9">
        <v>0</v>
      </c>
      <c r="J281" s="9">
        <f t="shared" si="9"/>
        <v>3196</v>
      </c>
      <c r="K281" s="7" t="s">
        <v>44</v>
      </c>
    </row>
    <row r="282" spans="1:11" x14ac:dyDescent="0.25">
      <c r="A282" s="2" t="s">
        <v>553</v>
      </c>
      <c r="B282" s="3" t="s">
        <v>110</v>
      </c>
      <c r="C282" s="13" t="s">
        <v>554</v>
      </c>
      <c r="D282" s="3" t="s">
        <v>22</v>
      </c>
      <c r="E282" s="3" t="s">
        <v>52</v>
      </c>
      <c r="F282" s="3" t="s">
        <v>99</v>
      </c>
      <c r="G282" s="4">
        <v>3</v>
      </c>
      <c r="H282" s="5">
        <v>79</v>
      </c>
      <c r="I282" s="5">
        <v>0</v>
      </c>
      <c r="J282" s="5">
        <f t="shared" si="9"/>
        <v>237</v>
      </c>
      <c r="K282" s="3" t="s">
        <v>49</v>
      </c>
    </row>
    <row r="283" spans="1:11" x14ac:dyDescent="0.25">
      <c r="A283" s="6" t="s">
        <v>555</v>
      </c>
      <c r="B283" s="7" t="s">
        <v>27</v>
      </c>
      <c r="C283" s="14" t="s">
        <v>349</v>
      </c>
      <c r="D283" s="7" t="s">
        <v>22</v>
      </c>
      <c r="E283" s="7" t="s">
        <v>52</v>
      </c>
      <c r="F283" s="7" t="s">
        <v>99</v>
      </c>
      <c r="G283" s="8">
        <v>4</v>
      </c>
      <c r="H283" s="9">
        <v>79</v>
      </c>
      <c r="I283" s="9">
        <v>0</v>
      </c>
      <c r="J283" s="9">
        <f t="shared" si="9"/>
        <v>316</v>
      </c>
      <c r="K283" s="7" t="s">
        <v>69</v>
      </c>
    </row>
    <row r="284" spans="1:11" x14ac:dyDescent="0.25">
      <c r="A284" s="2" t="s">
        <v>556</v>
      </c>
      <c r="B284" s="3" t="s">
        <v>71</v>
      </c>
      <c r="C284" s="13" t="s">
        <v>518</v>
      </c>
      <c r="D284" s="3" t="s">
        <v>22</v>
      </c>
      <c r="E284" s="3" t="s">
        <v>23</v>
      </c>
      <c r="F284" s="3" t="s">
        <v>24</v>
      </c>
      <c r="G284" s="4">
        <v>1</v>
      </c>
      <c r="H284" s="5">
        <v>180</v>
      </c>
      <c r="I284" s="5">
        <v>0</v>
      </c>
      <c r="J284" s="5">
        <f t="shared" si="9"/>
        <v>180</v>
      </c>
      <c r="K284" s="3" t="s">
        <v>49</v>
      </c>
    </row>
    <row r="285" spans="1:11" x14ac:dyDescent="0.25">
      <c r="A285" s="6" t="s">
        <v>557</v>
      </c>
      <c r="B285" s="7" t="s">
        <v>110</v>
      </c>
      <c r="C285" s="14" t="s">
        <v>531</v>
      </c>
      <c r="D285" s="7" t="s">
        <v>22</v>
      </c>
      <c r="E285" s="7" t="s">
        <v>52</v>
      </c>
      <c r="F285" s="7" t="s">
        <v>75</v>
      </c>
      <c r="G285" s="8">
        <v>5</v>
      </c>
      <c r="H285" s="9">
        <v>249</v>
      </c>
      <c r="I285" s="9">
        <v>42.89</v>
      </c>
      <c r="J285" s="9">
        <f t="shared" si="9"/>
        <v>1202.1099999999999</v>
      </c>
      <c r="K285" s="7" t="s">
        <v>89</v>
      </c>
    </row>
    <row r="286" spans="1:11" x14ac:dyDescent="0.25">
      <c r="A286" s="2" t="s">
        <v>558</v>
      </c>
      <c r="B286" s="3" t="s">
        <v>71</v>
      </c>
      <c r="C286" s="13" t="s">
        <v>130</v>
      </c>
      <c r="D286" s="3" t="s">
        <v>29</v>
      </c>
      <c r="E286" s="3" t="s">
        <v>52</v>
      </c>
      <c r="F286" s="3" t="s">
        <v>61</v>
      </c>
      <c r="G286" s="4">
        <v>1</v>
      </c>
      <c r="H286" s="5">
        <v>199</v>
      </c>
      <c r="I286" s="5">
        <v>20.63</v>
      </c>
      <c r="J286" s="5">
        <f t="shared" si="9"/>
        <v>178.37</v>
      </c>
      <c r="K286" s="3" t="s">
        <v>65</v>
      </c>
    </row>
    <row r="287" spans="1:11" x14ac:dyDescent="0.25">
      <c r="A287" s="6" t="s">
        <v>559</v>
      </c>
      <c r="B287" s="7" t="s">
        <v>134</v>
      </c>
      <c r="C287" s="14" t="s">
        <v>560</v>
      </c>
      <c r="D287" s="7" t="s">
        <v>39</v>
      </c>
      <c r="E287" s="7" t="s">
        <v>30</v>
      </c>
      <c r="F287" s="7" t="s">
        <v>106</v>
      </c>
      <c r="G287" s="8">
        <v>2</v>
      </c>
      <c r="H287" s="9">
        <v>299</v>
      </c>
      <c r="I287" s="9">
        <v>0</v>
      </c>
      <c r="J287" s="9">
        <f t="shared" si="9"/>
        <v>598</v>
      </c>
      <c r="K287" s="7" t="s">
        <v>49</v>
      </c>
    </row>
    <row r="288" spans="1:11" x14ac:dyDescent="0.25">
      <c r="A288" s="2" t="s">
        <v>561</v>
      </c>
      <c r="B288" s="3" t="s">
        <v>101</v>
      </c>
      <c r="C288" s="13" t="s">
        <v>433</v>
      </c>
      <c r="D288" s="3" t="s">
        <v>15</v>
      </c>
      <c r="E288" s="3" t="s">
        <v>23</v>
      </c>
      <c r="F288" s="3" t="s">
        <v>88</v>
      </c>
      <c r="G288" s="4">
        <v>4</v>
      </c>
      <c r="H288" s="5">
        <v>650</v>
      </c>
      <c r="I288" s="5">
        <v>301.62</v>
      </c>
      <c r="J288" s="5">
        <f t="shared" si="9"/>
        <v>2298.38</v>
      </c>
      <c r="K288" s="3" t="s">
        <v>18</v>
      </c>
    </row>
    <row r="289" spans="1:11" x14ac:dyDescent="0.25">
      <c r="A289" s="6" t="s">
        <v>562</v>
      </c>
      <c r="B289" s="7" t="s">
        <v>71</v>
      </c>
      <c r="C289" s="14" t="s">
        <v>425</v>
      </c>
      <c r="D289" s="7" t="s">
        <v>39</v>
      </c>
      <c r="E289" s="7"/>
      <c r="F289" s="7" t="s">
        <v>53</v>
      </c>
      <c r="G289" s="8">
        <v>2</v>
      </c>
      <c r="H289" s="9">
        <v>149</v>
      </c>
      <c r="I289" s="9">
        <v>0</v>
      </c>
      <c r="J289" s="9">
        <f t="shared" si="9"/>
        <v>298</v>
      </c>
      <c r="K289" s="7" t="s">
        <v>49</v>
      </c>
    </row>
    <row r="290" spans="1:11" x14ac:dyDescent="0.25">
      <c r="A290" s="2" t="s">
        <v>563</v>
      </c>
      <c r="B290" s="3" t="s">
        <v>63</v>
      </c>
      <c r="C290" s="13" t="s">
        <v>564</v>
      </c>
      <c r="D290" s="3" t="s">
        <v>29</v>
      </c>
      <c r="E290" s="3" t="s">
        <v>16</v>
      </c>
      <c r="F290" s="3" t="s">
        <v>103</v>
      </c>
      <c r="G290" s="4">
        <v>2</v>
      </c>
      <c r="H290" s="5">
        <v>89</v>
      </c>
      <c r="I290" s="5">
        <v>13.25</v>
      </c>
      <c r="J290" s="5">
        <f t="shared" si="9"/>
        <v>164.75</v>
      </c>
      <c r="K290" s="3" t="s">
        <v>69</v>
      </c>
    </row>
    <row r="291" spans="1:11" x14ac:dyDescent="0.25">
      <c r="A291" s="6" t="s">
        <v>565</v>
      </c>
      <c r="B291" s="7" t="s">
        <v>34</v>
      </c>
      <c r="C291" s="14" t="s">
        <v>566</v>
      </c>
      <c r="D291" s="7" t="s">
        <v>22</v>
      </c>
      <c r="E291" s="7" t="s">
        <v>23</v>
      </c>
      <c r="F291" s="7" t="s">
        <v>24</v>
      </c>
      <c r="G291" s="8">
        <v>4</v>
      </c>
      <c r="H291" s="9">
        <v>180</v>
      </c>
      <c r="I291" s="9">
        <v>86.29</v>
      </c>
      <c r="J291" s="9">
        <f t="shared" si="9"/>
        <v>633.71</v>
      </c>
      <c r="K291" s="7" t="s">
        <v>18</v>
      </c>
    </row>
    <row r="292" spans="1:11" x14ac:dyDescent="0.25">
      <c r="A292" s="2" t="s">
        <v>567</v>
      </c>
      <c r="B292" s="3" t="s">
        <v>41</v>
      </c>
      <c r="C292" s="13" t="s">
        <v>554</v>
      </c>
      <c r="D292" s="3" t="s">
        <v>47</v>
      </c>
      <c r="E292" s="3" t="s">
        <v>23</v>
      </c>
      <c r="F292" s="3" t="s">
        <v>88</v>
      </c>
      <c r="G292" s="4">
        <v>4</v>
      </c>
      <c r="H292" s="5">
        <v>650</v>
      </c>
      <c r="I292" s="5">
        <v>0</v>
      </c>
      <c r="J292" s="5">
        <f t="shared" si="9"/>
        <v>2600</v>
      </c>
      <c r="K292" s="3" t="s">
        <v>89</v>
      </c>
    </row>
    <row r="293" spans="1:11" x14ac:dyDescent="0.25">
      <c r="A293" s="6" t="s">
        <v>568</v>
      </c>
      <c r="B293" s="7" t="s">
        <v>20</v>
      </c>
      <c r="C293" s="14" t="s">
        <v>535</v>
      </c>
      <c r="D293" s="7" t="s">
        <v>47</v>
      </c>
      <c r="E293" s="7" t="s">
        <v>52</v>
      </c>
      <c r="F293" s="7" t="s">
        <v>99</v>
      </c>
      <c r="G293" s="8">
        <v>5</v>
      </c>
      <c r="H293" s="9">
        <v>79</v>
      </c>
      <c r="I293" s="9">
        <v>0</v>
      </c>
      <c r="J293" s="9">
        <f t="shared" si="9"/>
        <v>395</v>
      </c>
      <c r="K293" s="7" t="s">
        <v>25</v>
      </c>
    </row>
    <row r="294" spans="1:11" x14ac:dyDescent="0.25">
      <c r="A294" s="2" t="s">
        <v>569</v>
      </c>
      <c r="B294" s="3" t="s">
        <v>277</v>
      </c>
      <c r="C294" s="13" t="s">
        <v>437</v>
      </c>
      <c r="D294" s="3" t="s">
        <v>22</v>
      </c>
      <c r="E294" s="3" t="s">
        <v>52</v>
      </c>
      <c r="F294" s="3" t="s">
        <v>53</v>
      </c>
      <c r="G294" s="4">
        <v>1</v>
      </c>
      <c r="H294" s="5">
        <v>149</v>
      </c>
      <c r="I294" s="5">
        <v>0</v>
      </c>
      <c r="J294" s="5">
        <f t="shared" si="9"/>
        <v>149</v>
      </c>
      <c r="K294" s="3" t="s">
        <v>32</v>
      </c>
    </row>
    <row r="295" spans="1:11" x14ac:dyDescent="0.25">
      <c r="A295" s="6" t="s">
        <v>570</v>
      </c>
      <c r="B295" s="7" t="s">
        <v>55</v>
      </c>
      <c r="C295" s="14" t="s">
        <v>501</v>
      </c>
      <c r="D295" s="7" t="s">
        <v>47</v>
      </c>
      <c r="E295" s="7" t="s">
        <v>52</v>
      </c>
      <c r="F295" s="7" t="s">
        <v>99</v>
      </c>
      <c r="G295" s="8">
        <v>3</v>
      </c>
      <c r="H295" s="9">
        <v>79</v>
      </c>
      <c r="I295" s="9">
        <v>0</v>
      </c>
      <c r="J295" s="9">
        <f t="shared" ref="J295:J326" si="10">(G295*H295)-I295</f>
        <v>237</v>
      </c>
      <c r="K295" s="7" t="s">
        <v>89</v>
      </c>
    </row>
    <row r="296" spans="1:11" x14ac:dyDescent="0.25">
      <c r="A296" s="2" t="s">
        <v>571</v>
      </c>
      <c r="B296" s="3" t="s">
        <v>27</v>
      </c>
      <c r="C296" s="13" t="s">
        <v>545</v>
      </c>
      <c r="D296" s="3" t="s">
        <v>15</v>
      </c>
      <c r="E296" s="3" t="s">
        <v>30</v>
      </c>
      <c r="F296" s="3" t="s">
        <v>31</v>
      </c>
      <c r="G296" s="4">
        <v>1</v>
      </c>
      <c r="H296" s="5">
        <v>2500</v>
      </c>
      <c r="I296" s="5">
        <v>0</v>
      </c>
      <c r="J296" s="5">
        <f t="shared" si="10"/>
        <v>2500</v>
      </c>
      <c r="K296" s="3" t="s">
        <v>25</v>
      </c>
    </row>
    <row r="297" spans="1:11" x14ac:dyDescent="0.25">
      <c r="A297" s="6" t="s">
        <v>572</v>
      </c>
      <c r="B297" s="7" t="s">
        <v>37</v>
      </c>
      <c r="C297" s="14" t="s">
        <v>146</v>
      </c>
      <c r="D297" s="7" t="s">
        <v>15</v>
      </c>
      <c r="E297" s="7" t="s">
        <v>52</v>
      </c>
      <c r="F297" s="7" t="s">
        <v>75</v>
      </c>
      <c r="G297" s="8">
        <v>5</v>
      </c>
      <c r="H297" s="9">
        <v>249</v>
      </c>
      <c r="I297" s="9">
        <v>0</v>
      </c>
      <c r="J297" s="9">
        <f t="shared" si="10"/>
        <v>1245</v>
      </c>
      <c r="K297" s="7" t="s">
        <v>25</v>
      </c>
    </row>
    <row r="298" spans="1:11" x14ac:dyDescent="0.25">
      <c r="A298" s="2" t="s">
        <v>573</v>
      </c>
      <c r="B298" s="3" t="s">
        <v>27</v>
      </c>
      <c r="C298" s="13" t="s">
        <v>456</v>
      </c>
      <c r="D298" s="3" t="s">
        <v>15</v>
      </c>
      <c r="E298" s="3" t="s">
        <v>16</v>
      </c>
      <c r="F298" s="3" t="s">
        <v>103</v>
      </c>
      <c r="G298" s="4">
        <v>3</v>
      </c>
      <c r="H298" s="5">
        <v>89</v>
      </c>
      <c r="I298" s="5">
        <v>0</v>
      </c>
      <c r="J298" s="5">
        <f t="shared" si="10"/>
        <v>267</v>
      </c>
      <c r="K298" s="3" t="s">
        <v>69</v>
      </c>
    </row>
    <row r="299" spans="1:11" x14ac:dyDescent="0.25">
      <c r="A299" s="6" t="s">
        <v>574</v>
      </c>
      <c r="B299" s="7" t="s">
        <v>71</v>
      </c>
      <c r="C299" s="14" t="s">
        <v>273</v>
      </c>
      <c r="D299" s="7" t="s">
        <v>15</v>
      </c>
      <c r="E299" s="7" t="s">
        <v>30</v>
      </c>
      <c r="F299" s="7" t="s">
        <v>31</v>
      </c>
      <c r="G299" s="8">
        <v>5</v>
      </c>
      <c r="H299" s="9">
        <v>2500</v>
      </c>
      <c r="I299" s="9">
        <v>0</v>
      </c>
      <c r="J299" s="9">
        <f t="shared" si="10"/>
        <v>12500</v>
      </c>
      <c r="K299" s="7" t="s">
        <v>49</v>
      </c>
    </row>
    <row r="300" spans="1:11" x14ac:dyDescent="0.25">
      <c r="A300" s="2" t="s">
        <v>575</v>
      </c>
      <c r="B300" s="3" t="s">
        <v>95</v>
      </c>
      <c r="C300" s="13" t="s">
        <v>286</v>
      </c>
      <c r="D300" s="3" t="s">
        <v>47</v>
      </c>
      <c r="E300" s="3" t="s">
        <v>30</v>
      </c>
      <c r="F300" s="3" t="s">
        <v>68</v>
      </c>
      <c r="G300" s="4">
        <v>4</v>
      </c>
      <c r="H300" s="5">
        <v>799</v>
      </c>
      <c r="I300" s="5">
        <v>43.49</v>
      </c>
      <c r="J300" s="5">
        <f t="shared" si="10"/>
        <v>3152.51</v>
      </c>
      <c r="K300" s="3" t="s">
        <v>44</v>
      </c>
    </row>
    <row r="301" spans="1:11" x14ac:dyDescent="0.25">
      <c r="A301" s="6" t="s">
        <v>576</v>
      </c>
      <c r="B301" s="7" t="s">
        <v>134</v>
      </c>
      <c r="C301" s="14" t="s">
        <v>211</v>
      </c>
      <c r="D301" s="7" t="s">
        <v>29</v>
      </c>
      <c r="E301" s="7" t="s">
        <v>16</v>
      </c>
      <c r="F301" s="7" t="s">
        <v>17</v>
      </c>
      <c r="G301" s="8">
        <v>2</v>
      </c>
      <c r="H301" s="9">
        <v>39</v>
      </c>
      <c r="I301" s="9">
        <v>2.2400000000000002</v>
      </c>
      <c r="J301" s="9">
        <f t="shared" si="10"/>
        <v>75.760000000000005</v>
      </c>
      <c r="K301" s="7" t="s">
        <v>89</v>
      </c>
    </row>
    <row r="302" spans="1:11" x14ac:dyDescent="0.25">
      <c r="A302" s="2" t="s">
        <v>577</v>
      </c>
      <c r="B302" s="3" t="s">
        <v>27</v>
      </c>
      <c r="C302" s="13" t="s">
        <v>560</v>
      </c>
      <c r="D302" s="3" t="s">
        <v>47</v>
      </c>
      <c r="E302" s="3" t="s">
        <v>16</v>
      </c>
      <c r="F302" s="3" t="s">
        <v>78</v>
      </c>
      <c r="G302" s="4">
        <v>1</v>
      </c>
      <c r="H302" s="5">
        <v>59</v>
      </c>
      <c r="I302" s="5">
        <v>1.56</v>
      </c>
      <c r="J302" s="5">
        <f t="shared" si="10"/>
        <v>57.44</v>
      </c>
      <c r="K302" s="3" t="s">
        <v>32</v>
      </c>
    </row>
    <row r="303" spans="1:11" x14ac:dyDescent="0.25">
      <c r="A303" s="6" t="s">
        <v>578</v>
      </c>
      <c r="B303" s="7" t="s">
        <v>41</v>
      </c>
      <c r="C303" s="14" t="s">
        <v>579</v>
      </c>
      <c r="D303" s="7" t="s">
        <v>47</v>
      </c>
      <c r="E303" s="7" t="s">
        <v>16</v>
      </c>
      <c r="F303" s="7" t="s">
        <v>78</v>
      </c>
      <c r="G303" s="8">
        <v>3</v>
      </c>
      <c r="H303" s="9">
        <v>59</v>
      </c>
      <c r="I303" s="9">
        <v>7.45</v>
      </c>
      <c r="J303" s="9">
        <f t="shared" si="10"/>
        <v>169.55</v>
      </c>
      <c r="K303" s="7" t="s">
        <v>69</v>
      </c>
    </row>
    <row r="304" spans="1:11" x14ac:dyDescent="0.25">
      <c r="A304" s="2" t="s">
        <v>580</v>
      </c>
      <c r="B304" s="3" t="s">
        <v>63</v>
      </c>
      <c r="C304" s="13" t="s">
        <v>243</v>
      </c>
      <c r="D304" s="3" t="s">
        <v>47</v>
      </c>
      <c r="E304" s="3" t="s">
        <v>52</v>
      </c>
      <c r="F304" s="3" t="s">
        <v>53</v>
      </c>
      <c r="G304" s="4">
        <v>2</v>
      </c>
      <c r="H304" s="5">
        <v>149</v>
      </c>
      <c r="I304" s="5">
        <v>0</v>
      </c>
      <c r="J304" s="5">
        <f t="shared" si="10"/>
        <v>298</v>
      </c>
      <c r="K304" s="3" t="s">
        <v>32</v>
      </c>
    </row>
    <row r="305" spans="1:11" x14ac:dyDescent="0.25">
      <c r="A305" s="6" t="s">
        <v>581</v>
      </c>
      <c r="B305" s="7" t="s">
        <v>110</v>
      </c>
      <c r="C305" s="14" t="s">
        <v>200</v>
      </c>
      <c r="D305" s="7" t="s">
        <v>29</v>
      </c>
      <c r="E305" s="7" t="s">
        <v>52</v>
      </c>
      <c r="F305" s="7" t="s">
        <v>53</v>
      </c>
      <c r="G305" s="8">
        <v>1</v>
      </c>
      <c r="H305" s="9">
        <v>149</v>
      </c>
      <c r="I305" s="9">
        <v>2.82</v>
      </c>
      <c r="J305" s="9">
        <f t="shared" si="10"/>
        <v>146.18</v>
      </c>
      <c r="K305" s="7" t="s">
        <v>49</v>
      </c>
    </row>
    <row r="306" spans="1:11" x14ac:dyDescent="0.25">
      <c r="A306" s="2" t="s">
        <v>582</v>
      </c>
      <c r="B306" s="3" t="s">
        <v>27</v>
      </c>
      <c r="C306" s="13" t="s">
        <v>178</v>
      </c>
      <c r="D306" s="3" t="s">
        <v>29</v>
      </c>
      <c r="E306" s="3" t="s">
        <v>52</v>
      </c>
      <c r="F306" s="3" t="s">
        <v>99</v>
      </c>
      <c r="G306" s="4">
        <v>1</v>
      </c>
      <c r="H306" s="5">
        <v>79</v>
      </c>
      <c r="I306" s="5">
        <v>8.1300000000000008</v>
      </c>
      <c r="J306" s="5">
        <f t="shared" si="10"/>
        <v>70.87</v>
      </c>
      <c r="K306" s="3" t="s">
        <v>44</v>
      </c>
    </row>
    <row r="307" spans="1:11" x14ac:dyDescent="0.25">
      <c r="A307" s="6" t="s">
        <v>583</v>
      </c>
      <c r="B307" s="7" t="s">
        <v>63</v>
      </c>
      <c r="C307" s="14" t="s">
        <v>355</v>
      </c>
      <c r="D307" s="7" t="s">
        <v>39</v>
      </c>
      <c r="E307" s="7" t="s">
        <v>30</v>
      </c>
      <c r="F307" s="7" t="s">
        <v>31</v>
      </c>
      <c r="G307" s="8">
        <v>2</v>
      </c>
      <c r="H307" s="9">
        <v>2500</v>
      </c>
      <c r="I307" s="9">
        <v>0</v>
      </c>
      <c r="J307" s="9">
        <f t="shared" si="10"/>
        <v>5000</v>
      </c>
      <c r="K307" s="7" t="s">
        <v>18</v>
      </c>
    </row>
    <row r="308" spans="1:11" x14ac:dyDescent="0.25">
      <c r="A308" s="2" t="s">
        <v>584</v>
      </c>
      <c r="B308" s="3" t="s">
        <v>71</v>
      </c>
      <c r="C308" s="13" t="s">
        <v>46</v>
      </c>
      <c r="D308" s="3" t="s">
        <v>39</v>
      </c>
      <c r="E308" s="3" t="s">
        <v>16</v>
      </c>
      <c r="F308" s="3" t="s">
        <v>78</v>
      </c>
      <c r="G308" s="4">
        <v>1</v>
      </c>
      <c r="H308" s="5">
        <v>59</v>
      </c>
      <c r="I308" s="5">
        <v>0</v>
      </c>
      <c r="J308" s="5">
        <f t="shared" si="10"/>
        <v>59</v>
      </c>
      <c r="K308" s="3" t="s">
        <v>89</v>
      </c>
    </row>
    <row r="309" spans="1:11" x14ac:dyDescent="0.25">
      <c r="A309" s="6" t="s">
        <v>585</v>
      </c>
      <c r="B309" s="7" t="s">
        <v>37</v>
      </c>
      <c r="C309" s="14" t="s">
        <v>586</v>
      </c>
      <c r="D309" s="7" t="s">
        <v>22</v>
      </c>
      <c r="E309" s="7" t="s">
        <v>23</v>
      </c>
      <c r="F309" s="7" t="s">
        <v>24</v>
      </c>
      <c r="G309" s="8">
        <v>3</v>
      </c>
      <c r="H309" s="9">
        <v>180</v>
      </c>
      <c r="I309" s="9">
        <v>17.91</v>
      </c>
      <c r="J309" s="9">
        <f t="shared" si="10"/>
        <v>522.09</v>
      </c>
      <c r="K309" s="7" t="s">
        <v>18</v>
      </c>
    </row>
    <row r="310" spans="1:11" x14ac:dyDescent="0.25">
      <c r="A310" s="2" t="s">
        <v>587</v>
      </c>
      <c r="B310" s="3" t="s">
        <v>13</v>
      </c>
      <c r="C310" s="13" t="s">
        <v>186</v>
      </c>
      <c r="D310" s="3" t="s">
        <v>47</v>
      </c>
      <c r="E310" s="3" t="s">
        <v>30</v>
      </c>
      <c r="F310" s="3" t="s">
        <v>152</v>
      </c>
      <c r="G310" s="4">
        <v>1</v>
      </c>
      <c r="H310" s="5">
        <v>4500</v>
      </c>
      <c r="I310" s="5">
        <v>0</v>
      </c>
      <c r="J310" s="5">
        <f t="shared" si="10"/>
        <v>4500</v>
      </c>
      <c r="K310" s="3" t="s">
        <v>89</v>
      </c>
    </row>
    <row r="311" spans="1:11" x14ac:dyDescent="0.25">
      <c r="A311" s="6" t="s">
        <v>588</v>
      </c>
      <c r="B311" s="7" t="s">
        <v>37</v>
      </c>
      <c r="C311" s="14" t="s">
        <v>401</v>
      </c>
      <c r="D311" s="7" t="s">
        <v>15</v>
      </c>
      <c r="E311" s="7" t="s">
        <v>30</v>
      </c>
      <c r="F311" s="7" t="s">
        <v>68</v>
      </c>
      <c r="G311" s="8">
        <v>1</v>
      </c>
      <c r="H311" s="9">
        <v>799</v>
      </c>
      <c r="I311" s="9">
        <v>92.28</v>
      </c>
      <c r="J311" s="9">
        <f t="shared" si="10"/>
        <v>706.72</v>
      </c>
      <c r="K311" s="7" t="s">
        <v>89</v>
      </c>
    </row>
    <row r="312" spans="1:11" x14ac:dyDescent="0.25">
      <c r="A312" s="2" t="s">
        <v>589</v>
      </c>
      <c r="B312" s="3" t="s">
        <v>63</v>
      </c>
      <c r="C312" s="13" t="s">
        <v>443</v>
      </c>
      <c r="D312" s="3" t="s">
        <v>15</v>
      </c>
      <c r="E312" s="3" t="s">
        <v>52</v>
      </c>
      <c r="F312" s="3" t="s">
        <v>75</v>
      </c>
      <c r="G312" s="4">
        <v>5</v>
      </c>
      <c r="H312" s="5">
        <v>249</v>
      </c>
      <c r="I312" s="5">
        <v>152.02000000000001</v>
      </c>
      <c r="J312" s="5">
        <f t="shared" si="10"/>
        <v>1092.98</v>
      </c>
      <c r="K312" s="3" t="s">
        <v>49</v>
      </c>
    </row>
    <row r="313" spans="1:11" x14ac:dyDescent="0.25">
      <c r="A313" s="6" t="s">
        <v>590</v>
      </c>
      <c r="B313" s="7" t="s">
        <v>55</v>
      </c>
      <c r="C313" s="14" t="s">
        <v>591</v>
      </c>
      <c r="D313" s="7" t="s">
        <v>149</v>
      </c>
      <c r="E313" s="7" t="s">
        <v>23</v>
      </c>
      <c r="F313" s="7" t="s">
        <v>43</v>
      </c>
      <c r="G313" s="8">
        <v>5</v>
      </c>
      <c r="H313" s="9">
        <v>350</v>
      </c>
      <c r="I313" s="9">
        <v>117.16</v>
      </c>
      <c r="J313" s="9">
        <f t="shared" si="10"/>
        <v>1632.84</v>
      </c>
      <c r="K313" s="7" t="s">
        <v>89</v>
      </c>
    </row>
    <row r="314" spans="1:11" x14ac:dyDescent="0.25">
      <c r="A314" s="2" t="s">
        <v>592</v>
      </c>
      <c r="B314" s="3" t="s">
        <v>34</v>
      </c>
      <c r="C314" s="13" t="s">
        <v>170</v>
      </c>
      <c r="D314" s="3" t="s">
        <v>22</v>
      </c>
      <c r="E314" s="3" t="s">
        <v>30</v>
      </c>
      <c r="F314" s="3" t="s">
        <v>31</v>
      </c>
      <c r="G314" s="4">
        <v>1</v>
      </c>
      <c r="H314" s="5">
        <v>2500</v>
      </c>
      <c r="I314" s="5">
        <v>334.31</v>
      </c>
      <c r="J314" s="5">
        <f t="shared" si="10"/>
        <v>2165.69</v>
      </c>
      <c r="K314" s="3" t="s">
        <v>65</v>
      </c>
    </row>
    <row r="315" spans="1:11" x14ac:dyDescent="0.25">
      <c r="A315" s="6" t="s">
        <v>593</v>
      </c>
      <c r="B315" s="7" t="s">
        <v>71</v>
      </c>
      <c r="C315" s="14" t="s">
        <v>298</v>
      </c>
      <c r="D315" s="7" t="s">
        <v>15</v>
      </c>
      <c r="E315" s="7" t="s">
        <v>30</v>
      </c>
      <c r="F315" s="7" t="s">
        <v>152</v>
      </c>
      <c r="G315" s="8">
        <v>1</v>
      </c>
      <c r="H315" s="9">
        <v>4500</v>
      </c>
      <c r="I315" s="9">
        <v>0</v>
      </c>
      <c r="J315" s="9">
        <f t="shared" si="10"/>
        <v>4500</v>
      </c>
      <c r="K315" s="7" t="s">
        <v>44</v>
      </c>
    </row>
    <row r="316" spans="1:11" x14ac:dyDescent="0.25">
      <c r="A316" s="2" t="s">
        <v>594</v>
      </c>
      <c r="B316" s="3" t="s">
        <v>63</v>
      </c>
      <c r="C316" s="13" t="s">
        <v>176</v>
      </c>
      <c r="D316" s="3" t="s">
        <v>39</v>
      </c>
      <c r="E316" s="3" t="s">
        <v>23</v>
      </c>
      <c r="F316" s="3" t="s">
        <v>43</v>
      </c>
      <c r="G316" s="4">
        <v>2</v>
      </c>
      <c r="H316" s="5">
        <v>350</v>
      </c>
      <c r="I316" s="5">
        <v>81.709999999999994</v>
      </c>
      <c r="J316" s="5">
        <f t="shared" si="10"/>
        <v>618.29</v>
      </c>
      <c r="K316" s="3" t="s">
        <v>89</v>
      </c>
    </row>
    <row r="317" spans="1:11" x14ac:dyDescent="0.25">
      <c r="A317" s="6" t="s">
        <v>595</v>
      </c>
      <c r="B317" s="7" t="s">
        <v>20</v>
      </c>
      <c r="C317" s="14" t="s">
        <v>596</v>
      </c>
      <c r="D317" s="7" t="s">
        <v>47</v>
      </c>
      <c r="E317" s="7" t="s">
        <v>52</v>
      </c>
      <c r="F317" s="7" t="s">
        <v>53</v>
      </c>
      <c r="G317" s="8">
        <v>1</v>
      </c>
      <c r="H317" s="9">
        <v>149</v>
      </c>
      <c r="I317" s="9">
        <v>11.32</v>
      </c>
      <c r="J317" s="9">
        <f t="shared" si="10"/>
        <v>137.68</v>
      </c>
      <c r="K317" s="7" t="s">
        <v>25</v>
      </c>
    </row>
    <row r="318" spans="1:11" x14ac:dyDescent="0.25">
      <c r="A318" s="2" t="s">
        <v>597</v>
      </c>
      <c r="B318" s="3" t="s">
        <v>41</v>
      </c>
      <c r="C318" s="13" t="s">
        <v>301</v>
      </c>
      <c r="D318" s="3" t="s">
        <v>15</v>
      </c>
      <c r="E318" s="3" t="s">
        <v>23</v>
      </c>
      <c r="F318" s="3" t="s">
        <v>43</v>
      </c>
      <c r="G318" s="4">
        <v>5</v>
      </c>
      <c r="H318" s="5">
        <v>350</v>
      </c>
      <c r="I318" s="5">
        <v>189.5</v>
      </c>
      <c r="J318" s="5">
        <f t="shared" si="10"/>
        <v>1560.5</v>
      </c>
      <c r="K318" s="3" t="s">
        <v>44</v>
      </c>
    </row>
    <row r="319" spans="1:11" x14ac:dyDescent="0.25">
      <c r="A319" s="6" t="s">
        <v>598</v>
      </c>
      <c r="B319" s="7" t="s">
        <v>13</v>
      </c>
      <c r="C319" s="14" t="s">
        <v>599</v>
      </c>
      <c r="D319" s="7" t="s">
        <v>29</v>
      </c>
      <c r="E319" s="7" t="s">
        <v>52</v>
      </c>
      <c r="F319" s="7" t="s">
        <v>75</v>
      </c>
      <c r="G319" s="8">
        <v>1</v>
      </c>
      <c r="H319" s="9">
        <v>249</v>
      </c>
      <c r="I319" s="9">
        <v>15.06</v>
      </c>
      <c r="J319" s="9">
        <f t="shared" si="10"/>
        <v>233.94</v>
      </c>
      <c r="K319" s="7" t="s">
        <v>44</v>
      </c>
    </row>
    <row r="320" spans="1:11" x14ac:dyDescent="0.25">
      <c r="A320" s="2" t="s">
        <v>600</v>
      </c>
      <c r="B320" s="3" t="s">
        <v>71</v>
      </c>
      <c r="C320" s="13" t="s">
        <v>601</v>
      </c>
      <c r="D320" s="3" t="s">
        <v>22</v>
      </c>
      <c r="E320" s="3" t="s">
        <v>30</v>
      </c>
      <c r="F320" s="3" t="s">
        <v>31</v>
      </c>
      <c r="G320" s="4">
        <v>4</v>
      </c>
      <c r="H320" s="5">
        <v>2500</v>
      </c>
      <c r="I320" s="5">
        <v>0</v>
      </c>
      <c r="J320" s="5">
        <f t="shared" si="10"/>
        <v>10000</v>
      </c>
      <c r="K320" s="3" t="s">
        <v>44</v>
      </c>
    </row>
    <row r="321" spans="1:11" x14ac:dyDescent="0.25">
      <c r="A321" s="6" t="s">
        <v>602</v>
      </c>
      <c r="B321" s="7" t="s">
        <v>37</v>
      </c>
      <c r="C321" s="14" t="s">
        <v>603</v>
      </c>
      <c r="D321" s="7" t="s">
        <v>22</v>
      </c>
      <c r="E321" s="7" t="s">
        <v>23</v>
      </c>
      <c r="F321" s="7" t="s">
        <v>24</v>
      </c>
      <c r="G321" s="8">
        <v>4</v>
      </c>
      <c r="H321" s="9">
        <v>180</v>
      </c>
      <c r="I321" s="9">
        <v>21.59</v>
      </c>
      <c r="J321" s="9">
        <f t="shared" si="10"/>
        <v>698.41</v>
      </c>
      <c r="K321" s="7" t="s">
        <v>89</v>
      </c>
    </row>
    <row r="322" spans="1:11" x14ac:dyDescent="0.25">
      <c r="A322" s="2" t="s">
        <v>604</v>
      </c>
      <c r="B322" s="3" t="s">
        <v>101</v>
      </c>
      <c r="C322" s="13" t="s">
        <v>98</v>
      </c>
      <c r="D322" s="3" t="s">
        <v>22</v>
      </c>
      <c r="E322" s="3" t="s">
        <v>30</v>
      </c>
      <c r="F322" s="3" t="s">
        <v>31</v>
      </c>
      <c r="G322" s="4">
        <v>5</v>
      </c>
      <c r="H322" s="5">
        <v>2500</v>
      </c>
      <c r="I322" s="5">
        <v>0</v>
      </c>
      <c r="J322" s="5">
        <f t="shared" si="10"/>
        <v>12500</v>
      </c>
      <c r="K322" s="3" t="s">
        <v>89</v>
      </c>
    </row>
    <row r="323" spans="1:11" x14ac:dyDescent="0.25">
      <c r="A323" s="6" t="s">
        <v>605</v>
      </c>
      <c r="B323" s="7" t="s">
        <v>110</v>
      </c>
      <c r="C323" s="14" t="s">
        <v>278</v>
      </c>
      <c r="D323" s="7" t="s">
        <v>47</v>
      </c>
      <c r="E323" s="7" t="s">
        <v>23</v>
      </c>
      <c r="F323" s="7" t="s">
        <v>24</v>
      </c>
      <c r="G323" s="8">
        <v>2</v>
      </c>
      <c r="H323" s="9">
        <v>180</v>
      </c>
      <c r="I323" s="9">
        <v>35.21</v>
      </c>
      <c r="J323" s="9">
        <f t="shared" si="10"/>
        <v>324.79000000000002</v>
      </c>
      <c r="K323" s="7" t="s">
        <v>69</v>
      </c>
    </row>
    <row r="324" spans="1:11" x14ac:dyDescent="0.25">
      <c r="A324" s="2" t="s">
        <v>606</v>
      </c>
      <c r="B324" s="3" t="s">
        <v>63</v>
      </c>
      <c r="C324" s="13" t="s">
        <v>547</v>
      </c>
      <c r="D324" s="3" t="s">
        <v>22</v>
      </c>
      <c r="E324" s="3" t="s">
        <v>52</v>
      </c>
      <c r="F324" s="3" t="s">
        <v>61</v>
      </c>
      <c r="G324" s="4">
        <v>2</v>
      </c>
      <c r="H324" s="5">
        <v>199</v>
      </c>
      <c r="I324" s="5">
        <v>0</v>
      </c>
      <c r="J324" s="5">
        <f t="shared" si="10"/>
        <v>398</v>
      </c>
      <c r="K324" s="3" t="s">
        <v>89</v>
      </c>
    </row>
    <row r="325" spans="1:11" x14ac:dyDescent="0.25">
      <c r="A325" s="6" t="s">
        <v>607</v>
      </c>
      <c r="B325" s="7" t="s">
        <v>37</v>
      </c>
      <c r="C325" s="14" t="s">
        <v>170</v>
      </c>
      <c r="D325" s="7" t="s">
        <v>22</v>
      </c>
      <c r="E325" s="7" t="s">
        <v>23</v>
      </c>
      <c r="F325" s="7" t="s">
        <v>88</v>
      </c>
      <c r="G325" s="8">
        <v>3</v>
      </c>
      <c r="H325" s="9">
        <v>650</v>
      </c>
      <c r="I325" s="9">
        <v>177.09</v>
      </c>
      <c r="J325" s="9">
        <f t="shared" si="10"/>
        <v>1772.91</v>
      </c>
      <c r="K325" s="7" t="s">
        <v>89</v>
      </c>
    </row>
    <row r="326" spans="1:11" x14ac:dyDescent="0.25">
      <c r="A326" s="2" t="s">
        <v>608</v>
      </c>
      <c r="B326" s="3" t="s">
        <v>27</v>
      </c>
      <c r="C326" s="13" t="s">
        <v>290</v>
      </c>
      <c r="D326" s="3" t="s">
        <v>47</v>
      </c>
      <c r="E326" s="3" t="s">
        <v>30</v>
      </c>
      <c r="F326" s="3" t="s">
        <v>106</v>
      </c>
      <c r="G326" s="4">
        <v>5</v>
      </c>
      <c r="H326" s="5">
        <v>299</v>
      </c>
      <c r="I326" s="5">
        <v>205.52</v>
      </c>
      <c r="J326" s="5">
        <f t="shared" si="10"/>
        <v>1289.48</v>
      </c>
      <c r="K326" s="3" t="s">
        <v>18</v>
      </c>
    </row>
    <row r="327" spans="1:11" x14ac:dyDescent="0.25">
      <c r="A327" s="6" t="s">
        <v>609</v>
      </c>
      <c r="B327" s="7" t="s">
        <v>13</v>
      </c>
      <c r="C327" s="14" t="s">
        <v>601</v>
      </c>
      <c r="D327" s="7" t="s">
        <v>22</v>
      </c>
      <c r="E327" s="7" t="s">
        <v>23</v>
      </c>
      <c r="F327" s="7" t="s">
        <v>24</v>
      </c>
      <c r="G327" s="8">
        <v>5</v>
      </c>
      <c r="H327" s="9">
        <v>180</v>
      </c>
      <c r="I327" s="9">
        <v>0</v>
      </c>
      <c r="J327" s="9">
        <f t="shared" ref="J327:J335" si="11">(G327*H327)-I327</f>
        <v>900</v>
      </c>
      <c r="K327" s="7" t="s">
        <v>25</v>
      </c>
    </row>
    <row r="328" spans="1:11" x14ac:dyDescent="0.25">
      <c r="A328" s="2" t="s">
        <v>610</v>
      </c>
      <c r="B328" s="3" t="s">
        <v>71</v>
      </c>
      <c r="C328" s="13" t="s">
        <v>218</v>
      </c>
      <c r="D328" s="3" t="s">
        <v>15</v>
      </c>
      <c r="E328" s="3" t="s">
        <v>23</v>
      </c>
      <c r="F328" s="3" t="s">
        <v>48</v>
      </c>
      <c r="G328" s="4">
        <v>3</v>
      </c>
      <c r="H328" s="5">
        <v>450</v>
      </c>
      <c r="I328" s="5">
        <v>183.8</v>
      </c>
      <c r="J328" s="5">
        <f t="shared" si="11"/>
        <v>1166.2</v>
      </c>
      <c r="K328" s="3" t="s">
        <v>69</v>
      </c>
    </row>
    <row r="329" spans="1:11" x14ac:dyDescent="0.25">
      <c r="A329" s="6" t="s">
        <v>611</v>
      </c>
      <c r="B329" s="7" t="s">
        <v>55</v>
      </c>
      <c r="C329" s="14" t="s">
        <v>612</v>
      </c>
      <c r="D329" s="7" t="s">
        <v>39</v>
      </c>
      <c r="E329" s="7" t="s">
        <v>52</v>
      </c>
      <c r="F329" s="7" t="s">
        <v>75</v>
      </c>
      <c r="G329" s="8">
        <v>5</v>
      </c>
      <c r="H329" s="9">
        <v>249</v>
      </c>
      <c r="I329" s="9">
        <v>65.94</v>
      </c>
      <c r="J329" s="9">
        <f t="shared" si="11"/>
        <v>1179.06</v>
      </c>
      <c r="K329" s="7" t="s">
        <v>69</v>
      </c>
    </row>
    <row r="330" spans="1:11" x14ac:dyDescent="0.25">
      <c r="A330" s="2" t="s">
        <v>613</v>
      </c>
      <c r="B330" s="3" t="s">
        <v>110</v>
      </c>
      <c r="C330" s="13" t="s">
        <v>614</v>
      </c>
      <c r="D330" s="3" t="s">
        <v>22</v>
      </c>
      <c r="E330" s="3" t="s">
        <v>23</v>
      </c>
      <c r="F330" s="3" t="s">
        <v>88</v>
      </c>
      <c r="G330" s="4">
        <v>1</v>
      </c>
      <c r="H330" s="5">
        <v>650</v>
      </c>
      <c r="I330" s="5">
        <v>0</v>
      </c>
      <c r="J330" s="5">
        <f t="shared" si="11"/>
        <v>650</v>
      </c>
      <c r="K330" s="3" t="s">
        <v>25</v>
      </c>
    </row>
    <row r="331" spans="1:11" x14ac:dyDescent="0.25">
      <c r="A331" s="6" t="s">
        <v>615</v>
      </c>
      <c r="B331" s="7" t="s">
        <v>110</v>
      </c>
      <c r="C331" s="14" t="s">
        <v>616</v>
      </c>
      <c r="D331" s="7" t="s">
        <v>29</v>
      </c>
      <c r="E331" s="7" t="s">
        <v>16</v>
      </c>
      <c r="F331" s="7" t="s">
        <v>116</v>
      </c>
      <c r="G331" s="8">
        <v>3</v>
      </c>
      <c r="H331" s="9">
        <v>45</v>
      </c>
      <c r="I331" s="9">
        <v>10.220000000000001</v>
      </c>
      <c r="J331" s="9">
        <f t="shared" si="11"/>
        <v>124.78</v>
      </c>
      <c r="K331" s="7" t="s">
        <v>25</v>
      </c>
    </row>
    <row r="332" spans="1:11" x14ac:dyDescent="0.25">
      <c r="A332" s="2" t="s">
        <v>617</v>
      </c>
      <c r="B332" s="3" t="s">
        <v>34</v>
      </c>
      <c r="C332" s="13" t="s">
        <v>618</v>
      </c>
      <c r="D332" s="3" t="s">
        <v>39</v>
      </c>
      <c r="E332" s="3" t="s">
        <v>23</v>
      </c>
      <c r="F332" s="3" t="s">
        <v>43</v>
      </c>
      <c r="G332" s="4">
        <v>2</v>
      </c>
      <c r="H332" s="5">
        <v>350</v>
      </c>
      <c r="I332" s="5">
        <v>71.5</v>
      </c>
      <c r="J332" s="5">
        <f t="shared" si="11"/>
        <v>628.5</v>
      </c>
      <c r="K332" s="3" t="s">
        <v>69</v>
      </c>
    </row>
    <row r="333" spans="1:11" x14ac:dyDescent="0.25">
      <c r="A333" s="6" t="s">
        <v>619</v>
      </c>
      <c r="B333" s="7" t="s">
        <v>34</v>
      </c>
      <c r="C333" s="14" t="s">
        <v>360</v>
      </c>
      <c r="D333" s="7" t="s">
        <v>15</v>
      </c>
      <c r="E333" s="7" t="s">
        <v>52</v>
      </c>
      <c r="F333" s="7" t="s">
        <v>99</v>
      </c>
      <c r="G333" s="8">
        <v>2</v>
      </c>
      <c r="H333" s="9">
        <v>79</v>
      </c>
      <c r="I333" s="9">
        <v>0</v>
      </c>
      <c r="J333" s="9">
        <f t="shared" si="11"/>
        <v>158</v>
      </c>
      <c r="K333" s="7" t="s">
        <v>89</v>
      </c>
    </row>
    <row r="334" spans="1:11" x14ac:dyDescent="0.25">
      <c r="A334" s="2" t="s">
        <v>620</v>
      </c>
      <c r="B334" s="3" t="s">
        <v>71</v>
      </c>
      <c r="C334" s="13" t="s">
        <v>220</v>
      </c>
      <c r="D334" s="3" t="s">
        <v>47</v>
      </c>
      <c r="E334" s="3" t="s">
        <v>30</v>
      </c>
      <c r="F334" s="3" t="s">
        <v>68</v>
      </c>
      <c r="G334" s="4">
        <v>4</v>
      </c>
      <c r="H334" s="5">
        <v>799</v>
      </c>
      <c r="I334" s="5">
        <v>133.94999999999999</v>
      </c>
      <c r="J334" s="5">
        <f t="shared" si="11"/>
        <v>3062.05</v>
      </c>
      <c r="K334" s="3" t="s">
        <v>89</v>
      </c>
    </row>
    <row r="335" spans="1:11" x14ac:dyDescent="0.25">
      <c r="A335" s="6" t="s">
        <v>621</v>
      </c>
      <c r="B335" s="7" t="s">
        <v>277</v>
      </c>
      <c r="C335" s="14" t="s">
        <v>622</v>
      </c>
      <c r="D335" s="7" t="s">
        <v>39</v>
      </c>
      <c r="E335" s="7" t="s">
        <v>52</v>
      </c>
      <c r="F335" s="7" t="s">
        <v>99</v>
      </c>
      <c r="G335" s="8">
        <v>5</v>
      </c>
      <c r="H335" s="9">
        <v>79</v>
      </c>
      <c r="I335" s="9">
        <v>0</v>
      </c>
      <c r="J335" s="9">
        <f t="shared" si="11"/>
        <v>395</v>
      </c>
      <c r="K335" s="7" t="s">
        <v>18</v>
      </c>
    </row>
    <row r="336" spans="1:11" x14ac:dyDescent="0.25">
      <c r="A336" s="2" t="s">
        <v>623</v>
      </c>
      <c r="B336" s="3" t="s">
        <v>101</v>
      </c>
      <c r="C336" s="13" t="s">
        <v>263</v>
      </c>
      <c r="D336" s="3" t="s">
        <v>22</v>
      </c>
      <c r="E336" s="3" t="s">
        <v>16</v>
      </c>
      <c r="F336" s="3" t="s">
        <v>17</v>
      </c>
      <c r="G336" s="4">
        <v>4</v>
      </c>
      <c r="H336" s="10"/>
      <c r="I336" s="5">
        <v>4.12</v>
      </c>
      <c r="J336" s="5"/>
      <c r="K336" s="3" t="s">
        <v>25</v>
      </c>
    </row>
    <row r="337" spans="1:11" x14ac:dyDescent="0.25">
      <c r="A337" s="6" t="s">
        <v>624</v>
      </c>
      <c r="B337" s="7" t="s">
        <v>20</v>
      </c>
      <c r="C337" s="14" t="s">
        <v>21</v>
      </c>
      <c r="D337" s="7" t="s">
        <v>47</v>
      </c>
      <c r="E337" s="7" t="s">
        <v>23</v>
      </c>
      <c r="F337" s="7" t="s">
        <v>24</v>
      </c>
      <c r="G337" s="8">
        <v>4</v>
      </c>
      <c r="H337" s="9">
        <v>180</v>
      </c>
      <c r="I337" s="9">
        <v>0</v>
      </c>
      <c r="J337" s="9">
        <f>(G337*H337)-I337</f>
        <v>720</v>
      </c>
      <c r="K337" s="7" t="s">
        <v>44</v>
      </c>
    </row>
    <row r="338" spans="1:11" x14ac:dyDescent="0.25">
      <c r="A338" s="2" t="s">
        <v>625</v>
      </c>
      <c r="B338" s="3" t="s">
        <v>101</v>
      </c>
      <c r="C338" s="13" t="s">
        <v>151</v>
      </c>
      <c r="D338" s="3" t="s">
        <v>39</v>
      </c>
      <c r="E338" s="3" t="s">
        <v>30</v>
      </c>
      <c r="F338" s="3" t="s">
        <v>106</v>
      </c>
      <c r="G338" s="4">
        <v>2</v>
      </c>
      <c r="H338" s="5">
        <v>299</v>
      </c>
      <c r="I338" s="5">
        <v>0</v>
      </c>
      <c r="J338" s="5">
        <f>(G338*H338)-I338</f>
        <v>598</v>
      </c>
      <c r="K338" s="3" t="s">
        <v>44</v>
      </c>
    </row>
    <row r="339" spans="1:11" x14ac:dyDescent="0.25">
      <c r="A339" s="6" t="s">
        <v>626</v>
      </c>
      <c r="B339" s="7" t="s">
        <v>101</v>
      </c>
      <c r="C339" s="14" t="s">
        <v>627</v>
      </c>
      <c r="D339" s="7" t="s">
        <v>47</v>
      </c>
      <c r="E339" s="7" t="s">
        <v>16</v>
      </c>
      <c r="F339" s="7" t="s">
        <v>116</v>
      </c>
      <c r="G339" s="8">
        <v>5</v>
      </c>
      <c r="H339" s="9">
        <v>45</v>
      </c>
      <c r="I339" s="9">
        <v>5.2</v>
      </c>
      <c r="J339" s="9">
        <f>(G339*H339)-I339</f>
        <v>219.8</v>
      </c>
      <c r="K339" s="7" t="s">
        <v>32</v>
      </c>
    </row>
    <row r="340" spans="1:11" x14ac:dyDescent="0.25">
      <c r="A340" s="2" t="s">
        <v>628</v>
      </c>
      <c r="B340" s="3" t="s">
        <v>20</v>
      </c>
      <c r="C340" s="13" t="s">
        <v>174</v>
      </c>
      <c r="D340" s="3" t="s">
        <v>47</v>
      </c>
      <c r="E340" s="3" t="s">
        <v>16</v>
      </c>
      <c r="F340" s="3" t="s">
        <v>78</v>
      </c>
      <c r="G340" s="4">
        <v>1</v>
      </c>
      <c r="H340" s="5">
        <v>59</v>
      </c>
      <c r="I340" s="5">
        <v>6.01</v>
      </c>
      <c r="J340" s="5">
        <f>(G340*H340)-I340</f>
        <v>52.99</v>
      </c>
      <c r="K340" s="3" t="s">
        <v>49</v>
      </c>
    </row>
    <row r="341" spans="1:11" x14ac:dyDescent="0.25">
      <c r="A341" s="6" t="s">
        <v>629</v>
      </c>
      <c r="B341" s="7" t="s">
        <v>277</v>
      </c>
      <c r="C341" s="14" t="s">
        <v>630</v>
      </c>
      <c r="D341" s="7" t="s">
        <v>47</v>
      </c>
      <c r="E341" s="7" t="s">
        <v>30</v>
      </c>
      <c r="F341" s="7" t="s">
        <v>106</v>
      </c>
      <c r="G341" s="8">
        <v>4</v>
      </c>
      <c r="H341" s="9">
        <v>299</v>
      </c>
      <c r="I341" s="9">
        <v>0</v>
      </c>
      <c r="J341" s="9">
        <f>(G341*H341)-I341</f>
        <v>1196</v>
      </c>
      <c r="K341" s="7" t="s">
        <v>69</v>
      </c>
    </row>
    <row r="342" spans="1:11" x14ac:dyDescent="0.25">
      <c r="A342" s="2" t="s">
        <v>631</v>
      </c>
      <c r="B342" s="3" t="s">
        <v>13</v>
      </c>
      <c r="C342" s="13" t="s">
        <v>632</v>
      </c>
      <c r="D342" s="3" t="s">
        <v>47</v>
      </c>
      <c r="E342" s="3" t="s">
        <v>30</v>
      </c>
      <c r="F342" s="3" t="s">
        <v>31</v>
      </c>
      <c r="G342" s="4">
        <v>5</v>
      </c>
      <c r="H342" s="10"/>
      <c r="I342" s="5">
        <v>0</v>
      </c>
      <c r="J342" s="5"/>
      <c r="K342" s="3" t="s">
        <v>25</v>
      </c>
    </row>
    <row r="343" spans="1:11" x14ac:dyDescent="0.25">
      <c r="A343" s="6" t="s">
        <v>633</v>
      </c>
      <c r="B343" s="7" t="s">
        <v>101</v>
      </c>
      <c r="C343" s="14" t="s">
        <v>634</v>
      </c>
      <c r="D343" s="7" t="s">
        <v>15</v>
      </c>
      <c r="E343" s="7" t="s">
        <v>16</v>
      </c>
      <c r="F343" s="7" t="s">
        <v>116</v>
      </c>
      <c r="G343" s="8">
        <v>1</v>
      </c>
      <c r="H343" s="9">
        <v>45</v>
      </c>
      <c r="I343" s="9">
        <v>0.5</v>
      </c>
      <c r="J343" s="9">
        <f t="shared" ref="J343:J366" si="12">(G343*H343)-I343</f>
        <v>44.5</v>
      </c>
      <c r="K343" s="7" t="s">
        <v>44</v>
      </c>
    </row>
    <row r="344" spans="1:11" x14ac:dyDescent="0.25">
      <c r="A344" s="2" t="s">
        <v>635</v>
      </c>
      <c r="B344" s="3" t="s">
        <v>34</v>
      </c>
      <c r="C344" s="13" t="s">
        <v>151</v>
      </c>
      <c r="D344" s="3" t="s">
        <v>22</v>
      </c>
      <c r="E344" s="3" t="s">
        <v>52</v>
      </c>
      <c r="F344" s="3" t="s">
        <v>61</v>
      </c>
      <c r="G344" s="4">
        <v>4</v>
      </c>
      <c r="H344" s="5">
        <v>199</v>
      </c>
      <c r="I344" s="5">
        <v>65.75</v>
      </c>
      <c r="J344" s="5">
        <f t="shared" si="12"/>
        <v>730.25</v>
      </c>
      <c r="K344" s="3" t="s">
        <v>65</v>
      </c>
    </row>
    <row r="345" spans="1:11" x14ac:dyDescent="0.25">
      <c r="A345" s="6" t="s">
        <v>636</v>
      </c>
      <c r="B345" s="7" t="s">
        <v>71</v>
      </c>
      <c r="C345" s="14" t="s">
        <v>407</v>
      </c>
      <c r="D345" s="7" t="s">
        <v>15</v>
      </c>
      <c r="E345" s="7" t="s">
        <v>16</v>
      </c>
      <c r="F345" s="7" t="s">
        <v>116</v>
      </c>
      <c r="G345" s="8">
        <v>3</v>
      </c>
      <c r="H345" s="9">
        <v>45</v>
      </c>
      <c r="I345" s="9">
        <v>0</v>
      </c>
      <c r="J345" s="9">
        <f t="shared" si="12"/>
        <v>135</v>
      </c>
      <c r="K345" s="7" t="s">
        <v>44</v>
      </c>
    </row>
    <row r="346" spans="1:11" x14ac:dyDescent="0.25">
      <c r="A346" s="2" t="s">
        <v>637</v>
      </c>
      <c r="B346" s="3" t="s">
        <v>41</v>
      </c>
      <c r="C346" s="13" t="s">
        <v>638</v>
      </c>
      <c r="D346" s="3" t="s">
        <v>29</v>
      </c>
      <c r="E346" s="3" t="s">
        <v>30</v>
      </c>
      <c r="F346" s="3" t="s">
        <v>106</v>
      </c>
      <c r="G346" s="4">
        <v>1</v>
      </c>
      <c r="H346" s="5">
        <v>299</v>
      </c>
      <c r="I346" s="5">
        <v>19.649999999999999</v>
      </c>
      <c r="J346" s="5">
        <f t="shared" si="12"/>
        <v>279.35000000000002</v>
      </c>
      <c r="K346" s="3" t="s">
        <v>18</v>
      </c>
    </row>
    <row r="347" spans="1:11" x14ac:dyDescent="0.25">
      <c r="A347" s="6" t="s">
        <v>639</v>
      </c>
      <c r="B347" s="7" t="s">
        <v>95</v>
      </c>
      <c r="C347" s="14" t="s">
        <v>67</v>
      </c>
      <c r="D347" s="7" t="s">
        <v>22</v>
      </c>
      <c r="E347" s="7" t="s">
        <v>16</v>
      </c>
      <c r="F347" s="7" t="s">
        <v>17</v>
      </c>
      <c r="G347" s="8">
        <v>4</v>
      </c>
      <c r="H347" s="9">
        <v>39</v>
      </c>
      <c r="I347" s="9">
        <v>0</v>
      </c>
      <c r="J347" s="9">
        <f t="shared" si="12"/>
        <v>156</v>
      </c>
      <c r="K347" s="7" t="s">
        <v>44</v>
      </c>
    </row>
    <row r="348" spans="1:11" x14ac:dyDescent="0.25">
      <c r="A348" s="2" t="s">
        <v>640</v>
      </c>
      <c r="B348" s="3" t="s">
        <v>95</v>
      </c>
      <c r="C348" s="13" t="s">
        <v>183</v>
      </c>
      <c r="D348" s="3" t="s">
        <v>39</v>
      </c>
      <c r="E348" s="3" t="s">
        <v>16</v>
      </c>
      <c r="F348" s="3" t="s">
        <v>17</v>
      </c>
      <c r="G348" s="4">
        <v>2</v>
      </c>
      <c r="H348" s="5">
        <v>39</v>
      </c>
      <c r="I348" s="5">
        <v>2.83</v>
      </c>
      <c r="J348" s="5">
        <f t="shared" si="12"/>
        <v>75.17</v>
      </c>
      <c r="K348" s="3" t="s">
        <v>89</v>
      </c>
    </row>
    <row r="349" spans="1:11" x14ac:dyDescent="0.25">
      <c r="A349" s="6" t="s">
        <v>641</v>
      </c>
      <c r="B349" s="7" t="s">
        <v>71</v>
      </c>
      <c r="C349" s="14" t="s">
        <v>108</v>
      </c>
      <c r="D349" s="7" t="s">
        <v>29</v>
      </c>
      <c r="E349" s="7" t="s">
        <v>23</v>
      </c>
      <c r="F349" s="7" t="s">
        <v>24</v>
      </c>
      <c r="G349" s="8">
        <v>1</v>
      </c>
      <c r="H349" s="9">
        <v>180</v>
      </c>
      <c r="I349" s="9">
        <v>0</v>
      </c>
      <c r="J349" s="9">
        <f t="shared" si="12"/>
        <v>180</v>
      </c>
      <c r="K349" s="7" t="s">
        <v>18</v>
      </c>
    </row>
    <row r="350" spans="1:11" x14ac:dyDescent="0.25">
      <c r="A350" s="2" t="s">
        <v>642</v>
      </c>
      <c r="B350" s="3" t="s">
        <v>20</v>
      </c>
      <c r="C350" s="13" t="s">
        <v>547</v>
      </c>
      <c r="D350" s="3" t="s">
        <v>47</v>
      </c>
      <c r="E350" s="3" t="s">
        <v>16</v>
      </c>
      <c r="F350" s="3" t="s">
        <v>103</v>
      </c>
      <c r="G350" s="4">
        <v>2</v>
      </c>
      <c r="H350" s="5">
        <v>89</v>
      </c>
      <c r="I350" s="5">
        <v>6.62</v>
      </c>
      <c r="J350" s="5">
        <f t="shared" si="12"/>
        <v>171.38</v>
      </c>
      <c r="K350" s="3" t="s">
        <v>32</v>
      </c>
    </row>
    <row r="351" spans="1:11" x14ac:dyDescent="0.25">
      <c r="A351" s="6" t="s">
        <v>643</v>
      </c>
      <c r="B351" s="7" t="s">
        <v>41</v>
      </c>
      <c r="C351" s="14" t="s">
        <v>449</v>
      </c>
      <c r="D351" s="7" t="s">
        <v>15</v>
      </c>
      <c r="E351" s="7" t="s">
        <v>23</v>
      </c>
      <c r="F351" s="7" t="s">
        <v>43</v>
      </c>
      <c r="G351" s="8">
        <v>3</v>
      </c>
      <c r="H351" s="9">
        <v>350</v>
      </c>
      <c r="I351" s="9">
        <v>0</v>
      </c>
      <c r="J351" s="9">
        <f t="shared" si="12"/>
        <v>1050</v>
      </c>
      <c r="K351" s="7" t="s">
        <v>89</v>
      </c>
    </row>
    <row r="352" spans="1:11" x14ac:dyDescent="0.25">
      <c r="A352" s="2" t="s">
        <v>644</v>
      </c>
      <c r="B352" s="3" t="s">
        <v>134</v>
      </c>
      <c r="C352" s="13" t="s">
        <v>353</v>
      </c>
      <c r="D352" s="3" t="s">
        <v>39</v>
      </c>
      <c r="E352" s="3" t="s">
        <v>16</v>
      </c>
      <c r="F352" s="3" t="s">
        <v>103</v>
      </c>
      <c r="G352" s="4">
        <v>5</v>
      </c>
      <c r="H352" s="5">
        <v>89</v>
      </c>
      <c r="I352" s="5">
        <v>0</v>
      </c>
      <c r="J352" s="5">
        <f t="shared" si="12"/>
        <v>445</v>
      </c>
      <c r="K352" s="3" t="s">
        <v>32</v>
      </c>
    </row>
    <row r="353" spans="1:11" x14ac:dyDescent="0.25">
      <c r="A353" s="6" t="s">
        <v>645</v>
      </c>
      <c r="B353" s="7" t="s">
        <v>95</v>
      </c>
      <c r="C353" s="14" t="s">
        <v>435</v>
      </c>
      <c r="D353" s="7" t="s">
        <v>29</v>
      </c>
      <c r="E353" s="7" t="s">
        <v>52</v>
      </c>
      <c r="F353" s="7" t="s">
        <v>53</v>
      </c>
      <c r="G353" s="8">
        <v>3</v>
      </c>
      <c r="H353" s="9">
        <v>149</v>
      </c>
      <c r="I353" s="9">
        <v>30.6</v>
      </c>
      <c r="J353" s="9">
        <f t="shared" si="12"/>
        <v>416.4</v>
      </c>
      <c r="K353" s="7" t="s">
        <v>18</v>
      </c>
    </row>
    <row r="354" spans="1:11" x14ac:dyDescent="0.25">
      <c r="A354" s="2" t="s">
        <v>646</v>
      </c>
      <c r="B354" s="3" t="s">
        <v>71</v>
      </c>
      <c r="C354" s="13" t="s">
        <v>42</v>
      </c>
      <c r="D354" s="3" t="s">
        <v>39</v>
      </c>
      <c r="E354" s="3" t="s">
        <v>52</v>
      </c>
      <c r="F354" s="3" t="s">
        <v>61</v>
      </c>
      <c r="G354" s="4">
        <v>3</v>
      </c>
      <c r="H354" s="5">
        <v>199</v>
      </c>
      <c r="I354" s="5">
        <v>71.75</v>
      </c>
      <c r="J354" s="5">
        <f t="shared" si="12"/>
        <v>525.25</v>
      </c>
      <c r="K354" s="3" t="s">
        <v>89</v>
      </c>
    </row>
    <row r="355" spans="1:11" x14ac:dyDescent="0.25">
      <c r="A355" s="6" t="s">
        <v>647</v>
      </c>
      <c r="B355" s="7" t="s">
        <v>63</v>
      </c>
      <c r="C355" s="14" t="s">
        <v>227</v>
      </c>
      <c r="D355" s="7" t="s">
        <v>47</v>
      </c>
      <c r="E355" s="7" t="s">
        <v>23</v>
      </c>
      <c r="F355" s="7" t="s">
        <v>24</v>
      </c>
      <c r="G355" s="8">
        <v>1</v>
      </c>
      <c r="H355" s="9">
        <v>180</v>
      </c>
      <c r="I355" s="9">
        <v>0</v>
      </c>
      <c r="J355" s="9">
        <f t="shared" si="12"/>
        <v>180</v>
      </c>
      <c r="K355" s="7" t="s">
        <v>18</v>
      </c>
    </row>
    <row r="356" spans="1:11" x14ac:dyDescent="0.25">
      <c r="A356" s="2" t="s">
        <v>648</v>
      </c>
      <c r="B356" s="3" t="s">
        <v>34</v>
      </c>
      <c r="C356" s="13" t="s">
        <v>93</v>
      </c>
      <c r="D356" s="3" t="s">
        <v>22</v>
      </c>
      <c r="E356" s="3" t="s">
        <v>52</v>
      </c>
      <c r="F356" s="3" t="s">
        <v>61</v>
      </c>
      <c r="G356" s="4">
        <v>3</v>
      </c>
      <c r="H356" s="5">
        <v>199</v>
      </c>
      <c r="I356" s="5">
        <v>0</v>
      </c>
      <c r="J356" s="5">
        <f t="shared" si="12"/>
        <v>597</v>
      </c>
      <c r="K356" s="3" t="s">
        <v>25</v>
      </c>
    </row>
    <row r="357" spans="1:11" x14ac:dyDescent="0.25">
      <c r="A357" s="6" t="s">
        <v>649</v>
      </c>
      <c r="B357" s="7" t="s">
        <v>95</v>
      </c>
      <c r="C357" s="14" t="s">
        <v>650</v>
      </c>
      <c r="D357" s="7" t="s">
        <v>22</v>
      </c>
      <c r="E357" s="7" t="s">
        <v>23</v>
      </c>
      <c r="F357" s="7" t="s">
        <v>24</v>
      </c>
      <c r="G357" s="8">
        <v>1</v>
      </c>
      <c r="H357" s="9">
        <v>180</v>
      </c>
      <c r="I357" s="9">
        <v>26.3</v>
      </c>
      <c r="J357" s="9">
        <f t="shared" si="12"/>
        <v>153.69999999999999</v>
      </c>
      <c r="K357" s="7" t="s">
        <v>49</v>
      </c>
    </row>
    <row r="358" spans="1:11" x14ac:dyDescent="0.25">
      <c r="A358" s="2" t="s">
        <v>651</v>
      </c>
      <c r="B358" s="3" t="s">
        <v>37</v>
      </c>
      <c r="C358" s="13" t="s">
        <v>652</v>
      </c>
      <c r="D358" s="3" t="s">
        <v>29</v>
      </c>
      <c r="E358" s="3" t="s">
        <v>16</v>
      </c>
      <c r="F358" s="3" t="s">
        <v>116</v>
      </c>
      <c r="G358" s="4">
        <v>5</v>
      </c>
      <c r="H358" s="5">
        <v>45</v>
      </c>
      <c r="I358" s="5">
        <v>14.49</v>
      </c>
      <c r="J358" s="5">
        <f t="shared" si="12"/>
        <v>210.51</v>
      </c>
      <c r="K358" s="3" t="s">
        <v>89</v>
      </c>
    </row>
    <row r="359" spans="1:11" x14ac:dyDescent="0.25">
      <c r="A359" s="6" t="s">
        <v>653</v>
      </c>
      <c r="B359" s="7" t="s">
        <v>95</v>
      </c>
      <c r="C359" s="14" t="s">
        <v>314</v>
      </c>
      <c r="D359" s="7" t="s">
        <v>15</v>
      </c>
      <c r="E359" s="7" t="s">
        <v>52</v>
      </c>
      <c r="F359" s="7" t="s">
        <v>61</v>
      </c>
      <c r="G359" s="8">
        <v>1</v>
      </c>
      <c r="H359" s="9">
        <v>199</v>
      </c>
      <c r="I359" s="9">
        <v>4.57</v>
      </c>
      <c r="J359" s="9">
        <f t="shared" si="12"/>
        <v>194.43</v>
      </c>
      <c r="K359" s="7" t="s">
        <v>49</v>
      </c>
    </row>
    <row r="360" spans="1:11" x14ac:dyDescent="0.25">
      <c r="A360" s="2" t="s">
        <v>654</v>
      </c>
      <c r="B360" s="3" t="s">
        <v>41</v>
      </c>
      <c r="C360" s="13" t="s">
        <v>655</v>
      </c>
      <c r="D360" s="3" t="s">
        <v>29</v>
      </c>
      <c r="E360" s="3" t="s">
        <v>52</v>
      </c>
      <c r="F360" s="3" t="s">
        <v>99</v>
      </c>
      <c r="G360" s="4">
        <v>4</v>
      </c>
      <c r="H360" s="5">
        <v>79</v>
      </c>
      <c r="I360" s="5">
        <v>0</v>
      </c>
      <c r="J360" s="5">
        <f t="shared" si="12"/>
        <v>316</v>
      </c>
      <c r="K360" s="3" t="s">
        <v>32</v>
      </c>
    </row>
    <row r="361" spans="1:11" x14ac:dyDescent="0.25">
      <c r="A361" s="6" t="s">
        <v>656</v>
      </c>
      <c r="B361" s="7" t="s">
        <v>110</v>
      </c>
      <c r="C361" s="14" t="s">
        <v>58</v>
      </c>
      <c r="D361" s="7" t="s">
        <v>22</v>
      </c>
      <c r="E361" s="7" t="s">
        <v>30</v>
      </c>
      <c r="F361" s="7" t="s">
        <v>68</v>
      </c>
      <c r="G361" s="8">
        <v>3</v>
      </c>
      <c r="H361" s="9">
        <v>799</v>
      </c>
      <c r="I361" s="9">
        <v>0</v>
      </c>
      <c r="J361" s="9">
        <f t="shared" si="12"/>
        <v>2397</v>
      </c>
      <c r="K361" s="7" t="s">
        <v>25</v>
      </c>
    </row>
    <row r="362" spans="1:11" x14ac:dyDescent="0.25">
      <c r="A362" s="2" t="s">
        <v>657</v>
      </c>
      <c r="B362" s="3" t="s">
        <v>34</v>
      </c>
      <c r="C362" s="13" t="s">
        <v>412</v>
      </c>
      <c r="D362" s="3" t="s">
        <v>29</v>
      </c>
      <c r="E362" s="3" t="s">
        <v>16</v>
      </c>
      <c r="F362" s="3" t="s">
        <v>17</v>
      </c>
      <c r="G362" s="4">
        <v>1</v>
      </c>
      <c r="H362" s="5">
        <v>39</v>
      </c>
      <c r="I362" s="5">
        <v>0.99</v>
      </c>
      <c r="J362" s="5">
        <f t="shared" si="12"/>
        <v>38.01</v>
      </c>
      <c r="K362" s="3" t="s">
        <v>32</v>
      </c>
    </row>
    <row r="363" spans="1:11" x14ac:dyDescent="0.25">
      <c r="A363" s="6" t="s">
        <v>658</v>
      </c>
      <c r="B363" s="7" t="s">
        <v>71</v>
      </c>
      <c r="C363" s="14" t="s">
        <v>634</v>
      </c>
      <c r="D363" s="7" t="s">
        <v>47</v>
      </c>
      <c r="E363" s="7" t="s">
        <v>16</v>
      </c>
      <c r="F363" s="7" t="s">
        <v>116</v>
      </c>
      <c r="G363" s="8">
        <v>5</v>
      </c>
      <c r="H363" s="9">
        <v>45</v>
      </c>
      <c r="I363" s="9">
        <v>23.56</v>
      </c>
      <c r="J363" s="9">
        <f t="shared" si="12"/>
        <v>201.44</v>
      </c>
      <c r="K363" s="7" t="s">
        <v>69</v>
      </c>
    </row>
    <row r="364" spans="1:11" x14ac:dyDescent="0.25">
      <c r="A364" s="2" t="s">
        <v>659</v>
      </c>
      <c r="B364" s="3" t="s">
        <v>71</v>
      </c>
      <c r="C364" s="13" t="s">
        <v>423</v>
      </c>
      <c r="D364" s="3" t="s">
        <v>15</v>
      </c>
      <c r="E364" s="3" t="s">
        <v>23</v>
      </c>
      <c r="F364" s="3" t="s">
        <v>48</v>
      </c>
      <c r="G364" s="4">
        <v>5</v>
      </c>
      <c r="H364" s="5">
        <v>450</v>
      </c>
      <c r="I364" s="5">
        <v>161.06</v>
      </c>
      <c r="J364" s="5">
        <f t="shared" si="12"/>
        <v>2088.94</v>
      </c>
      <c r="K364" s="3" t="s">
        <v>44</v>
      </c>
    </row>
    <row r="365" spans="1:11" x14ac:dyDescent="0.25">
      <c r="A365" s="6" t="s">
        <v>660</v>
      </c>
      <c r="B365" s="7" t="s">
        <v>41</v>
      </c>
      <c r="C365" s="14" t="s">
        <v>211</v>
      </c>
      <c r="D365" s="7" t="s">
        <v>22</v>
      </c>
      <c r="E365" s="7" t="s">
        <v>30</v>
      </c>
      <c r="F365" s="7" t="s">
        <v>68</v>
      </c>
      <c r="G365" s="8">
        <v>1</v>
      </c>
      <c r="H365" s="9">
        <v>799</v>
      </c>
      <c r="I365" s="9">
        <v>5.5</v>
      </c>
      <c r="J365" s="9">
        <f t="shared" si="12"/>
        <v>793.5</v>
      </c>
      <c r="K365" s="7" t="s">
        <v>49</v>
      </c>
    </row>
    <row r="366" spans="1:11" x14ac:dyDescent="0.25">
      <c r="A366" s="2" t="s">
        <v>661</v>
      </c>
      <c r="B366" s="3" t="s">
        <v>34</v>
      </c>
      <c r="C366" s="13" t="s">
        <v>325</v>
      </c>
      <c r="D366" s="3" t="s">
        <v>22</v>
      </c>
      <c r="E366" s="3" t="s">
        <v>16</v>
      </c>
      <c r="F366" s="3" t="s">
        <v>17</v>
      </c>
      <c r="G366" s="4">
        <v>2</v>
      </c>
      <c r="H366" s="5">
        <v>39</v>
      </c>
      <c r="I366" s="5">
        <v>0</v>
      </c>
      <c r="J366" s="5">
        <f t="shared" si="12"/>
        <v>78</v>
      </c>
      <c r="K366" s="3" t="s">
        <v>44</v>
      </c>
    </row>
    <row r="367" spans="1:11" x14ac:dyDescent="0.25">
      <c r="A367" s="6" t="s">
        <v>662</v>
      </c>
      <c r="B367" s="7" t="s">
        <v>63</v>
      </c>
      <c r="C367" s="14" t="s">
        <v>591</v>
      </c>
      <c r="D367" s="7" t="s">
        <v>15</v>
      </c>
      <c r="E367" s="7" t="s">
        <v>16</v>
      </c>
      <c r="F367" s="7" t="s">
        <v>103</v>
      </c>
      <c r="G367" s="11"/>
      <c r="H367" s="9">
        <v>89</v>
      </c>
      <c r="I367" s="9">
        <v>11.87</v>
      </c>
      <c r="J367" s="9"/>
      <c r="K367" s="7" t="s">
        <v>44</v>
      </c>
    </row>
    <row r="368" spans="1:11" x14ac:dyDescent="0.25">
      <c r="A368" s="2" t="s">
        <v>663</v>
      </c>
      <c r="B368" s="3" t="s">
        <v>55</v>
      </c>
      <c r="C368" s="13" t="s">
        <v>664</v>
      </c>
      <c r="D368" s="3" t="s">
        <v>29</v>
      </c>
      <c r="E368" s="3" t="s">
        <v>23</v>
      </c>
      <c r="F368" s="3" t="s">
        <v>48</v>
      </c>
      <c r="G368" s="4">
        <v>2</v>
      </c>
      <c r="H368" s="5">
        <v>450</v>
      </c>
      <c r="I368" s="5">
        <v>89.1</v>
      </c>
      <c r="J368" s="5">
        <f t="shared" ref="J368:J431" si="13">(G368*H368)-I368</f>
        <v>810.9</v>
      </c>
      <c r="K368" s="3" t="s">
        <v>49</v>
      </c>
    </row>
    <row r="369" spans="1:11" x14ac:dyDescent="0.25">
      <c r="A369" s="6" t="s">
        <v>665</v>
      </c>
      <c r="B369" s="7" t="s">
        <v>55</v>
      </c>
      <c r="C369" s="14" t="s">
        <v>102</v>
      </c>
      <c r="D369" s="7" t="s">
        <v>15</v>
      </c>
      <c r="E369" s="7" t="s">
        <v>30</v>
      </c>
      <c r="F369" s="7" t="s">
        <v>31</v>
      </c>
      <c r="G369" s="8">
        <v>5</v>
      </c>
      <c r="H369" s="9">
        <v>2500</v>
      </c>
      <c r="I369" s="9">
        <v>983.87</v>
      </c>
      <c r="J369" s="9">
        <f t="shared" si="13"/>
        <v>11516.13</v>
      </c>
      <c r="K369" s="7" t="s">
        <v>25</v>
      </c>
    </row>
    <row r="370" spans="1:11" x14ac:dyDescent="0.25">
      <c r="A370" s="2" t="s">
        <v>666</v>
      </c>
      <c r="B370" s="3" t="s">
        <v>110</v>
      </c>
      <c r="C370" s="13" t="s">
        <v>513</v>
      </c>
      <c r="D370" s="3" t="s">
        <v>149</v>
      </c>
      <c r="E370" s="3" t="s">
        <v>23</v>
      </c>
      <c r="F370" s="3" t="s">
        <v>88</v>
      </c>
      <c r="G370" s="4">
        <v>5</v>
      </c>
      <c r="H370" s="5">
        <v>650</v>
      </c>
      <c r="I370" s="5">
        <v>0</v>
      </c>
      <c r="J370" s="5">
        <f t="shared" si="13"/>
        <v>3250</v>
      </c>
      <c r="K370" s="3" t="s">
        <v>44</v>
      </c>
    </row>
    <row r="371" spans="1:11" x14ac:dyDescent="0.25">
      <c r="A371" s="6" t="s">
        <v>667</v>
      </c>
      <c r="B371" s="7" t="s">
        <v>95</v>
      </c>
      <c r="C371" s="14" t="s">
        <v>267</v>
      </c>
      <c r="D371" s="7" t="s">
        <v>29</v>
      </c>
      <c r="E371" s="7" t="s">
        <v>16</v>
      </c>
      <c r="F371" s="7" t="s">
        <v>103</v>
      </c>
      <c r="G371" s="8">
        <v>1</v>
      </c>
      <c r="H371" s="9">
        <v>89</v>
      </c>
      <c r="I371" s="9">
        <v>0</v>
      </c>
      <c r="J371" s="9">
        <f t="shared" si="13"/>
        <v>89</v>
      </c>
      <c r="K371" s="7" t="s">
        <v>69</v>
      </c>
    </row>
    <row r="372" spans="1:11" x14ac:dyDescent="0.25">
      <c r="A372" s="2" t="s">
        <v>668</v>
      </c>
      <c r="B372" s="3" t="s">
        <v>110</v>
      </c>
      <c r="C372" s="13" t="s">
        <v>508</v>
      </c>
      <c r="D372" s="3" t="s">
        <v>22</v>
      </c>
      <c r="E372" s="3" t="s">
        <v>30</v>
      </c>
      <c r="F372" s="3" t="s">
        <v>152</v>
      </c>
      <c r="G372" s="4">
        <v>1</v>
      </c>
      <c r="H372" s="5">
        <v>4500</v>
      </c>
      <c r="I372" s="5">
        <v>61.84</v>
      </c>
      <c r="J372" s="5">
        <f t="shared" si="13"/>
        <v>4438.16</v>
      </c>
      <c r="K372" s="3" t="s">
        <v>65</v>
      </c>
    </row>
    <row r="373" spans="1:11" x14ac:dyDescent="0.25">
      <c r="A373" s="6" t="s">
        <v>669</v>
      </c>
      <c r="B373" s="7" t="s">
        <v>37</v>
      </c>
      <c r="C373" s="14" t="s">
        <v>471</v>
      </c>
      <c r="D373" s="7" t="s">
        <v>39</v>
      </c>
      <c r="E373" s="7" t="s">
        <v>30</v>
      </c>
      <c r="F373" s="7" t="s">
        <v>31</v>
      </c>
      <c r="G373" s="8">
        <v>4</v>
      </c>
      <c r="H373" s="9">
        <v>2500</v>
      </c>
      <c r="I373" s="9">
        <v>1114.42</v>
      </c>
      <c r="J373" s="9">
        <f t="shared" si="13"/>
        <v>8885.58</v>
      </c>
      <c r="K373" s="7" t="s">
        <v>44</v>
      </c>
    </row>
    <row r="374" spans="1:11" x14ac:dyDescent="0.25">
      <c r="A374" s="2" t="s">
        <v>670</v>
      </c>
      <c r="B374" s="3" t="s">
        <v>27</v>
      </c>
      <c r="C374" s="13" t="s">
        <v>671</v>
      </c>
      <c r="D374" s="3" t="s">
        <v>15</v>
      </c>
      <c r="E374" s="3" t="s">
        <v>23</v>
      </c>
      <c r="F374" s="3" t="s">
        <v>48</v>
      </c>
      <c r="G374" s="4">
        <v>4</v>
      </c>
      <c r="H374" s="5">
        <v>450</v>
      </c>
      <c r="I374" s="5">
        <v>0</v>
      </c>
      <c r="J374" s="5">
        <f t="shared" si="13"/>
        <v>1800</v>
      </c>
      <c r="K374" s="3" t="s">
        <v>49</v>
      </c>
    </row>
    <row r="375" spans="1:11" x14ac:dyDescent="0.25">
      <c r="A375" s="6" t="s">
        <v>672</v>
      </c>
      <c r="B375" s="7" t="s">
        <v>34</v>
      </c>
      <c r="C375" s="14" t="s">
        <v>673</v>
      </c>
      <c r="D375" s="7" t="s">
        <v>47</v>
      </c>
      <c r="E375" s="7" t="s">
        <v>23</v>
      </c>
      <c r="F375" s="7" t="s">
        <v>48</v>
      </c>
      <c r="G375" s="8">
        <v>4</v>
      </c>
      <c r="H375" s="9">
        <v>450</v>
      </c>
      <c r="I375" s="9">
        <v>0</v>
      </c>
      <c r="J375" s="9">
        <f t="shared" si="13"/>
        <v>1800</v>
      </c>
      <c r="K375" s="7" t="s">
        <v>18</v>
      </c>
    </row>
    <row r="376" spans="1:11" x14ac:dyDescent="0.25">
      <c r="A376" s="2" t="s">
        <v>674</v>
      </c>
      <c r="B376" s="3" t="s">
        <v>55</v>
      </c>
      <c r="C376" s="13" t="s">
        <v>273</v>
      </c>
      <c r="D376" s="3" t="s">
        <v>15</v>
      </c>
      <c r="E376" s="3" t="s">
        <v>52</v>
      </c>
      <c r="F376" s="3" t="s">
        <v>75</v>
      </c>
      <c r="G376" s="4">
        <v>4</v>
      </c>
      <c r="H376" s="5">
        <v>249</v>
      </c>
      <c r="I376" s="5">
        <v>0</v>
      </c>
      <c r="J376" s="5">
        <f t="shared" si="13"/>
        <v>996</v>
      </c>
      <c r="K376" s="3" t="s">
        <v>89</v>
      </c>
    </row>
    <row r="377" spans="1:11" x14ac:dyDescent="0.25">
      <c r="A377" s="6" t="s">
        <v>675</v>
      </c>
      <c r="B377" s="7" t="s">
        <v>101</v>
      </c>
      <c r="C377" s="14" t="s">
        <v>627</v>
      </c>
      <c r="D377" s="7" t="s">
        <v>29</v>
      </c>
      <c r="E377" s="7" t="s">
        <v>52</v>
      </c>
      <c r="F377" s="7" t="s">
        <v>53</v>
      </c>
      <c r="G377" s="8">
        <v>4</v>
      </c>
      <c r="H377" s="9">
        <v>149</v>
      </c>
      <c r="I377" s="9">
        <v>72.069999999999993</v>
      </c>
      <c r="J377" s="9">
        <f t="shared" si="13"/>
        <v>523.93000000000006</v>
      </c>
      <c r="K377" s="7" t="s">
        <v>49</v>
      </c>
    </row>
    <row r="378" spans="1:11" x14ac:dyDescent="0.25">
      <c r="A378" s="2" t="s">
        <v>676</v>
      </c>
      <c r="B378" s="3" t="s">
        <v>95</v>
      </c>
      <c r="C378" s="13" t="s">
        <v>591</v>
      </c>
      <c r="D378" s="3" t="s">
        <v>47</v>
      </c>
      <c r="E378" s="3" t="s">
        <v>16</v>
      </c>
      <c r="F378" s="3" t="s">
        <v>116</v>
      </c>
      <c r="G378" s="4">
        <v>5</v>
      </c>
      <c r="H378" s="5">
        <v>45</v>
      </c>
      <c r="I378" s="5">
        <v>0</v>
      </c>
      <c r="J378" s="5">
        <f t="shared" si="13"/>
        <v>225</v>
      </c>
      <c r="K378" s="3" t="s">
        <v>32</v>
      </c>
    </row>
    <row r="379" spans="1:11" x14ac:dyDescent="0.25">
      <c r="A379" s="6" t="s">
        <v>677</v>
      </c>
      <c r="B379" s="7" t="s">
        <v>63</v>
      </c>
      <c r="C379" s="14" t="s">
        <v>144</v>
      </c>
      <c r="D379" s="7" t="s">
        <v>15</v>
      </c>
      <c r="E379" s="7" t="s">
        <v>30</v>
      </c>
      <c r="F379" s="7" t="s">
        <v>106</v>
      </c>
      <c r="G379" s="8">
        <v>3</v>
      </c>
      <c r="H379" s="9">
        <v>299</v>
      </c>
      <c r="I379" s="9">
        <v>87.28</v>
      </c>
      <c r="J379" s="9">
        <f t="shared" si="13"/>
        <v>809.72</v>
      </c>
      <c r="K379" s="7" t="s">
        <v>25</v>
      </c>
    </row>
    <row r="380" spans="1:11" x14ac:dyDescent="0.25">
      <c r="A380" s="2" t="s">
        <v>678</v>
      </c>
      <c r="B380" s="3" t="s">
        <v>55</v>
      </c>
      <c r="C380" s="13" t="s">
        <v>497</v>
      </c>
      <c r="D380" s="3" t="s">
        <v>149</v>
      </c>
      <c r="E380" s="3" t="s">
        <v>16</v>
      </c>
      <c r="F380" s="3" t="s">
        <v>78</v>
      </c>
      <c r="G380" s="4">
        <v>5</v>
      </c>
      <c r="H380" s="5">
        <v>59</v>
      </c>
      <c r="I380" s="5">
        <v>0</v>
      </c>
      <c r="J380" s="5">
        <f t="shared" si="13"/>
        <v>295</v>
      </c>
      <c r="K380" s="3" t="s">
        <v>89</v>
      </c>
    </row>
    <row r="381" spans="1:11" x14ac:dyDescent="0.25">
      <c r="A381" s="6" t="s">
        <v>679</v>
      </c>
      <c r="B381" s="7" t="s">
        <v>71</v>
      </c>
      <c r="C381" s="14" t="s">
        <v>151</v>
      </c>
      <c r="D381" s="7" t="s">
        <v>15</v>
      </c>
      <c r="E381" s="7" t="s">
        <v>30</v>
      </c>
      <c r="F381" s="7" t="s">
        <v>106</v>
      </c>
      <c r="G381" s="8">
        <v>3</v>
      </c>
      <c r="H381" s="9">
        <v>299</v>
      </c>
      <c r="I381" s="9">
        <v>0</v>
      </c>
      <c r="J381" s="9">
        <f t="shared" si="13"/>
        <v>897</v>
      </c>
      <c r="K381" s="7" t="s">
        <v>89</v>
      </c>
    </row>
    <row r="382" spans="1:11" x14ac:dyDescent="0.25">
      <c r="A382" s="2" t="s">
        <v>680</v>
      </c>
      <c r="B382" s="3" t="s">
        <v>55</v>
      </c>
      <c r="C382" s="13" t="s">
        <v>282</v>
      </c>
      <c r="D382" s="3" t="s">
        <v>22</v>
      </c>
      <c r="E382" s="3" t="s">
        <v>23</v>
      </c>
      <c r="F382" s="3" t="s">
        <v>24</v>
      </c>
      <c r="G382" s="4">
        <v>5</v>
      </c>
      <c r="H382" s="5">
        <v>180</v>
      </c>
      <c r="I382" s="5">
        <v>0</v>
      </c>
      <c r="J382" s="5">
        <f t="shared" si="13"/>
        <v>900</v>
      </c>
      <c r="K382" s="3" t="s">
        <v>69</v>
      </c>
    </row>
    <row r="383" spans="1:11" x14ac:dyDescent="0.25">
      <c r="A383" s="6" t="s">
        <v>681</v>
      </c>
      <c r="B383" s="7" t="s">
        <v>20</v>
      </c>
      <c r="C383" s="14" t="s">
        <v>627</v>
      </c>
      <c r="D383" s="7" t="s">
        <v>47</v>
      </c>
      <c r="E383" s="7" t="s">
        <v>23</v>
      </c>
      <c r="F383" s="7" t="s">
        <v>24</v>
      </c>
      <c r="G383" s="8">
        <v>5</v>
      </c>
      <c r="H383" s="9">
        <v>180</v>
      </c>
      <c r="I383" s="9">
        <v>82.19</v>
      </c>
      <c r="J383" s="9">
        <f t="shared" si="13"/>
        <v>817.81</v>
      </c>
      <c r="K383" s="7" t="s">
        <v>18</v>
      </c>
    </row>
    <row r="384" spans="1:11" x14ac:dyDescent="0.25">
      <c r="A384" s="2" t="s">
        <v>682</v>
      </c>
      <c r="B384" s="3" t="s">
        <v>63</v>
      </c>
      <c r="C384" s="13" t="s">
        <v>243</v>
      </c>
      <c r="D384" s="3" t="s">
        <v>47</v>
      </c>
      <c r="E384" s="3" t="s">
        <v>52</v>
      </c>
      <c r="F384" s="3" t="s">
        <v>99</v>
      </c>
      <c r="G384" s="4">
        <v>3</v>
      </c>
      <c r="H384" s="5">
        <v>79</v>
      </c>
      <c r="I384" s="5">
        <v>10.119999999999999</v>
      </c>
      <c r="J384" s="5">
        <f t="shared" si="13"/>
        <v>226.88</v>
      </c>
      <c r="K384" s="3" t="s">
        <v>69</v>
      </c>
    </row>
    <row r="385" spans="1:11" x14ac:dyDescent="0.25">
      <c r="A385" s="6" t="s">
        <v>683</v>
      </c>
      <c r="B385" s="7" t="s">
        <v>110</v>
      </c>
      <c r="C385" s="14" t="s">
        <v>684</v>
      </c>
      <c r="D385" s="7" t="s">
        <v>22</v>
      </c>
      <c r="E385" s="7" t="s">
        <v>16</v>
      </c>
      <c r="F385" s="7" t="s">
        <v>103</v>
      </c>
      <c r="G385" s="8">
        <v>3</v>
      </c>
      <c r="H385" s="9">
        <v>89</v>
      </c>
      <c r="I385" s="9">
        <v>33.229999999999997</v>
      </c>
      <c r="J385" s="9">
        <f t="shared" si="13"/>
        <v>233.77</v>
      </c>
      <c r="K385" s="7" t="s">
        <v>49</v>
      </c>
    </row>
    <row r="386" spans="1:11" x14ac:dyDescent="0.25">
      <c r="A386" s="2" t="s">
        <v>685</v>
      </c>
      <c r="B386" s="3" t="s">
        <v>13</v>
      </c>
      <c r="C386" s="13" t="s">
        <v>128</v>
      </c>
      <c r="D386" s="3" t="s">
        <v>22</v>
      </c>
      <c r="E386" s="3" t="s">
        <v>16</v>
      </c>
      <c r="F386" s="3" t="s">
        <v>116</v>
      </c>
      <c r="G386" s="4">
        <v>2</v>
      </c>
      <c r="H386" s="5">
        <v>45</v>
      </c>
      <c r="I386" s="5">
        <v>0</v>
      </c>
      <c r="J386" s="5">
        <f t="shared" si="13"/>
        <v>90</v>
      </c>
      <c r="K386" s="3" t="s">
        <v>69</v>
      </c>
    </row>
    <row r="387" spans="1:11" x14ac:dyDescent="0.25">
      <c r="A387" s="6" t="s">
        <v>686</v>
      </c>
      <c r="B387" s="7" t="s">
        <v>41</v>
      </c>
      <c r="C387" s="14" t="s">
        <v>564</v>
      </c>
      <c r="D387" s="7" t="s">
        <v>39</v>
      </c>
      <c r="E387" s="7" t="s">
        <v>30</v>
      </c>
      <c r="F387" s="7" t="s">
        <v>106</v>
      </c>
      <c r="G387" s="8">
        <v>2</v>
      </c>
      <c r="H387" s="9">
        <v>299</v>
      </c>
      <c r="I387" s="9">
        <v>71.42</v>
      </c>
      <c r="J387" s="9">
        <f t="shared" si="13"/>
        <v>526.58000000000004</v>
      </c>
      <c r="K387" s="7" t="s">
        <v>32</v>
      </c>
    </row>
    <row r="388" spans="1:11" x14ac:dyDescent="0.25">
      <c r="A388" s="2" t="s">
        <v>687</v>
      </c>
      <c r="B388" s="3" t="s">
        <v>27</v>
      </c>
      <c r="C388" s="13" t="s">
        <v>688</v>
      </c>
      <c r="D388" s="3" t="s">
        <v>15</v>
      </c>
      <c r="E388" s="3" t="s">
        <v>23</v>
      </c>
      <c r="F388" s="3" t="s">
        <v>24</v>
      </c>
      <c r="G388" s="4">
        <v>5</v>
      </c>
      <c r="H388" s="5">
        <v>180</v>
      </c>
      <c r="I388" s="5">
        <v>61.81</v>
      </c>
      <c r="J388" s="5">
        <f t="shared" si="13"/>
        <v>838.19</v>
      </c>
      <c r="K388" s="3" t="s">
        <v>69</v>
      </c>
    </row>
    <row r="389" spans="1:11" x14ac:dyDescent="0.25">
      <c r="A389" s="6" t="s">
        <v>689</v>
      </c>
      <c r="B389" s="7" t="s">
        <v>27</v>
      </c>
      <c r="C389" s="14" t="s">
        <v>690</v>
      </c>
      <c r="D389" s="7" t="s">
        <v>39</v>
      </c>
      <c r="E389" s="7" t="s">
        <v>16</v>
      </c>
      <c r="F389" s="7" t="s">
        <v>17</v>
      </c>
      <c r="G389" s="8">
        <v>1</v>
      </c>
      <c r="H389" s="9">
        <v>39</v>
      </c>
      <c r="I389" s="9">
        <v>2.54</v>
      </c>
      <c r="J389" s="9">
        <f t="shared" si="13"/>
        <v>36.46</v>
      </c>
      <c r="K389" s="7" t="s">
        <v>25</v>
      </c>
    </row>
    <row r="390" spans="1:11" x14ac:dyDescent="0.25">
      <c r="A390" s="2" t="s">
        <v>691</v>
      </c>
      <c r="B390" s="3" t="s">
        <v>41</v>
      </c>
      <c r="C390" s="13" t="s">
        <v>417</v>
      </c>
      <c r="D390" s="3" t="s">
        <v>149</v>
      </c>
      <c r="E390" s="3" t="s">
        <v>16</v>
      </c>
      <c r="F390" s="3" t="s">
        <v>116</v>
      </c>
      <c r="G390" s="4">
        <v>2</v>
      </c>
      <c r="H390" s="5">
        <v>45</v>
      </c>
      <c r="I390" s="5">
        <v>7.96</v>
      </c>
      <c r="J390" s="5">
        <f t="shared" si="13"/>
        <v>82.04</v>
      </c>
      <c r="K390" s="3" t="s">
        <v>65</v>
      </c>
    </row>
    <row r="391" spans="1:11" x14ac:dyDescent="0.25">
      <c r="A391" s="6" t="s">
        <v>692</v>
      </c>
      <c r="B391" s="7" t="s">
        <v>20</v>
      </c>
      <c r="C391" s="14" t="s">
        <v>693</v>
      </c>
      <c r="D391" s="7" t="s">
        <v>29</v>
      </c>
      <c r="E391" s="7" t="s">
        <v>52</v>
      </c>
      <c r="F391" s="7" t="s">
        <v>75</v>
      </c>
      <c r="G391" s="8">
        <v>5</v>
      </c>
      <c r="H391" s="9">
        <v>249</v>
      </c>
      <c r="I391" s="9">
        <v>63.61</v>
      </c>
      <c r="J391" s="9">
        <f t="shared" si="13"/>
        <v>1181.3900000000001</v>
      </c>
      <c r="K391" s="7" t="s">
        <v>49</v>
      </c>
    </row>
    <row r="392" spans="1:11" x14ac:dyDescent="0.25">
      <c r="A392" s="2" t="s">
        <v>694</v>
      </c>
      <c r="B392" s="3" t="s">
        <v>63</v>
      </c>
      <c r="C392" s="13" t="s">
        <v>695</v>
      </c>
      <c r="D392" s="3" t="s">
        <v>39</v>
      </c>
      <c r="E392" s="3" t="s">
        <v>52</v>
      </c>
      <c r="F392" s="3" t="s">
        <v>75</v>
      </c>
      <c r="G392" s="4">
        <v>3</v>
      </c>
      <c r="H392" s="5">
        <v>249</v>
      </c>
      <c r="I392" s="5">
        <v>0</v>
      </c>
      <c r="J392" s="5">
        <f t="shared" si="13"/>
        <v>747</v>
      </c>
      <c r="K392" s="3" t="s">
        <v>32</v>
      </c>
    </row>
    <row r="393" spans="1:11" x14ac:dyDescent="0.25">
      <c r="A393" s="6" t="s">
        <v>696</v>
      </c>
      <c r="B393" s="7" t="s">
        <v>110</v>
      </c>
      <c r="C393" s="14" t="s">
        <v>697</v>
      </c>
      <c r="D393" s="7" t="s">
        <v>39</v>
      </c>
      <c r="E393" s="7" t="s">
        <v>23</v>
      </c>
      <c r="F393" s="7" t="s">
        <v>24</v>
      </c>
      <c r="G393" s="8">
        <v>4</v>
      </c>
      <c r="H393" s="9">
        <v>180</v>
      </c>
      <c r="I393" s="9">
        <v>0</v>
      </c>
      <c r="J393" s="9">
        <f t="shared" si="13"/>
        <v>720</v>
      </c>
      <c r="K393" s="7" t="s">
        <v>25</v>
      </c>
    </row>
    <row r="394" spans="1:11" x14ac:dyDescent="0.25">
      <c r="A394" s="2" t="s">
        <v>698</v>
      </c>
      <c r="B394" s="3" t="s">
        <v>13</v>
      </c>
      <c r="C394" s="13" t="s">
        <v>241</v>
      </c>
      <c r="D394" s="3" t="s">
        <v>15</v>
      </c>
      <c r="E394" s="3" t="s">
        <v>30</v>
      </c>
      <c r="F394" s="3" t="s">
        <v>31</v>
      </c>
      <c r="G394" s="4">
        <v>1</v>
      </c>
      <c r="H394" s="5">
        <v>2500</v>
      </c>
      <c r="I394" s="5">
        <v>0</v>
      </c>
      <c r="J394" s="5">
        <f t="shared" si="13"/>
        <v>2500</v>
      </c>
      <c r="K394" s="3" t="s">
        <v>89</v>
      </c>
    </row>
    <row r="395" spans="1:11" x14ac:dyDescent="0.25">
      <c r="A395" s="6" t="s">
        <v>699</v>
      </c>
      <c r="B395" s="7" t="s">
        <v>37</v>
      </c>
      <c r="C395" s="14" t="s">
        <v>700</v>
      </c>
      <c r="D395" s="7" t="s">
        <v>22</v>
      </c>
      <c r="E395" s="7" t="s">
        <v>30</v>
      </c>
      <c r="F395" s="7" t="s">
        <v>31</v>
      </c>
      <c r="G395" s="8">
        <v>4</v>
      </c>
      <c r="H395" s="9">
        <v>2500</v>
      </c>
      <c r="I395" s="9">
        <v>1481.66</v>
      </c>
      <c r="J395" s="9">
        <f t="shared" si="13"/>
        <v>8518.34</v>
      </c>
      <c r="K395" s="7" t="s">
        <v>18</v>
      </c>
    </row>
    <row r="396" spans="1:11" x14ac:dyDescent="0.25">
      <c r="A396" s="2" t="s">
        <v>701</v>
      </c>
      <c r="B396" s="3" t="s">
        <v>134</v>
      </c>
      <c r="C396" s="13" t="s">
        <v>91</v>
      </c>
      <c r="D396" s="3" t="s">
        <v>22</v>
      </c>
      <c r="E396" s="3" t="s">
        <v>16</v>
      </c>
      <c r="F396" s="3" t="s">
        <v>78</v>
      </c>
      <c r="G396" s="4">
        <v>4</v>
      </c>
      <c r="H396" s="5">
        <v>59</v>
      </c>
      <c r="I396" s="5">
        <v>34.4</v>
      </c>
      <c r="J396" s="5">
        <f t="shared" si="13"/>
        <v>201.6</v>
      </c>
      <c r="K396" s="3" t="s">
        <v>44</v>
      </c>
    </row>
    <row r="397" spans="1:11" x14ac:dyDescent="0.25">
      <c r="A397" s="6" t="s">
        <v>702</v>
      </c>
      <c r="B397" s="7" t="s">
        <v>63</v>
      </c>
      <c r="C397" s="14" t="s">
        <v>132</v>
      </c>
      <c r="D397" s="7" t="s">
        <v>47</v>
      </c>
      <c r="E397" s="7" t="s">
        <v>16</v>
      </c>
      <c r="F397" s="7" t="s">
        <v>78</v>
      </c>
      <c r="G397" s="8">
        <v>4</v>
      </c>
      <c r="H397" s="9">
        <v>59</v>
      </c>
      <c r="I397" s="9">
        <v>34.89</v>
      </c>
      <c r="J397" s="9">
        <f t="shared" si="13"/>
        <v>201.11</v>
      </c>
      <c r="K397" s="7" t="s">
        <v>89</v>
      </c>
    </row>
    <row r="398" spans="1:11" x14ac:dyDescent="0.25">
      <c r="A398" s="2" t="s">
        <v>703</v>
      </c>
      <c r="B398" s="3" t="s">
        <v>13</v>
      </c>
      <c r="C398" s="13" t="s">
        <v>690</v>
      </c>
      <c r="D398" s="3" t="s">
        <v>39</v>
      </c>
      <c r="E398" s="3" t="s">
        <v>16</v>
      </c>
      <c r="F398" s="3" t="s">
        <v>103</v>
      </c>
      <c r="G398" s="4">
        <v>1</v>
      </c>
      <c r="H398" s="5">
        <v>89</v>
      </c>
      <c r="I398" s="5">
        <v>0</v>
      </c>
      <c r="J398" s="5">
        <f t="shared" si="13"/>
        <v>89</v>
      </c>
      <c r="K398" s="3" t="s">
        <v>18</v>
      </c>
    </row>
    <row r="399" spans="1:11" x14ac:dyDescent="0.25">
      <c r="A399" s="6" t="s">
        <v>704</v>
      </c>
      <c r="B399" s="7" t="s">
        <v>55</v>
      </c>
      <c r="C399" s="14" t="s">
        <v>705</v>
      </c>
      <c r="D399" s="7" t="s">
        <v>22</v>
      </c>
      <c r="E399" s="7" t="s">
        <v>30</v>
      </c>
      <c r="F399" s="7" t="s">
        <v>106</v>
      </c>
      <c r="G399" s="8">
        <v>1</v>
      </c>
      <c r="H399" s="9">
        <v>299</v>
      </c>
      <c r="I399" s="9">
        <v>2.25</v>
      </c>
      <c r="J399" s="9">
        <f t="shared" si="13"/>
        <v>296.75</v>
      </c>
      <c r="K399" s="7" t="s">
        <v>32</v>
      </c>
    </row>
    <row r="400" spans="1:11" x14ac:dyDescent="0.25">
      <c r="A400" s="2" t="s">
        <v>706</v>
      </c>
      <c r="B400" s="3" t="s">
        <v>55</v>
      </c>
      <c r="C400" s="13" t="s">
        <v>399</v>
      </c>
      <c r="D400" s="3" t="s">
        <v>39</v>
      </c>
      <c r="E400" s="3" t="s">
        <v>30</v>
      </c>
      <c r="F400" s="3" t="s">
        <v>68</v>
      </c>
      <c r="G400" s="4">
        <v>4</v>
      </c>
      <c r="H400" s="5">
        <v>799</v>
      </c>
      <c r="I400" s="5">
        <v>0</v>
      </c>
      <c r="J400" s="5">
        <f t="shared" si="13"/>
        <v>3196</v>
      </c>
      <c r="K400" s="3" t="s">
        <v>69</v>
      </c>
    </row>
    <row r="401" spans="1:11" x14ac:dyDescent="0.25">
      <c r="A401" s="6" t="s">
        <v>707</v>
      </c>
      <c r="B401" s="7" t="s">
        <v>34</v>
      </c>
      <c r="C401" s="14" t="s">
        <v>708</v>
      </c>
      <c r="D401" s="7" t="s">
        <v>29</v>
      </c>
      <c r="E401" s="7" t="s">
        <v>30</v>
      </c>
      <c r="F401" s="7" t="s">
        <v>152</v>
      </c>
      <c r="G401" s="8">
        <v>1</v>
      </c>
      <c r="H401" s="9">
        <v>4500</v>
      </c>
      <c r="I401" s="9">
        <v>571.63</v>
      </c>
      <c r="J401" s="9">
        <f t="shared" si="13"/>
        <v>3928.37</v>
      </c>
      <c r="K401" s="7" t="s">
        <v>49</v>
      </c>
    </row>
    <row r="402" spans="1:11" x14ac:dyDescent="0.25">
      <c r="A402" s="2" t="s">
        <v>709</v>
      </c>
      <c r="B402" s="3" t="s">
        <v>95</v>
      </c>
      <c r="C402" s="13" t="s">
        <v>579</v>
      </c>
      <c r="D402" s="3" t="s">
        <v>47</v>
      </c>
      <c r="E402" s="3" t="s">
        <v>30</v>
      </c>
      <c r="F402" s="3" t="s">
        <v>31</v>
      </c>
      <c r="G402" s="4">
        <v>1</v>
      </c>
      <c r="H402" s="5">
        <v>2500</v>
      </c>
      <c r="I402" s="5">
        <v>34.57</v>
      </c>
      <c r="J402" s="5">
        <f t="shared" si="13"/>
        <v>2465.4299999999998</v>
      </c>
      <c r="K402" s="3" t="s">
        <v>32</v>
      </c>
    </row>
    <row r="403" spans="1:11" x14ac:dyDescent="0.25">
      <c r="A403" s="6" t="s">
        <v>710</v>
      </c>
      <c r="B403" s="7" t="s">
        <v>110</v>
      </c>
      <c r="C403" s="14" t="s">
        <v>711</v>
      </c>
      <c r="D403" s="7" t="s">
        <v>15</v>
      </c>
      <c r="E403" s="7" t="s">
        <v>16</v>
      </c>
      <c r="F403" s="7" t="s">
        <v>78</v>
      </c>
      <c r="G403" s="8">
        <v>2</v>
      </c>
      <c r="H403" s="9">
        <v>59</v>
      </c>
      <c r="I403" s="9">
        <v>0</v>
      </c>
      <c r="J403" s="9">
        <f t="shared" si="13"/>
        <v>118</v>
      </c>
      <c r="K403" s="7" t="s">
        <v>49</v>
      </c>
    </row>
    <row r="404" spans="1:11" x14ac:dyDescent="0.25">
      <c r="A404" s="2" t="s">
        <v>712</v>
      </c>
      <c r="B404" s="3" t="s">
        <v>34</v>
      </c>
      <c r="C404" s="13" t="s">
        <v>294</v>
      </c>
      <c r="D404" s="3" t="s">
        <v>22</v>
      </c>
      <c r="E404" s="3" t="s">
        <v>23</v>
      </c>
      <c r="F404" s="3" t="s">
        <v>88</v>
      </c>
      <c r="G404" s="4">
        <v>5</v>
      </c>
      <c r="H404" s="5">
        <v>650</v>
      </c>
      <c r="I404" s="5">
        <v>0</v>
      </c>
      <c r="J404" s="5">
        <f t="shared" si="13"/>
        <v>3250</v>
      </c>
      <c r="K404" s="3" t="s">
        <v>89</v>
      </c>
    </row>
    <row r="405" spans="1:11" x14ac:dyDescent="0.25">
      <c r="A405" s="6" t="s">
        <v>713</v>
      </c>
      <c r="B405" s="7" t="s">
        <v>63</v>
      </c>
      <c r="C405" s="14" t="s">
        <v>714</v>
      </c>
      <c r="D405" s="7" t="s">
        <v>15</v>
      </c>
      <c r="E405" s="7" t="s">
        <v>16</v>
      </c>
      <c r="F405" s="7" t="s">
        <v>116</v>
      </c>
      <c r="G405" s="8">
        <v>3</v>
      </c>
      <c r="H405" s="9">
        <v>45</v>
      </c>
      <c r="I405" s="9">
        <v>20.02</v>
      </c>
      <c r="J405" s="9">
        <f t="shared" si="13"/>
        <v>114.98</v>
      </c>
      <c r="K405" s="7" t="s">
        <v>18</v>
      </c>
    </row>
    <row r="406" spans="1:11" x14ac:dyDescent="0.25">
      <c r="A406" s="2" t="s">
        <v>715</v>
      </c>
      <c r="B406" s="3" t="s">
        <v>63</v>
      </c>
      <c r="C406" s="13" t="s">
        <v>716</v>
      </c>
      <c r="D406" s="3" t="s">
        <v>29</v>
      </c>
      <c r="E406" s="3" t="s">
        <v>30</v>
      </c>
      <c r="F406" s="3" t="s">
        <v>68</v>
      </c>
      <c r="G406" s="4">
        <v>3</v>
      </c>
      <c r="H406" s="5">
        <v>799</v>
      </c>
      <c r="I406" s="5">
        <v>329.15</v>
      </c>
      <c r="J406" s="5">
        <f t="shared" si="13"/>
        <v>2067.85</v>
      </c>
      <c r="K406" s="3" t="s">
        <v>25</v>
      </c>
    </row>
    <row r="407" spans="1:11" x14ac:dyDescent="0.25">
      <c r="A407" s="6" t="s">
        <v>717</v>
      </c>
      <c r="B407" s="7" t="s">
        <v>71</v>
      </c>
      <c r="C407" s="14" t="s">
        <v>693</v>
      </c>
      <c r="D407" s="7" t="s">
        <v>15</v>
      </c>
      <c r="E407" s="7" t="s">
        <v>23</v>
      </c>
      <c r="F407" s="7" t="s">
        <v>24</v>
      </c>
      <c r="G407" s="8">
        <v>2</v>
      </c>
      <c r="H407" s="9">
        <v>180</v>
      </c>
      <c r="I407" s="9">
        <v>0</v>
      </c>
      <c r="J407" s="9">
        <f t="shared" si="13"/>
        <v>360</v>
      </c>
      <c r="K407" s="7" t="s">
        <v>89</v>
      </c>
    </row>
    <row r="408" spans="1:11" x14ac:dyDescent="0.25">
      <c r="A408" s="2" t="s">
        <v>718</v>
      </c>
      <c r="B408" s="3" t="s">
        <v>41</v>
      </c>
      <c r="C408" s="13" t="s">
        <v>311</v>
      </c>
      <c r="D408" s="3" t="s">
        <v>15</v>
      </c>
      <c r="E408" s="3" t="s">
        <v>16</v>
      </c>
      <c r="F408" s="3" t="s">
        <v>116</v>
      </c>
      <c r="G408" s="4">
        <v>1</v>
      </c>
      <c r="H408" s="5">
        <v>45</v>
      </c>
      <c r="I408" s="5">
        <v>4.46</v>
      </c>
      <c r="J408" s="5">
        <f t="shared" si="13"/>
        <v>40.54</v>
      </c>
      <c r="K408" s="3" t="s">
        <v>18</v>
      </c>
    </row>
    <row r="409" spans="1:11" x14ac:dyDescent="0.25">
      <c r="A409" s="6" t="s">
        <v>719</v>
      </c>
      <c r="B409" s="7" t="s">
        <v>101</v>
      </c>
      <c r="C409" s="14" t="s">
        <v>720</v>
      </c>
      <c r="D409" s="7" t="s">
        <v>47</v>
      </c>
      <c r="E409" s="7" t="s">
        <v>52</v>
      </c>
      <c r="F409" s="7" t="s">
        <v>53</v>
      </c>
      <c r="G409" s="8">
        <v>5</v>
      </c>
      <c r="H409" s="9">
        <v>149</v>
      </c>
      <c r="I409" s="9">
        <v>0</v>
      </c>
      <c r="J409" s="9">
        <f t="shared" si="13"/>
        <v>745</v>
      </c>
      <c r="K409" s="7" t="s">
        <v>18</v>
      </c>
    </row>
    <row r="410" spans="1:11" x14ac:dyDescent="0.25">
      <c r="A410" s="2" t="s">
        <v>721</v>
      </c>
      <c r="B410" s="3" t="s">
        <v>13</v>
      </c>
      <c r="C410" s="13" t="s">
        <v>98</v>
      </c>
      <c r="D410" s="3" t="s">
        <v>39</v>
      </c>
      <c r="E410" s="3" t="s">
        <v>52</v>
      </c>
      <c r="F410" s="3" t="s">
        <v>61</v>
      </c>
      <c r="G410" s="4">
        <v>1</v>
      </c>
      <c r="H410" s="5">
        <v>199</v>
      </c>
      <c r="I410" s="5">
        <v>29.32</v>
      </c>
      <c r="J410" s="5">
        <f t="shared" si="13"/>
        <v>169.68</v>
      </c>
      <c r="K410" s="3" t="s">
        <v>69</v>
      </c>
    </row>
    <row r="411" spans="1:11" x14ac:dyDescent="0.25">
      <c r="A411" s="6" t="s">
        <v>722</v>
      </c>
      <c r="B411" s="7" t="s">
        <v>41</v>
      </c>
      <c r="C411" s="14" t="s">
        <v>64</v>
      </c>
      <c r="D411" s="7" t="s">
        <v>47</v>
      </c>
      <c r="E411" s="7" t="s">
        <v>23</v>
      </c>
      <c r="F411" s="7" t="s">
        <v>48</v>
      </c>
      <c r="G411" s="8">
        <v>1</v>
      </c>
      <c r="H411" s="9">
        <v>450</v>
      </c>
      <c r="I411" s="9">
        <v>0</v>
      </c>
      <c r="J411" s="9">
        <f t="shared" si="13"/>
        <v>450</v>
      </c>
      <c r="K411" s="7" t="s">
        <v>25</v>
      </c>
    </row>
    <row r="412" spans="1:11" x14ac:dyDescent="0.25">
      <c r="A412" s="2" t="s">
        <v>723</v>
      </c>
      <c r="B412" s="3" t="s">
        <v>13</v>
      </c>
      <c r="C412" s="13" t="s">
        <v>724</v>
      </c>
      <c r="D412" s="3" t="s">
        <v>39</v>
      </c>
      <c r="E412" s="3"/>
      <c r="F412" s="3" t="s">
        <v>78</v>
      </c>
      <c r="G412" s="4">
        <v>5</v>
      </c>
      <c r="H412" s="5">
        <v>59</v>
      </c>
      <c r="I412" s="5">
        <v>0</v>
      </c>
      <c r="J412" s="5">
        <f t="shared" si="13"/>
        <v>295</v>
      </c>
      <c r="K412" s="3" t="s">
        <v>44</v>
      </c>
    </row>
    <row r="413" spans="1:11" x14ac:dyDescent="0.25">
      <c r="A413" s="6" t="s">
        <v>725</v>
      </c>
      <c r="B413" s="7" t="s">
        <v>20</v>
      </c>
      <c r="C413" s="14" t="s">
        <v>726</v>
      </c>
      <c r="D413" s="7" t="s">
        <v>29</v>
      </c>
      <c r="E413" s="7" t="s">
        <v>23</v>
      </c>
      <c r="F413" s="7" t="s">
        <v>43</v>
      </c>
      <c r="G413" s="8">
        <v>3</v>
      </c>
      <c r="H413" s="9">
        <v>350</v>
      </c>
      <c r="I413" s="9">
        <v>0</v>
      </c>
      <c r="J413" s="9">
        <f t="shared" si="13"/>
        <v>1050</v>
      </c>
      <c r="K413" s="7" t="s">
        <v>44</v>
      </c>
    </row>
    <row r="414" spans="1:11" x14ac:dyDescent="0.25">
      <c r="A414" s="2" t="s">
        <v>727</v>
      </c>
      <c r="B414" s="3" t="s">
        <v>13</v>
      </c>
      <c r="C414" s="13" t="s">
        <v>728</v>
      </c>
      <c r="D414" s="3" t="s">
        <v>15</v>
      </c>
      <c r="E414" s="3" t="s">
        <v>16</v>
      </c>
      <c r="F414" s="3" t="s">
        <v>116</v>
      </c>
      <c r="G414" s="4">
        <v>2</v>
      </c>
      <c r="H414" s="5">
        <v>45</v>
      </c>
      <c r="I414" s="5">
        <v>0</v>
      </c>
      <c r="J414" s="5">
        <f t="shared" si="13"/>
        <v>90</v>
      </c>
      <c r="K414" s="3" t="s">
        <v>25</v>
      </c>
    </row>
    <row r="415" spans="1:11" x14ac:dyDescent="0.25">
      <c r="A415" s="6" t="s">
        <v>729</v>
      </c>
      <c r="B415" s="7" t="s">
        <v>277</v>
      </c>
      <c r="C415" s="14" t="s">
        <v>14</v>
      </c>
      <c r="D415" s="7" t="s">
        <v>15</v>
      </c>
      <c r="E415" s="7" t="s">
        <v>16</v>
      </c>
      <c r="F415" s="7" t="s">
        <v>116</v>
      </c>
      <c r="G415" s="8">
        <v>5</v>
      </c>
      <c r="H415" s="9">
        <v>45</v>
      </c>
      <c r="I415" s="9">
        <v>0</v>
      </c>
      <c r="J415" s="9">
        <f t="shared" si="13"/>
        <v>225</v>
      </c>
      <c r="K415" s="7" t="s">
        <v>49</v>
      </c>
    </row>
    <row r="416" spans="1:11" x14ac:dyDescent="0.25">
      <c r="A416" s="2" t="s">
        <v>730</v>
      </c>
      <c r="B416" s="3" t="s">
        <v>41</v>
      </c>
      <c r="C416" s="13" t="s">
        <v>456</v>
      </c>
      <c r="D416" s="3" t="s">
        <v>47</v>
      </c>
      <c r="E416" s="3" t="s">
        <v>16</v>
      </c>
      <c r="F416" s="3" t="s">
        <v>17</v>
      </c>
      <c r="G416" s="4">
        <v>2</v>
      </c>
      <c r="H416" s="5">
        <v>39</v>
      </c>
      <c r="I416" s="5">
        <v>4.08</v>
      </c>
      <c r="J416" s="5">
        <f t="shared" si="13"/>
        <v>73.92</v>
      </c>
      <c r="K416" s="3" t="s">
        <v>25</v>
      </c>
    </row>
    <row r="417" spans="1:11" x14ac:dyDescent="0.25">
      <c r="A417" s="6" t="s">
        <v>731</v>
      </c>
      <c r="B417" s="7" t="s">
        <v>95</v>
      </c>
      <c r="C417" s="14" t="s">
        <v>85</v>
      </c>
      <c r="D417" s="7" t="s">
        <v>15</v>
      </c>
      <c r="E417" s="7" t="s">
        <v>23</v>
      </c>
      <c r="F417" s="7" t="s">
        <v>88</v>
      </c>
      <c r="G417" s="8">
        <v>1</v>
      </c>
      <c r="H417" s="9">
        <v>650</v>
      </c>
      <c r="I417" s="9">
        <v>0</v>
      </c>
      <c r="J417" s="9">
        <f t="shared" si="13"/>
        <v>650</v>
      </c>
      <c r="K417" s="7" t="s">
        <v>49</v>
      </c>
    </row>
    <row r="418" spans="1:11" x14ac:dyDescent="0.25">
      <c r="A418" s="2" t="s">
        <v>732</v>
      </c>
      <c r="B418" s="3" t="s">
        <v>71</v>
      </c>
      <c r="C418" s="13" t="s">
        <v>275</v>
      </c>
      <c r="D418" s="3" t="s">
        <v>39</v>
      </c>
      <c r="E418" s="3" t="s">
        <v>30</v>
      </c>
      <c r="F418" s="3" t="s">
        <v>106</v>
      </c>
      <c r="G418" s="4">
        <v>5</v>
      </c>
      <c r="H418" s="5">
        <v>299</v>
      </c>
      <c r="I418" s="5">
        <v>33.43</v>
      </c>
      <c r="J418" s="5">
        <f t="shared" si="13"/>
        <v>1461.57</v>
      </c>
      <c r="K418" s="3" t="s">
        <v>49</v>
      </c>
    </row>
    <row r="419" spans="1:11" x14ac:dyDescent="0.25">
      <c r="A419" s="6" t="s">
        <v>733</v>
      </c>
      <c r="B419" s="7" t="s">
        <v>95</v>
      </c>
      <c r="C419" s="14" t="s">
        <v>42</v>
      </c>
      <c r="D419" s="7" t="s">
        <v>15</v>
      </c>
      <c r="E419" s="7" t="s">
        <v>52</v>
      </c>
      <c r="F419" s="7" t="s">
        <v>75</v>
      </c>
      <c r="G419" s="8">
        <v>5</v>
      </c>
      <c r="H419" s="9">
        <v>249</v>
      </c>
      <c r="I419" s="9">
        <v>0</v>
      </c>
      <c r="J419" s="9">
        <f t="shared" si="13"/>
        <v>1245</v>
      </c>
      <c r="K419" s="7" t="s">
        <v>65</v>
      </c>
    </row>
    <row r="420" spans="1:11" x14ac:dyDescent="0.25">
      <c r="A420" s="2" t="s">
        <v>734</v>
      </c>
      <c r="B420" s="3" t="s">
        <v>110</v>
      </c>
      <c r="C420" s="13" t="s">
        <v>320</v>
      </c>
      <c r="D420" s="3" t="s">
        <v>29</v>
      </c>
      <c r="E420" s="3" t="s">
        <v>23</v>
      </c>
      <c r="F420" s="3" t="s">
        <v>88</v>
      </c>
      <c r="G420" s="4">
        <v>2</v>
      </c>
      <c r="H420" s="5">
        <v>650</v>
      </c>
      <c r="I420" s="5">
        <v>148.37</v>
      </c>
      <c r="J420" s="5">
        <f t="shared" si="13"/>
        <v>1151.6300000000001</v>
      </c>
      <c r="K420" s="3" t="s">
        <v>89</v>
      </c>
    </row>
    <row r="421" spans="1:11" x14ac:dyDescent="0.25">
      <c r="A421" s="6" t="s">
        <v>735</v>
      </c>
      <c r="B421" s="7" t="s">
        <v>101</v>
      </c>
      <c r="C421" s="14" t="s">
        <v>248</v>
      </c>
      <c r="D421" s="7" t="s">
        <v>22</v>
      </c>
      <c r="E421" s="7" t="s">
        <v>23</v>
      </c>
      <c r="F421" s="7" t="s">
        <v>48</v>
      </c>
      <c r="G421" s="8">
        <v>4</v>
      </c>
      <c r="H421" s="9">
        <v>450</v>
      </c>
      <c r="I421" s="9">
        <v>0</v>
      </c>
      <c r="J421" s="9">
        <f t="shared" si="13"/>
        <v>1800</v>
      </c>
      <c r="K421" s="7" t="s">
        <v>25</v>
      </c>
    </row>
    <row r="422" spans="1:11" x14ac:dyDescent="0.25">
      <c r="A422" s="2" t="s">
        <v>736</v>
      </c>
      <c r="B422" s="3" t="s">
        <v>37</v>
      </c>
      <c r="C422" s="13" t="s">
        <v>349</v>
      </c>
      <c r="D422" s="3" t="s">
        <v>39</v>
      </c>
      <c r="E422" s="3" t="s">
        <v>23</v>
      </c>
      <c r="F422" s="3" t="s">
        <v>88</v>
      </c>
      <c r="G422" s="4">
        <v>3</v>
      </c>
      <c r="H422" s="5">
        <v>650</v>
      </c>
      <c r="I422" s="5">
        <v>180.12</v>
      </c>
      <c r="J422" s="5">
        <f t="shared" si="13"/>
        <v>1769.88</v>
      </c>
      <c r="K422" s="3" t="s">
        <v>18</v>
      </c>
    </row>
    <row r="423" spans="1:11" x14ac:dyDescent="0.25">
      <c r="A423" s="6" t="s">
        <v>737</v>
      </c>
      <c r="B423" s="7"/>
      <c r="C423" s="14" t="s">
        <v>738</v>
      </c>
      <c r="D423" s="7" t="s">
        <v>15</v>
      </c>
      <c r="E423" s="7" t="s">
        <v>16</v>
      </c>
      <c r="F423" s="7" t="s">
        <v>17</v>
      </c>
      <c r="G423" s="8">
        <v>2</v>
      </c>
      <c r="H423" s="9">
        <v>39</v>
      </c>
      <c r="I423" s="9">
        <v>0</v>
      </c>
      <c r="J423" s="9">
        <f t="shared" si="13"/>
        <v>78</v>
      </c>
      <c r="K423" s="7" t="s">
        <v>49</v>
      </c>
    </row>
    <row r="424" spans="1:11" x14ac:dyDescent="0.25">
      <c r="A424" s="2" t="s">
        <v>739</v>
      </c>
      <c r="B424" s="3" t="s">
        <v>63</v>
      </c>
      <c r="C424" s="13" t="s">
        <v>740</v>
      </c>
      <c r="D424" s="3" t="s">
        <v>22</v>
      </c>
      <c r="E424" s="3" t="s">
        <v>23</v>
      </c>
      <c r="F424" s="3" t="s">
        <v>24</v>
      </c>
      <c r="G424" s="4">
        <v>4</v>
      </c>
      <c r="H424" s="5">
        <v>180</v>
      </c>
      <c r="I424" s="5">
        <v>0</v>
      </c>
      <c r="J424" s="5">
        <f t="shared" si="13"/>
        <v>720</v>
      </c>
      <c r="K424" s="3" t="s">
        <v>25</v>
      </c>
    </row>
    <row r="425" spans="1:11" x14ac:dyDescent="0.25">
      <c r="A425" s="6" t="s">
        <v>741</v>
      </c>
      <c r="B425" s="7" t="s">
        <v>13</v>
      </c>
      <c r="C425" s="14" t="s">
        <v>742</v>
      </c>
      <c r="D425" s="7" t="s">
        <v>22</v>
      </c>
      <c r="E425" s="7" t="s">
        <v>30</v>
      </c>
      <c r="F425" s="7" t="s">
        <v>106</v>
      </c>
      <c r="G425" s="8">
        <v>4</v>
      </c>
      <c r="H425" s="9">
        <v>299</v>
      </c>
      <c r="I425" s="9">
        <v>0</v>
      </c>
      <c r="J425" s="9">
        <f t="shared" si="13"/>
        <v>1196</v>
      </c>
      <c r="K425" s="7" t="s">
        <v>49</v>
      </c>
    </row>
    <row r="426" spans="1:11" x14ac:dyDescent="0.25">
      <c r="A426" s="2" t="s">
        <v>743</v>
      </c>
      <c r="B426" s="3" t="s">
        <v>71</v>
      </c>
      <c r="C426" s="13" t="s">
        <v>421</v>
      </c>
      <c r="D426" s="3" t="s">
        <v>15</v>
      </c>
      <c r="E426" s="3" t="s">
        <v>52</v>
      </c>
      <c r="F426" s="3" t="s">
        <v>75</v>
      </c>
      <c r="G426" s="4">
        <v>2</v>
      </c>
      <c r="H426" s="5">
        <v>249</v>
      </c>
      <c r="I426" s="5">
        <v>58</v>
      </c>
      <c r="J426" s="5">
        <f t="shared" si="13"/>
        <v>440</v>
      </c>
      <c r="K426" s="3" t="s">
        <v>44</v>
      </c>
    </row>
    <row r="427" spans="1:11" x14ac:dyDescent="0.25">
      <c r="A427" s="6" t="s">
        <v>744</v>
      </c>
      <c r="B427" s="7" t="s">
        <v>55</v>
      </c>
      <c r="C427" s="14" t="s">
        <v>323</v>
      </c>
      <c r="D427" s="7" t="s">
        <v>39</v>
      </c>
      <c r="E427" s="7" t="s">
        <v>23</v>
      </c>
      <c r="F427" s="7" t="s">
        <v>48</v>
      </c>
      <c r="G427" s="8">
        <v>5</v>
      </c>
      <c r="H427" s="9">
        <v>450</v>
      </c>
      <c r="I427" s="9">
        <v>0</v>
      </c>
      <c r="J427" s="9">
        <f t="shared" si="13"/>
        <v>2250</v>
      </c>
      <c r="K427" s="7" t="s">
        <v>49</v>
      </c>
    </row>
    <row r="428" spans="1:11" x14ac:dyDescent="0.25">
      <c r="A428" s="2" t="s">
        <v>745</v>
      </c>
      <c r="B428" s="3" t="s">
        <v>41</v>
      </c>
      <c r="C428" s="13" t="s">
        <v>87</v>
      </c>
      <c r="D428" s="3" t="s">
        <v>29</v>
      </c>
      <c r="E428" s="3" t="s">
        <v>30</v>
      </c>
      <c r="F428" s="3" t="s">
        <v>152</v>
      </c>
      <c r="G428" s="4">
        <v>1</v>
      </c>
      <c r="H428" s="5">
        <v>4500</v>
      </c>
      <c r="I428" s="5">
        <v>0</v>
      </c>
      <c r="J428" s="5">
        <f t="shared" si="13"/>
        <v>4500</v>
      </c>
      <c r="K428" s="3" t="s">
        <v>69</v>
      </c>
    </row>
    <row r="429" spans="1:11" x14ac:dyDescent="0.25">
      <c r="A429" s="6" t="s">
        <v>746</v>
      </c>
      <c r="B429" s="7" t="s">
        <v>63</v>
      </c>
      <c r="C429" s="14" t="s">
        <v>355</v>
      </c>
      <c r="D429" s="7" t="s">
        <v>22</v>
      </c>
      <c r="E429" s="7" t="s">
        <v>30</v>
      </c>
      <c r="F429" s="7" t="s">
        <v>152</v>
      </c>
      <c r="G429" s="8">
        <v>4</v>
      </c>
      <c r="H429" s="9">
        <v>4500</v>
      </c>
      <c r="I429" s="9">
        <v>1896.3</v>
      </c>
      <c r="J429" s="9">
        <f t="shared" si="13"/>
        <v>16103.7</v>
      </c>
      <c r="K429" s="7" t="s">
        <v>65</v>
      </c>
    </row>
    <row r="430" spans="1:11" x14ac:dyDescent="0.25">
      <c r="A430" s="2" t="s">
        <v>747</v>
      </c>
      <c r="B430" s="3" t="s">
        <v>110</v>
      </c>
      <c r="C430" s="13" t="s">
        <v>748</v>
      </c>
      <c r="D430" s="3" t="s">
        <v>47</v>
      </c>
      <c r="E430" s="3" t="s">
        <v>23</v>
      </c>
      <c r="F430" s="3" t="s">
        <v>88</v>
      </c>
      <c r="G430" s="4">
        <v>3</v>
      </c>
      <c r="H430" s="5">
        <v>650</v>
      </c>
      <c r="I430" s="5">
        <v>194.04</v>
      </c>
      <c r="J430" s="5">
        <f t="shared" si="13"/>
        <v>1755.96</v>
      </c>
      <c r="K430" s="3" t="s">
        <v>69</v>
      </c>
    </row>
    <row r="431" spans="1:11" x14ac:dyDescent="0.25">
      <c r="A431" s="6" t="s">
        <v>749</v>
      </c>
      <c r="B431" s="7" t="s">
        <v>34</v>
      </c>
      <c r="C431" s="14" t="s">
        <v>750</v>
      </c>
      <c r="D431" s="7" t="s">
        <v>47</v>
      </c>
      <c r="E431" s="7" t="s">
        <v>30</v>
      </c>
      <c r="F431" s="7" t="s">
        <v>68</v>
      </c>
      <c r="G431" s="8">
        <v>5</v>
      </c>
      <c r="H431" s="9">
        <v>799</v>
      </c>
      <c r="I431" s="9">
        <v>451.96</v>
      </c>
      <c r="J431" s="9">
        <f t="shared" si="13"/>
        <v>3543.04</v>
      </c>
      <c r="K431" s="7" t="s">
        <v>65</v>
      </c>
    </row>
    <row r="432" spans="1:11" x14ac:dyDescent="0.25">
      <c r="A432" s="2" t="s">
        <v>751</v>
      </c>
      <c r="B432" s="3" t="s">
        <v>101</v>
      </c>
      <c r="C432" s="13" t="s">
        <v>752</v>
      </c>
      <c r="D432" s="3" t="s">
        <v>29</v>
      </c>
      <c r="E432" s="3" t="s">
        <v>16</v>
      </c>
      <c r="F432" s="3" t="s">
        <v>17</v>
      </c>
      <c r="G432" s="4">
        <v>1</v>
      </c>
      <c r="H432" s="5">
        <v>39</v>
      </c>
      <c r="I432" s="5">
        <v>0</v>
      </c>
      <c r="J432" s="5">
        <f t="shared" ref="J432:J495" si="14">(G432*H432)-I432</f>
        <v>39</v>
      </c>
      <c r="K432" s="3" t="s">
        <v>89</v>
      </c>
    </row>
    <row r="433" spans="1:11" x14ac:dyDescent="0.25">
      <c r="A433" s="6" t="s">
        <v>753</v>
      </c>
      <c r="B433" s="7" t="s">
        <v>13</v>
      </c>
      <c r="C433" s="14" t="s">
        <v>223</v>
      </c>
      <c r="D433" s="7" t="s">
        <v>15</v>
      </c>
      <c r="E433" s="7" t="s">
        <v>30</v>
      </c>
      <c r="F433" s="7" t="s">
        <v>106</v>
      </c>
      <c r="G433" s="8">
        <v>4</v>
      </c>
      <c r="H433" s="9">
        <v>299</v>
      </c>
      <c r="I433" s="9">
        <v>0</v>
      </c>
      <c r="J433" s="9">
        <f t="shared" si="14"/>
        <v>1196</v>
      </c>
      <c r="K433" s="7" t="s">
        <v>65</v>
      </c>
    </row>
    <row r="434" spans="1:11" x14ac:dyDescent="0.25">
      <c r="A434" s="2" t="s">
        <v>754</v>
      </c>
      <c r="B434" s="3" t="s">
        <v>41</v>
      </c>
      <c r="C434" s="13" t="s">
        <v>355</v>
      </c>
      <c r="D434" s="3" t="s">
        <v>22</v>
      </c>
      <c r="E434" s="3" t="s">
        <v>30</v>
      </c>
      <c r="F434" s="3" t="s">
        <v>31</v>
      </c>
      <c r="G434" s="4">
        <v>1</v>
      </c>
      <c r="H434" s="5">
        <v>2500</v>
      </c>
      <c r="I434" s="5">
        <v>297.82</v>
      </c>
      <c r="J434" s="5">
        <f t="shared" si="14"/>
        <v>2202.1799999999998</v>
      </c>
      <c r="K434" s="3" t="s">
        <v>49</v>
      </c>
    </row>
    <row r="435" spans="1:11" x14ac:dyDescent="0.25">
      <c r="A435" s="6" t="s">
        <v>755</v>
      </c>
      <c r="B435" s="7" t="s">
        <v>110</v>
      </c>
      <c r="C435" s="14" t="s">
        <v>756</v>
      </c>
      <c r="D435" s="7" t="s">
        <v>15</v>
      </c>
      <c r="E435" s="7" t="s">
        <v>23</v>
      </c>
      <c r="F435" s="7" t="s">
        <v>48</v>
      </c>
      <c r="G435" s="8">
        <v>2</v>
      </c>
      <c r="H435" s="9">
        <v>450</v>
      </c>
      <c r="I435" s="9">
        <v>0</v>
      </c>
      <c r="J435" s="9">
        <f t="shared" si="14"/>
        <v>900</v>
      </c>
      <c r="K435" s="7" t="s">
        <v>69</v>
      </c>
    </row>
    <row r="436" spans="1:11" x14ac:dyDescent="0.25">
      <c r="A436" s="2" t="s">
        <v>757</v>
      </c>
      <c r="B436" s="3" t="s">
        <v>20</v>
      </c>
      <c r="C436" s="13" t="s">
        <v>505</v>
      </c>
      <c r="D436" s="3" t="s">
        <v>15</v>
      </c>
      <c r="E436" s="3" t="s">
        <v>52</v>
      </c>
      <c r="F436" s="3" t="s">
        <v>99</v>
      </c>
      <c r="G436" s="4">
        <v>1</v>
      </c>
      <c r="H436" s="5">
        <v>79</v>
      </c>
      <c r="I436" s="5">
        <v>0</v>
      </c>
      <c r="J436" s="5">
        <f t="shared" si="14"/>
        <v>79</v>
      </c>
      <c r="K436" s="3" t="s">
        <v>18</v>
      </c>
    </row>
    <row r="437" spans="1:11" x14ac:dyDescent="0.25">
      <c r="A437" s="6" t="s">
        <v>758</v>
      </c>
      <c r="B437" s="7" t="s">
        <v>63</v>
      </c>
      <c r="C437" s="14" t="s">
        <v>759</v>
      </c>
      <c r="D437" s="7" t="s">
        <v>47</v>
      </c>
      <c r="E437" s="7" t="s">
        <v>52</v>
      </c>
      <c r="F437" s="7" t="s">
        <v>61</v>
      </c>
      <c r="G437" s="8">
        <v>5</v>
      </c>
      <c r="H437" s="9">
        <v>199</v>
      </c>
      <c r="I437" s="9">
        <v>0</v>
      </c>
      <c r="J437" s="9">
        <f t="shared" si="14"/>
        <v>995</v>
      </c>
      <c r="K437" s="7" t="s">
        <v>89</v>
      </c>
    </row>
    <row r="438" spans="1:11" x14ac:dyDescent="0.25">
      <c r="A438" s="2" t="s">
        <v>760</v>
      </c>
      <c r="B438" s="3" t="s">
        <v>110</v>
      </c>
      <c r="C438" s="13" t="s">
        <v>761</v>
      </c>
      <c r="D438" s="3" t="s">
        <v>22</v>
      </c>
      <c r="E438" s="3" t="s">
        <v>23</v>
      </c>
      <c r="F438" s="3" t="s">
        <v>88</v>
      </c>
      <c r="G438" s="4">
        <v>5</v>
      </c>
      <c r="H438" s="5">
        <v>650</v>
      </c>
      <c r="I438" s="5">
        <v>0</v>
      </c>
      <c r="J438" s="5">
        <f t="shared" si="14"/>
        <v>3250</v>
      </c>
      <c r="K438" s="3" t="s">
        <v>25</v>
      </c>
    </row>
    <row r="439" spans="1:11" x14ac:dyDescent="0.25">
      <c r="A439" s="6" t="s">
        <v>762</v>
      </c>
      <c r="B439" s="7" t="s">
        <v>110</v>
      </c>
      <c r="C439" s="14" t="s">
        <v>246</v>
      </c>
      <c r="D439" s="7" t="s">
        <v>29</v>
      </c>
      <c r="E439" s="7" t="s">
        <v>52</v>
      </c>
      <c r="F439" s="7" t="s">
        <v>99</v>
      </c>
      <c r="G439" s="8">
        <v>5</v>
      </c>
      <c r="H439" s="9">
        <v>79</v>
      </c>
      <c r="I439" s="9">
        <v>49.37</v>
      </c>
      <c r="J439" s="9">
        <f t="shared" si="14"/>
        <v>345.63</v>
      </c>
      <c r="K439" s="7" t="s">
        <v>25</v>
      </c>
    </row>
    <row r="440" spans="1:11" x14ac:dyDescent="0.25">
      <c r="A440" s="2" t="s">
        <v>763</v>
      </c>
      <c r="B440" s="3" t="s">
        <v>110</v>
      </c>
      <c r="C440" s="13" t="s">
        <v>764</v>
      </c>
      <c r="D440" s="3" t="s">
        <v>29</v>
      </c>
      <c r="E440" s="3" t="s">
        <v>23</v>
      </c>
      <c r="F440" s="3" t="s">
        <v>48</v>
      </c>
      <c r="G440" s="4">
        <v>1</v>
      </c>
      <c r="H440" s="5">
        <v>450</v>
      </c>
      <c r="I440" s="5">
        <v>9.99</v>
      </c>
      <c r="J440" s="5">
        <f t="shared" si="14"/>
        <v>440.01</v>
      </c>
      <c r="K440" s="3" t="s">
        <v>25</v>
      </c>
    </row>
    <row r="441" spans="1:11" x14ac:dyDescent="0.25">
      <c r="A441" s="6" t="s">
        <v>765</v>
      </c>
      <c r="B441" s="7" t="s">
        <v>63</v>
      </c>
      <c r="C441" s="14" t="s">
        <v>227</v>
      </c>
      <c r="D441" s="7" t="s">
        <v>39</v>
      </c>
      <c r="E441" s="7" t="s">
        <v>23</v>
      </c>
      <c r="F441" s="7" t="s">
        <v>24</v>
      </c>
      <c r="G441" s="8">
        <v>4</v>
      </c>
      <c r="H441" s="9">
        <v>180</v>
      </c>
      <c r="I441" s="9">
        <v>0</v>
      </c>
      <c r="J441" s="9">
        <f t="shared" si="14"/>
        <v>720</v>
      </c>
      <c r="K441" s="7" t="s">
        <v>65</v>
      </c>
    </row>
    <row r="442" spans="1:11" x14ac:dyDescent="0.25">
      <c r="A442" s="2" t="s">
        <v>766</v>
      </c>
      <c r="B442" s="3" t="s">
        <v>13</v>
      </c>
      <c r="C442" s="13" t="s">
        <v>537</v>
      </c>
      <c r="D442" s="3" t="s">
        <v>47</v>
      </c>
      <c r="E442" s="3" t="s">
        <v>52</v>
      </c>
      <c r="F442" s="3" t="s">
        <v>53</v>
      </c>
      <c r="G442" s="4">
        <v>4</v>
      </c>
      <c r="H442" s="5">
        <v>149</v>
      </c>
      <c r="I442" s="5">
        <v>0</v>
      </c>
      <c r="J442" s="5">
        <f t="shared" si="14"/>
        <v>596</v>
      </c>
      <c r="K442" s="3" t="s">
        <v>25</v>
      </c>
    </row>
    <row r="443" spans="1:11" x14ac:dyDescent="0.25">
      <c r="A443" s="6" t="s">
        <v>767</v>
      </c>
      <c r="B443" s="7" t="s">
        <v>27</v>
      </c>
      <c r="C443" s="14" t="s">
        <v>768</v>
      </c>
      <c r="D443" s="7" t="s">
        <v>39</v>
      </c>
      <c r="E443" s="7" t="s">
        <v>23</v>
      </c>
      <c r="F443" s="7" t="s">
        <v>43</v>
      </c>
      <c r="G443" s="8">
        <v>5</v>
      </c>
      <c r="H443" s="9">
        <v>350</v>
      </c>
      <c r="I443" s="9">
        <v>0</v>
      </c>
      <c r="J443" s="9">
        <f t="shared" si="14"/>
        <v>1750</v>
      </c>
      <c r="K443" s="7" t="s">
        <v>69</v>
      </c>
    </row>
    <row r="444" spans="1:11" x14ac:dyDescent="0.25">
      <c r="A444" s="2" t="s">
        <v>769</v>
      </c>
      <c r="B444" s="3" t="s">
        <v>55</v>
      </c>
      <c r="C444" s="13" t="s">
        <v>120</v>
      </c>
      <c r="D444" s="3" t="s">
        <v>39</v>
      </c>
      <c r="E444" s="3" t="s">
        <v>30</v>
      </c>
      <c r="F444" s="3" t="s">
        <v>106</v>
      </c>
      <c r="G444" s="4">
        <v>4</v>
      </c>
      <c r="H444" s="5">
        <v>299</v>
      </c>
      <c r="I444" s="5">
        <v>48.41</v>
      </c>
      <c r="J444" s="5">
        <f t="shared" si="14"/>
        <v>1147.5899999999999</v>
      </c>
      <c r="K444" s="3" t="s">
        <v>25</v>
      </c>
    </row>
    <row r="445" spans="1:11" x14ac:dyDescent="0.25">
      <c r="A445" s="6" t="s">
        <v>770</v>
      </c>
      <c r="B445" s="7" t="s">
        <v>95</v>
      </c>
      <c r="C445" s="14" t="s">
        <v>180</v>
      </c>
      <c r="D445" s="7" t="s">
        <v>29</v>
      </c>
      <c r="E445" s="7" t="s">
        <v>30</v>
      </c>
      <c r="F445" s="7" t="s">
        <v>106</v>
      </c>
      <c r="G445" s="8">
        <v>4</v>
      </c>
      <c r="H445" s="9">
        <v>299</v>
      </c>
      <c r="I445" s="9">
        <v>0</v>
      </c>
      <c r="J445" s="9">
        <f t="shared" si="14"/>
        <v>1196</v>
      </c>
      <c r="K445" s="7" t="s">
        <v>18</v>
      </c>
    </row>
    <row r="446" spans="1:11" x14ac:dyDescent="0.25">
      <c r="A446" s="2" t="s">
        <v>771</v>
      </c>
      <c r="B446" s="3" t="s">
        <v>27</v>
      </c>
      <c r="C446" s="13" t="s">
        <v>533</v>
      </c>
      <c r="D446" s="3" t="s">
        <v>39</v>
      </c>
      <c r="E446" s="3" t="s">
        <v>52</v>
      </c>
      <c r="F446" s="3" t="s">
        <v>99</v>
      </c>
      <c r="G446" s="4">
        <v>4</v>
      </c>
      <c r="H446" s="5">
        <v>79</v>
      </c>
      <c r="I446" s="5">
        <v>29.74</v>
      </c>
      <c r="J446" s="5">
        <f t="shared" si="14"/>
        <v>286.26</v>
      </c>
      <c r="K446" s="3" t="s">
        <v>49</v>
      </c>
    </row>
    <row r="447" spans="1:11" x14ac:dyDescent="0.25">
      <c r="A447" s="6" t="s">
        <v>772</v>
      </c>
      <c r="B447" s="7" t="s">
        <v>55</v>
      </c>
      <c r="C447" s="14" t="s">
        <v>773</v>
      </c>
      <c r="D447" s="7" t="s">
        <v>29</v>
      </c>
      <c r="E447" s="7" t="s">
        <v>30</v>
      </c>
      <c r="F447" s="7" t="s">
        <v>106</v>
      </c>
      <c r="G447" s="8">
        <v>3</v>
      </c>
      <c r="H447" s="9">
        <v>299</v>
      </c>
      <c r="I447" s="9">
        <v>0</v>
      </c>
      <c r="J447" s="9">
        <f t="shared" si="14"/>
        <v>897</v>
      </c>
      <c r="K447" s="7" t="s">
        <v>89</v>
      </c>
    </row>
    <row r="448" spans="1:11" x14ac:dyDescent="0.25">
      <c r="A448" s="2" t="s">
        <v>774</v>
      </c>
      <c r="B448" s="3" t="s">
        <v>134</v>
      </c>
      <c r="C448" s="13" t="s">
        <v>124</v>
      </c>
      <c r="D448" s="3" t="s">
        <v>15</v>
      </c>
      <c r="E448" s="3" t="s">
        <v>52</v>
      </c>
      <c r="F448" s="3" t="s">
        <v>53</v>
      </c>
      <c r="G448" s="4">
        <v>3</v>
      </c>
      <c r="H448" s="5">
        <v>149</v>
      </c>
      <c r="I448" s="5">
        <v>6.29</v>
      </c>
      <c r="J448" s="5">
        <f t="shared" si="14"/>
        <v>440.71</v>
      </c>
      <c r="K448" s="3" t="s">
        <v>32</v>
      </c>
    </row>
    <row r="449" spans="1:11" x14ac:dyDescent="0.25">
      <c r="A449" s="6" t="s">
        <v>775</v>
      </c>
      <c r="B449" s="7" t="s">
        <v>37</v>
      </c>
      <c r="C449" s="14" t="s">
        <v>549</v>
      </c>
      <c r="D449" s="7" t="s">
        <v>47</v>
      </c>
      <c r="E449" s="7" t="s">
        <v>16</v>
      </c>
      <c r="F449" s="7" t="s">
        <v>116</v>
      </c>
      <c r="G449" s="8">
        <v>1</v>
      </c>
      <c r="H449" s="9">
        <v>45</v>
      </c>
      <c r="I449" s="9">
        <v>0</v>
      </c>
      <c r="J449" s="9">
        <f t="shared" si="14"/>
        <v>45</v>
      </c>
      <c r="K449" s="7" t="s">
        <v>89</v>
      </c>
    </row>
    <row r="450" spans="1:11" x14ac:dyDescent="0.25">
      <c r="A450" s="2" t="s">
        <v>776</v>
      </c>
      <c r="B450" s="3" t="s">
        <v>71</v>
      </c>
      <c r="C450" s="13" t="s">
        <v>364</v>
      </c>
      <c r="D450" s="3" t="s">
        <v>47</v>
      </c>
      <c r="E450" s="3" t="s">
        <v>52</v>
      </c>
      <c r="F450" s="3" t="s">
        <v>61</v>
      </c>
      <c r="G450" s="4">
        <v>5</v>
      </c>
      <c r="H450" s="5">
        <v>199</v>
      </c>
      <c r="I450" s="5">
        <v>38.76</v>
      </c>
      <c r="J450" s="5">
        <f t="shared" si="14"/>
        <v>956.24</v>
      </c>
      <c r="K450" s="3" t="s">
        <v>49</v>
      </c>
    </row>
    <row r="451" spans="1:11" x14ac:dyDescent="0.25">
      <c r="A451" s="6" t="s">
        <v>777</v>
      </c>
      <c r="B451" s="7" t="s">
        <v>55</v>
      </c>
      <c r="C451" s="14" t="s">
        <v>286</v>
      </c>
      <c r="D451" s="7" t="s">
        <v>29</v>
      </c>
      <c r="E451" s="7" t="s">
        <v>23</v>
      </c>
      <c r="F451" s="7" t="s">
        <v>88</v>
      </c>
      <c r="G451" s="8">
        <v>2</v>
      </c>
      <c r="H451" s="9">
        <v>650</v>
      </c>
      <c r="I451" s="9">
        <v>56.56</v>
      </c>
      <c r="J451" s="9">
        <f t="shared" si="14"/>
        <v>1243.44</v>
      </c>
      <c r="K451" s="7" t="s">
        <v>25</v>
      </c>
    </row>
    <row r="452" spans="1:11" x14ac:dyDescent="0.25">
      <c r="A452" s="2" t="s">
        <v>778</v>
      </c>
      <c r="B452" s="3" t="s">
        <v>95</v>
      </c>
      <c r="C452" s="13" t="s">
        <v>779</v>
      </c>
      <c r="D452" s="3" t="s">
        <v>15</v>
      </c>
      <c r="E452" s="3" t="s">
        <v>30</v>
      </c>
      <c r="F452" s="3" t="s">
        <v>106</v>
      </c>
      <c r="G452" s="4">
        <v>2</v>
      </c>
      <c r="H452" s="5">
        <v>299</v>
      </c>
      <c r="I452" s="5">
        <v>0</v>
      </c>
      <c r="J452" s="5">
        <f t="shared" si="14"/>
        <v>598</v>
      </c>
      <c r="K452" s="3" t="s">
        <v>18</v>
      </c>
    </row>
    <row r="453" spans="1:11" x14ac:dyDescent="0.25">
      <c r="A453" s="6" t="s">
        <v>780</v>
      </c>
      <c r="B453" s="7" t="s">
        <v>37</v>
      </c>
      <c r="C453" s="14" t="s">
        <v>257</v>
      </c>
      <c r="D453" s="7" t="s">
        <v>47</v>
      </c>
      <c r="E453" s="7" t="s">
        <v>16</v>
      </c>
      <c r="F453" s="7" t="s">
        <v>78</v>
      </c>
      <c r="G453" s="8">
        <v>2</v>
      </c>
      <c r="H453" s="9">
        <v>59</v>
      </c>
      <c r="I453" s="9">
        <v>0</v>
      </c>
      <c r="J453" s="9">
        <f t="shared" si="14"/>
        <v>118</v>
      </c>
      <c r="K453" s="7" t="s">
        <v>18</v>
      </c>
    </row>
    <row r="454" spans="1:11" x14ac:dyDescent="0.25">
      <c r="A454" s="2" t="s">
        <v>781</v>
      </c>
      <c r="B454" s="3" t="s">
        <v>34</v>
      </c>
      <c r="C454" s="13" t="s">
        <v>782</v>
      </c>
      <c r="D454" s="3" t="s">
        <v>15</v>
      </c>
      <c r="E454" s="3" t="s">
        <v>52</v>
      </c>
      <c r="F454" s="3" t="s">
        <v>75</v>
      </c>
      <c r="G454" s="4">
        <v>2</v>
      </c>
      <c r="H454" s="5">
        <v>249</v>
      </c>
      <c r="I454" s="5">
        <v>61.63</v>
      </c>
      <c r="J454" s="5">
        <f t="shared" si="14"/>
        <v>436.37</v>
      </c>
      <c r="K454" s="3" t="s">
        <v>44</v>
      </c>
    </row>
    <row r="455" spans="1:11" x14ac:dyDescent="0.25">
      <c r="A455" s="6" t="s">
        <v>783</v>
      </c>
      <c r="B455" s="7" t="s">
        <v>71</v>
      </c>
      <c r="C455" s="14" t="s">
        <v>784</v>
      </c>
      <c r="D455" s="7" t="s">
        <v>15</v>
      </c>
      <c r="E455" s="7" t="s">
        <v>30</v>
      </c>
      <c r="F455" s="7" t="s">
        <v>68</v>
      </c>
      <c r="G455" s="8">
        <v>1</v>
      </c>
      <c r="H455" s="9">
        <v>799</v>
      </c>
      <c r="I455" s="9">
        <v>50.98</v>
      </c>
      <c r="J455" s="9">
        <f t="shared" si="14"/>
        <v>748.02</v>
      </c>
      <c r="K455" s="7" t="s">
        <v>69</v>
      </c>
    </row>
    <row r="456" spans="1:11" x14ac:dyDescent="0.25">
      <c r="A456" s="2" t="s">
        <v>785</v>
      </c>
      <c r="B456" s="3" t="s">
        <v>55</v>
      </c>
      <c r="C456" s="13" t="s">
        <v>379</v>
      </c>
      <c r="D456" s="3" t="s">
        <v>39</v>
      </c>
      <c r="E456" s="3" t="s">
        <v>16</v>
      </c>
      <c r="F456" s="3" t="s">
        <v>17</v>
      </c>
      <c r="G456" s="4">
        <v>3</v>
      </c>
      <c r="H456" s="5">
        <v>39</v>
      </c>
      <c r="I456" s="5">
        <v>3.65</v>
      </c>
      <c r="J456" s="5">
        <f t="shared" si="14"/>
        <v>113.35</v>
      </c>
      <c r="K456" s="3" t="s">
        <v>65</v>
      </c>
    </row>
    <row r="457" spans="1:11" x14ac:dyDescent="0.25">
      <c r="A457" s="6" t="s">
        <v>786</v>
      </c>
      <c r="B457" s="7" t="s">
        <v>110</v>
      </c>
      <c r="C457" s="14" t="s">
        <v>787</v>
      </c>
      <c r="D457" s="7" t="s">
        <v>22</v>
      </c>
      <c r="E457" s="7" t="s">
        <v>23</v>
      </c>
      <c r="F457" s="7" t="s">
        <v>48</v>
      </c>
      <c r="G457" s="8">
        <v>3</v>
      </c>
      <c r="H457" s="9">
        <v>450</v>
      </c>
      <c r="I457" s="9">
        <v>0</v>
      </c>
      <c r="J457" s="9">
        <f t="shared" si="14"/>
        <v>1350</v>
      </c>
      <c r="K457" s="7" t="s">
        <v>49</v>
      </c>
    </row>
    <row r="458" spans="1:11" x14ac:dyDescent="0.25">
      <c r="A458" s="2" t="s">
        <v>788</v>
      </c>
      <c r="B458" s="3" t="s">
        <v>71</v>
      </c>
      <c r="C458" s="13" t="s">
        <v>789</v>
      </c>
      <c r="D458" s="3" t="s">
        <v>47</v>
      </c>
      <c r="E458" s="3" t="s">
        <v>23</v>
      </c>
      <c r="F458" s="3" t="s">
        <v>88</v>
      </c>
      <c r="G458" s="4">
        <v>2</v>
      </c>
      <c r="H458" s="5">
        <v>650</v>
      </c>
      <c r="I458" s="5">
        <v>0.56000000000000005</v>
      </c>
      <c r="J458" s="5">
        <f t="shared" si="14"/>
        <v>1299.44</v>
      </c>
      <c r="K458" s="3" t="s">
        <v>25</v>
      </c>
    </row>
    <row r="459" spans="1:11" x14ac:dyDescent="0.25">
      <c r="A459" s="6" t="s">
        <v>790</v>
      </c>
      <c r="B459" s="7" t="s">
        <v>27</v>
      </c>
      <c r="C459" s="14" t="s">
        <v>388</v>
      </c>
      <c r="D459" s="7" t="s">
        <v>22</v>
      </c>
      <c r="E459" s="7" t="s">
        <v>52</v>
      </c>
      <c r="F459" s="7" t="s">
        <v>61</v>
      </c>
      <c r="G459" s="8">
        <v>4</v>
      </c>
      <c r="H459" s="9">
        <v>199</v>
      </c>
      <c r="I459" s="9">
        <v>89.09</v>
      </c>
      <c r="J459" s="9">
        <f t="shared" si="14"/>
        <v>706.91</v>
      </c>
      <c r="K459" s="7" t="s">
        <v>44</v>
      </c>
    </row>
    <row r="460" spans="1:11" x14ac:dyDescent="0.25">
      <c r="A460" s="2" t="s">
        <v>791</v>
      </c>
      <c r="B460" s="3" t="s">
        <v>110</v>
      </c>
      <c r="C460" s="13" t="s">
        <v>792</v>
      </c>
      <c r="D460" s="3" t="s">
        <v>22</v>
      </c>
      <c r="E460" s="3" t="s">
        <v>16</v>
      </c>
      <c r="F460" s="3" t="s">
        <v>78</v>
      </c>
      <c r="G460" s="4">
        <v>3</v>
      </c>
      <c r="H460" s="5">
        <v>59</v>
      </c>
      <c r="I460" s="5">
        <v>0</v>
      </c>
      <c r="J460" s="5">
        <f t="shared" si="14"/>
        <v>177</v>
      </c>
      <c r="K460" s="3" t="s">
        <v>18</v>
      </c>
    </row>
    <row r="461" spans="1:11" x14ac:dyDescent="0.25">
      <c r="A461" s="6" t="s">
        <v>793</v>
      </c>
      <c r="B461" s="7" t="s">
        <v>71</v>
      </c>
      <c r="C461" s="14" t="s">
        <v>56</v>
      </c>
      <c r="D461" s="7" t="s">
        <v>29</v>
      </c>
      <c r="E461" s="7" t="s">
        <v>30</v>
      </c>
      <c r="F461" s="7" t="s">
        <v>106</v>
      </c>
      <c r="G461" s="8">
        <v>2</v>
      </c>
      <c r="H461" s="9">
        <v>299</v>
      </c>
      <c r="I461" s="9">
        <v>0</v>
      </c>
      <c r="J461" s="9">
        <f t="shared" si="14"/>
        <v>598</v>
      </c>
      <c r="K461" s="7" t="s">
        <v>49</v>
      </c>
    </row>
    <row r="462" spans="1:11" x14ac:dyDescent="0.25">
      <c r="A462" s="2" t="s">
        <v>794</v>
      </c>
      <c r="B462" s="3" t="s">
        <v>34</v>
      </c>
      <c r="C462" s="13" t="s">
        <v>591</v>
      </c>
      <c r="D462" s="3" t="s">
        <v>22</v>
      </c>
      <c r="E462" s="3" t="s">
        <v>30</v>
      </c>
      <c r="F462" s="3" t="s">
        <v>106</v>
      </c>
      <c r="G462" s="4">
        <v>3</v>
      </c>
      <c r="H462" s="5">
        <v>299</v>
      </c>
      <c r="I462" s="5">
        <v>18.7</v>
      </c>
      <c r="J462" s="5">
        <f t="shared" si="14"/>
        <v>878.3</v>
      </c>
      <c r="K462" s="3" t="s">
        <v>69</v>
      </c>
    </row>
    <row r="463" spans="1:11" x14ac:dyDescent="0.25">
      <c r="A463" s="6" t="s">
        <v>795</v>
      </c>
      <c r="B463" s="7" t="s">
        <v>34</v>
      </c>
      <c r="C463" s="14" t="s">
        <v>796</v>
      </c>
      <c r="D463" s="7" t="s">
        <v>22</v>
      </c>
      <c r="E463" s="7" t="s">
        <v>52</v>
      </c>
      <c r="F463" s="7" t="s">
        <v>61</v>
      </c>
      <c r="G463" s="8">
        <v>1</v>
      </c>
      <c r="H463" s="9">
        <v>199</v>
      </c>
      <c r="I463" s="9">
        <v>28.01</v>
      </c>
      <c r="J463" s="9">
        <f t="shared" si="14"/>
        <v>170.99</v>
      </c>
      <c r="K463" s="7" t="s">
        <v>49</v>
      </c>
    </row>
    <row r="464" spans="1:11" x14ac:dyDescent="0.25">
      <c r="A464" s="2" t="s">
        <v>797</v>
      </c>
      <c r="B464" s="3" t="s">
        <v>37</v>
      </c>
      <c r="C464" s="13" t="s">
        <v>542</v>
      </c>
      <c r="D464" s="3" t="s">
        <v>29</v>
      </c>
      <c r="E464" s="3" t="s">
        <v>52</v>
      </c>
      <c r="F464" s="3" t="s">
        <v>61</v>
      </c>
      <c r="G464" s="4">
        <v>4</v>
      </c>
      <c r="H464" s="5">
        <v>199</v>
      </c>
      <c r="I464" s="5">
        <v>0</v>
      </c>
      <c r="J464" s="5">
        <f t="shared" si="14"/>
        <v>796</v>
      </c>
      <c r="K464" s="3" t="s">
        <v>65</v>
      </c>
    </row>
    <row r="465" spans="1:11" x14ac:dyDescent="0.25">
      <c r="A465" s="6" t="s">
        <v>798</v>
      </c>
      <c r="B465" s="7" t="s">
        <v>13</v>
      </c>
      <c r="C465" s="14" t="s">
        <v>64</v>
      </c>
      <c r="D465" s="7" t="s">
        <v>47</v>
      </c>
      <c r="E465" s="7" t="s">
        <v>52</v>
      </c>
      <c r="F465" s="7" t="s">
        <v>61</v>
      </c>
      <c r="G465" s="8">
        <v>1</v>
      </c>
      <c r="H465" s="9">
        <v>199</v>
      </c>
      <c r="I465" s="9">
        <v>0</v>
      </c>
      <c r="J465" s="9">
        <f t="shared" si="14"/>
        <v>199</v>
      </c>
      <c r="K465" s="7" t="s">
        <v>25</v>
      </c>
    </row>
    <row r="466" spans="1:11" x14ac:dyDescent="0.25">
      <c r="A466" s="2" t="s">
        <v>799</v>
      </c>
      <c r="B466" s="3" t="s">
        <v>71</v>
      </c>
      <c r="C466" s="13" t="s">
        <v>671</v>
      </c>
      <c r="D466" s="3" t="s">
        <v>47</v>
      </c>
      <c r="E466" s="3" t="s">
        <v>52</v>
      </c>
      <c r="F466" s="3" t="s">
        <v>99</v>
      </c>
      <c r="G466" s="4">
        <v>2</v>
      </c>
      <c r="H466" s="5">
        <v>79</v>
      </c>
      <c r="I466" s="5">
        <v>1.06</v>
      </c>
      <c r="J466" s="5">
        <f t="shared" si="14"/>
        <v>156.94</v>
      </c>
      <c r="K466" s="3" t="s">
        <v>65</v>
      </c>
    </row>
    <row r="467" spans="1:11" x14ac:dyDescent="0.25">
      <c r="A467" s="6" t="s">
        <v>800</v>
      </c>
      <c r="B467" s="7" t="s">
        <v>41</v>
      </c>
      <c r="C467" s="14" t="s">
        <v>180</v>
      </c>
      <c r="D467" s="7" t="s">
        <v>22</v>
      </c>
      <c r="E467" s="7" t="s">
        <v>52</v>
      </c>
      <c r="F467" s="7" t="s">
        <v>75</v>
      </c>
      <c r="G467" s="8">
        <v>3</v>
      </c>
      <c r="H467" s="9">
        <v>249</v>
      </c>
      <c r="I467" s="9">
        <v>111.89</v>
      </c>
      <c r="J467" s="9">
        <f t="shared" si="14"/>
        <v>635.11</v>
      </c>
      <c r="K467" s="7" t="s">
        <v>44</v>
      </c>
    </row>
    <row r="468" spans="1:11" x14ac:dyDescent="0.25">
      <c r="A468" s="2" t="s">
        <v>801</v>
      </c>
      <c r="B468" s="3" t="s">
        <v>37</v>
      </c>
      <c r="C468" s="13" t="s">
        <v>802</v>
      </c>
      <c r="D468" s="3" t="s">
        <v>47</v>
      </c>
      <c r="E468" s="3" t="s">
        <v>30</v>
      </c>
      <c r="F468" s="3" t="s">
        <v>31</v>
      </c>
      <c r="G468" s="4">
        <v>4</v>
      </c>
      <c r="H468" s="5">
        <v>2500</v>
      </c>
      <c r="I468" s="5">
        <v>1030.42</v>
      </c>
      <c r="J468" s="5">
        <f t="shared" si="14"/>
        <v>8969.58</v>
      </c>
      <c r="K468" s="3" t="s">
        <v>65</v>
      </c>
    </row>
    <row r="469" spans="1:11" x14ac:dyDescent="0.25">
      <c r="A469" s="6" t="s">
        <v>803</v>
      </c>
      <c r="B469" s="7" t="s">
        <v>27</v>
      </c>
      <c r="C469" s="14" t="s">
        <v>454</v>
      </c>
      <c r="D469" s="7" t="s">
        <v>39</v>
      </c>
      <c r="E469" s="7" t="s">
        <v>23</v>
      </c>
      <c r="F469" s="7" t="s">
        <v>48</v>
      </c>
      <c r="G469" s="8">
        <v>1</v>
      </c>
      <c r="H469" s="9">
        <v>450</v>
      </c>
      <c r="I469" s="9">
        <v>61.87</v>
      </c>
      <c r="J469" s="9">
        <f t="shared" si="14"/>
        <v>388.13</v>
      </c>
      <c r="K469" s="7" t="s">
        <v>89</v>
      </c>
    </row>
    <row r="470" spans="1:11" x14ac:dyDescent="0.25">
      <c r="A470" s="2" t="s">
        <v>804</v>
      </c>
      <c r="B470" s="3" t="s">
        <v>34</v>
      </c>
      <c r="C470" s="13" t="s">
        <v>805</v>
      </c>
      <c r="D470" s="3" t="s">
        <v>39</v>
      </c>
      <c r="E470" s="3" t="s">
        <v>30</v>
      </c>
      <c r="F470" s="3" t="s">
        <v>152</v>
      </c>
      <c r="G470" s="4">
        <v>1</v>
      </c>
      <c r="H470" s="5">
        <v>4500</v>
      </c>
      <c r="I470" s="5">
        <v>0</v>
      </c>
      <c r="J470" s="5">
        <f t="shared" si="14"/>
        <v>4500</v>
      </c>
      <c r="K470" s="3" t="s">
        <v>44</v>
      </c>
    </row>
    <row r="471" spans="1:11" x14ac:dyDescent="0.25">
      <c r="A471" s="6" t="s">
        <v>806</v>
      </c>
      <c r="B471" s="7" t="s">
        <v>41</v>
      </c>
      <c r="C471" s="14" t="s">
        <v>618</v>
      </c>
      <c r="D471" s="7" t="s">
        <v>15</v>
      </c>
      <c r="E471" s="7" t="s">
        <v>23</v>
      </c>
      <c r="F471" s="7" t="s">
        <v>88</v>
      </c>
      <c r="G471" s="8">
        <v>3</v>
      </c>
      <c r="H471" s="9">
        <v>650</v>
      </c>
      <c r="I471" s="9">
        <v>158.62</v>
      </c>
      <c r="J471" s="9">
        <f t="shared" si="14"/>
        <v>1791.38</v>
      </c>
      <c r="K471" s="7" t="s">
        <v>25</v>
      </c>
    </row>
    <row r="472" spans="1:11" x14ac:dyDescent="0.25">
      <c r="A472" s="2" t="s">
        <v>807</v>
      </c>
      <c r="B472" s="3" t="s">
        <v>55</v>
      </c>
      <c r="C472" s="13" t="s">
        <v>286</v>
      </c>
      <c r="D472" s="3" t="s">
        <v>39</v>
      </c>
      <c r="E472" s="3" t="s">
        <v>30</v>
      </c>
      <c r="F472" s="3" t="s">
        <v>31</v>
      </c>
      <c r="G472" s="4">
        <v>2</v>
      </c>
      <c r="H472" s="5">
        <v>2500</v>
      </c>
      <c r="I472" s="5">
        <v>0</v>
      </c>
      <c r="J472" s="5">
        <f t="shared" si="14"/>
        <v>5000</v>
      </c>
      <c r="K472" s="3" t="s">
        <v>32</v>
      </c>
    </row>
    <row r="473" spans="1:11" x14ac:dyDescent="0.25">
      <c r="A473" s="6" t="s">
        <v>808</v>
      </c>
      <c r="B473" s="7" t="s">
        <v>34</v>
      </c>
      <c r="C473" s="14" t="s">
        <v>809</v>
      </c>
      <c r="D473" s="7" t="s">
        <v>22</v>
      </c>
      <c r="E473" s="7" t="s">
        <v>23</v>
      </c>
      <c r="F473" s="7" t="s">
        <v>48</v>
      </c>
      <c r="G473" s="8">
        <v>3</v>
      </c>
      <c r="H473" s="9">
        <v>450</v>
      </c>
      <c r="I473" s="9">
        <v>0</v>
      </c>
      <c r="J473" s="9">
        <f t="shared" si="14"/>
        <v>1350</v>
      </c>
      <c r="K473" s="7" t="s">
        <v>65</v>
      </c>
    </row>
    <row r="474" spans="1:11" x14ac:dyDescent="0.25">
      <c r="A474" s="2" t="s">
        <v>810</v>
      </c>
      <c r="B474" s="3" t="s">
        <v>55</v>
      </c>
      <c r="C474" s="13" t="s">
        <v>72</v>
      </c>
      <c r="D474" s="3" t="s">
        <v>22</v>
      </c>
      <c r="E474" s="3" t="s">
        <v>23</v>
      </c>
      <c r="F474" s="3" t="s">
        <v>43</v>
      </c>
      <c r="G474" s="4">
        <v>2</v>
      </c>
      <c r="H474" s="5">
        <v>350</v>
      </c>
      <c r="I474" s="5">
        <v>37.89</v>
      </c>
      <c r="J474" s="5">
        <f t="shared" si="14"/>
        <v>662.11</v>
      </c>
      <c r="K474" s="3" t="s">
        <v>25</v>
      </c>
    </row>
    <row r="475" spans="1:11" x14ac:dyDescent="0.25">
      <c r="A475" s="6" t="s">
        <v>811</v>
      </c>
      <c r="B475" s="7" t="s">
        <v>110</v>
      </c>
      <c r="C475" s="14" t="s">
        <v>748</v>
      </c>
      <c r="D475" s="7" t="s">
        <v>39</v>
      </c>
      <c r="E475" s="7" t="s">
        <v>16</v>
      </c>
      <c r="F475" s="7" t="s">
        <v>116</v>
      </c>
      <c r="G475" s="8">
        <v>4</v>
      </c>
      <c r="H475" s="9">
        <v>45</v>
      </c>
      <c r="I475" s="9">
        <v>0</v>
      </c>
      <c r="J475" s="9">
        <f t="shared" si="14"/>
        <v>180</v>
      </c>
      <c r="K475" s="7" t="s">
        <v>49</v>
      </c>
    </row>
    <row r="476" spans="1:11" x14ac:dyDescent="0.25">
      <c r="A476" s="2" t="s">
        <v>812</v>
      </c>
      <c r="B476" s="3" t="s">
        <v>71</v>
      </c>
      <c r="C476" s="13" t="s">
        <v>813</v>
      </c>
      <c r="D476" s="3" t="s">
        <v>39</v>
      </c>
      <c r="E476" s="3" t="s">
        <v>52</v>
      </c>
      <c r="F476" s="3" t="s">
        <v>99</v>
      </c>
      <c r="G476" s="4">
        <v>2</v>
      </c>
      <c r="H476" s="5">
        <v>79</v>
      </c>
      <c r="I476" s="5">
        <v>10.71</v>
      </c>
      <c r="J476" s="5">
        <f t="shared" si="14"/>
        <v>147.29</v>
      </c>
      <c r="K476" s="3" t="s">
        <v>65</v>
      </c>
    </row>
    <row r="477" spans="1:11" x14ac:dyDescent="0.25">
      <c r="A477" s="6" t="s">
        <v>814</v>
      </c>
      <c r="B477" s="7" t="s">
        <v>20</v>
      </c>
      <c r="C477" s="14" t="s">
        <v>362</v>
      </c>
      <c r="D477" s="7" t="s">
        <v>22</v>
      </c>
      <c r="E477" s="7" t="s">
        <v>30</v>
      </c>
      <c r="F477" s="7" t="s">
        <v>106</v>
      </c>
      <c r="G477" s="8">
        <v>5</v>
      </c>
      <c r="H477" s="9">
        <v>299</v>
      </c>
      <c r="I477" s="9">
        <v>0</v>
      </c>
      <c r="J477" s="9">
        <f t="shared" si="14"/>
        <v>1495</v>
      </c>
      <c r="K477" s="7" t="s">
        <v>44</v>
      </c>
    </row>
    <row r="478" spans="1:11" x14ac:dyDescent="0.25">
      <c r="A478" s="2" t="s">
        <v>815</v>
      </c>
      <c r="B478" s="3" t="s">
        <v>34</v>
      </c>
      <c r="C478" s="13" t="s">
        <v>708</v>
      </c>
      <c r="D478" s="3" t="s">
        <v>29</v>
      </c>
      <c r="E478" s="3" t="s">
        <v>16</v>
      </c>
      <c r="F478" s="3" t="s">
        <v>103</v>
      </c>
      <c r="G478" s="4">
        <v>4</v>
      </c>
      <c r="H478" s="5">
        <v>89</v>
      </c>
      <c r="I478" s="5">
        <v>11.91</v>
      </c>
      <c r="J478" s="5">
        <f t="shared" si="14"/>
        <v>344.09</v>
      </c>
      <c r="K478" s="3" t="s">
        <v>25</v>
      </c>
    </row>
    <row r="479" spans="1:11" x14ac:dyDescent="0.25">
      <c r="A479" s="6" t="s">
        <v>816</v>
      </c>
      <c r="B479" s="7" t="s">
        <v>41</v>
      </c>
      <c r="C479" s="14" t="s">
        <v>433</v>
      </c>
      <c r="D479" s="7" t="s">
        <v>22</v>
      </c>
      <c r="E479" s="7" t="s">
        <v>52</v>
      </c>
      <c r="F479" s="7" t="s">
        <v>61</v>
      </c>
      <c r="G479" s="8">
        <v>4</v>
      </c>
      <c r="H479" s="9">
        <v>199</v>
      </c>
      <c r="I479" s="9">
        <v>0</v>
      </c>
      <c r="J479" s="9">
        <f t="shared" si="14"/>
        <v>796</v>
      </c>
      <c r="K479" s="7" t="s">
        <v>44</v>
      </c>
    </row>
    <row r="480" spans="1:11" x14ac:dyDescent="0.25">
      <c r="A480" s="2" t="s">
        <v>817</v>
      </c>
      <c r="B480" s="3" t="s">
        <v>55</v>
      </c>
      <c r="C480" s="13" t="s">
        <v>539</v>
      </c>
      <c r="D480" s="3" t="s">
        <v>22</v>
      </c>
      <c r="E480" s="3" t="s">
        <v>52</v>
      </c>
      <c r="F480" s="3" t="s">
        <v>61</v>
      </c>
      <c r="G480" s="4">
        <v>5</v>
      </c>
      <c r="H480" s="5">
        <v>199</v>
      </c>
      <c r="I480" s="5">
        <v>0</v>
      </c>
      <c r="J480" s="5">
        <f t="shared" si="14"/>
        <v>995</v>
      </c>
      <c r="K480" s="3" t="s">
        <v>65</v>
      </c>
    </row>
    <row r="481" spans="1:11" x14ac:dyDescent="0.25">
      <c r="A481" s="6" t="s">
        <v>818</v>
      </c>
      <c r="B481" s="7" t="s">
        <v>277</v>
      </c>
      <c r="C481" s="14" t="s">
        <v>652</v>
      </c>
      <c r="D481" s="7" t="s">
        <v>39</v>
      </c>
      <c r="E481" s="7" t="s">
        <v>52</v>
      </c>
      <c r="F481" s="7" t="s">
        <v>61</v>
      </c>
      <c r="G481" s="8">
        <v>2</v>
      </c>
      <c r="H481" s="9">
        <v>199</v>
      </c>
      <c r="I481" s="9">
        <v>33.17</v>
      </c>
      <c r="J481" s="9">
        <f t="shared" si="14"/>
        <v>364.83</v>
      </c>
      <c r="K481" s="7" t="s">
        <v>25</v>
      </c>
    </row>
    <row r="482" spans="1:11" x14ac:dyDescent="0.25">
      <c r="A482" s="2" t="s">
        <v>819</v>
      </c>
      <c r="B482" s="3"/>
      <c r="C482" s="13" t="s">
        <v>469</v>
      </c>
      <c r="D482" s="3" t="s">
        <v>29</v>
      </c>
      <c r="E482" s="3" t="s">
        <v>52</v>
      </c>
      <c r="F482" s="3" t="s">
        <v>75</v>
      </c>
      <c r="G482" s="4">
        <v>4</v>
      </c>
      <c r="H482" s="5">
        <v>249</v>
      </c>
      <c r="I482" s="5">
        <v>96.84</v>
      </c>
      <c r="J482" s="5">
        <f t="shared" si="14"/>
        <v>899.16</v>
      </c>
      <c r="K482" s="3" t="s">
        <v>89</v>
      </c>
    </row>
    <row r="483" spans="1:11" x14ac:dyDescent="0.25">
      <c r="A483" s="6" t="s">
        <v>820</v>
      </c>
      <c r="B483" s="7" t="s">
        <v>95</v>
      </c>
      <c r="C483" s="14" t="s">
        <v>591</v>
      </c>
      <c r="D483" s="7" t="s">
        <v>39</v>
      </c>
      <c r="E483" s="7" t="s">
        <v>52</v>
      </c>
      <c r="F483" s="7" t="s">
        <v>99</v>
      </c>
      <c r="G483" s="8">
        <v>1</v>
      </c>
      <c r="H483" s="9">
        <v>79</v>
      </c>
      <c r="I483" s="9">
        <v>0.65</v>
      </c>
      <c r="J483" s="9">
        <f t="shared" si="14"/>
        <v>78.349999999999994</v>
      </c>
      <c r="K483" s="7" t="s">
        <v>25</v>
      </c>
    </row>
    <row r="484" spans="1:11" x14ac:dyDescent="0.25">
      <c r="A484" s="2" t="s">
        <v>821</v>
      </c>
      <c r="B484" s="3" t="s">
        <v>41</v>
      </c>
      <c r="C484" s="13" t="s">
        <v>579</v>
      </c>
      <c r="D484" s="3" t="s">
        <v>15</v>
      </c>
      <c r="E484" s="3" t="s">
        <v>30</v>
      </c>
      <c r="F484" s="3" t="s">
        <v>152</v>
      </c>
      <c r="G484" s="4">
        <v>4</v>
      </c>
      <c r="H484" s="5">
        <v>4500</v>
      </c>
      <c r="I484" s="5">
        <v>63.97</v>
      </c>
      <c r="J484" s="5">
        <f t="shared" si="14"/>
        <v>17936.03</v>
      </c>
      <c r="K484" s="3" t="s">
        <v>89</v>
      </c>
    </row>
    <row r="485" spans="1:11" x14ac:dyDescent="0.25">
      <c r="A485" s="6" t="s">
        <v>822</v>
      </c>
      <c r="B485" s="7" t="s">
        <v>27</v>
      </c>
      <c r="C485" s="14" t="s">
        <v>85</v>
      </c>
      <c r="D485" s="7" t="s">
        <v>29</v>
      </c>
      <c r="E485" s="7" t="s">
        <v>23</v>
      </c>
      <c r="F485" s="7" t="s">
        <v>48</v>
      </c>
      <c r="G485" s="8">
        <v>1</v>
      </c>
      <c r="H485" s="9">
        <v>450</v>
      </c>
      <c r="I485" s="9">
        <v>0</v>
      </c>
      <c r="J485" s="9">
        <f t="shared" si="14"/>
        <v>450</v>
      </c>
      <c r="K485" s="7" t="s">
        <v>49</v>
      </c>
    </row>
    <row r="486" spans="1:11" x14ac:dyDescent="0.25">
      <c r="A486" s="2" t="s">
        <v>823</v>
      </c>
      <c r="B486" s="3" t="s">
        <v>55</v>
      </c>
      <c r="C486" s="13" t="s">
        <v>537</v>
      </c>
      <c r="D486" s="3" t="s">
        <v>29</v>
      </c>
      <c r="E486" s="3" t="s">
        <v>23</v>
      </c>
      <c r="F486" s="3" t="s">
        <v>43</v>
      </c>
      <c r="G486" s="4">
        <v>1</v>
      </c>
      <c r="H486" s="5">
        <v>350</v>
      </c>
      <c r="I486" s="5">
        <v>43.51</v>
      </c>
      <c r="J486" s="5">
        <f t="shared" si="14"/>
        <v>306.49</v>
      </c>
      <c r="K486" s="3" t="s">
        <v>65</v>
      </c>
    </row>
    <row r="487" spans="1:11" x14ac:dyDescent="0.25">
      <c r="A487" s="6" t="s">
        <v>824</v>
      </c>
      <c r="B487" s="7" t="s">
        <v>37</v>
      </c>
      <c r="C487" s="14" t="s">
        <v>825</v>
      </c>
      <c r="D487" s="7" t="s">
        <v>47</v>
      </c>
      <c r="E487" s="7" t="s">
        <v>23</v>
      </c>
      <c r="F487" s="7" t="s">
        <v>48</v>
      </c>
      <c r="G487" s="8">
        <v>3</v>
      </c>
      <c r="H487" s="9">
        <v>450</v>
      </c>
      <c r="I487" s="9">
        <v>0</v>
      </c>
      <c r="J487" s="9">
        <f t="shared" si="14"/>
        <v>1350</v>
      </c>
      <c r="K487" s="7" t="s">
        <v>32</v>
      </c>
    </row>
    <row r="488" spans="1:11" x14ac:dyDescent="0.25">
      <c r="A488" s="2" t="s">
        <v>826</v>
      </c>
      <c r="B488" s="3" t="s">
        <v>37</v>
      </c>
      <c r="C488" s="13" t="s">
        <v>198</v>
      </c>
      <c r="D488" s="3" t="s">
        <v>15</v>
      </c>
      <c r="E488" s="3" t="s">
        <v>23</v>
      </c>
      <c r="F488" s="3" t="s">
        <v>88</v>
      </c>
      <c r="G488" s="4">
        <v>5</v>
      </c>
      <c r="H488" s="5">
        <v>650</v>
      </c>
      <c r="I488" s="5">
        <v>96.8</v>
      </c>
      <c r="J488" s="5">
        <f t="shared" si="14"/>
        <v>3153.2</v>
      </c>
      <c r="K488" s="3" t="s">
        <v>89</v>
      </c>
    </row>
    <row r="489" spans="1:11" x14ac:dyDescent="0.25">
      <c r="A489" s="6" t="s">
        <v>827</v>
      </c>
      <c r="B489" s="7" t="s">
        <v>13</v>
      </c>
      <c r="C489" s="14" t="s">
        <v>828</v>
      </c>
      <c r="D489" s="7" t="s">
        <v>22</v>
      </c>
      <c r="E489" s="7" t="s">
        <v>16</v>
      </c>
      <c r="F489" s="7" t="s">
        <v>17</v>
      </c>
      <c r="G489" s="8">
        <v>3</v>
      </c>
      <c r="H489" s="9">
        <v>39</v>
      </c>
      <c r="I489" s="9">
        <v>16.420000000000002</v>
      </c>
      <c r="J489" s="9">
        <f t="shared" si="14"/>
        <v>100.58</v>
      </c>
      <c r="K489" s="7" t="s">
        <v>49</v>
      </c>
    </row>
    <row r="490" spans="1:11" x14ac:dyDescent="0.25">
      <c r="A490" s="2" t="s">
        <v>829</v>
      </c>
      <c r="B490" s="3" t="s">
        <v>71</v>
      </c>
      <c r="C490" s="13" t="s">
        <v>364</v>
      </c>
      <c r="D490" s="3" t="s">
        <v>22</v>
      </c>
      <c r="E490" s="3" t="s">
        <v>52</v>
      </c>
      <c r="F490" s="3" t="s">
        <v>61</v>
      </c>
      <c r="G490" s="4">
        <v>4</v>
      </c>
      <c r="H490" s="5">
        <v>199</v>
      </c>
      <c r="I490" s="5">
        <v>74.09</v>
      </c>
      <c r="J490" s="5">
        <f t="shared" si="14"/>
        <v>721.91</v>
      </c>
      <c r="K490" s="3" t="s">
        <v>32</v>
      </c>
    </row>
    <row r="491" spans="1:11" x14ac:dyDescent="0.25">
      <c r="A491" s="6" t="s">
        <v>830</v>
      </c>
      <c r="B491" s="7" t="s">
        <v>37</v>
      </c>
      <c r="C491" s="14" t="s">
        <v>516</v>
      </c>
      <c r="D491" s="7" t="s">
        <v>29</v>
      </c>
      <c r="E491" s="7" t="s">
        <v>16</v>
      </c>
      <c r="F491" s="7" t="s">
        <v>116</v>
      </c>
      <c r="G491" s="8">
        <v>4</v>
      </c>
      <c r="H491" s="9">
        <v>45</v>
      </c>
      <c r="I491" s="9">
        <v>0</v>
      </c>
      <c r="J491" s="9">
        <f t="shared" si="14"/>
        <v>180</v>
      </c>
      <c r="K491" s="7" t="s">
        <v>65</v>
      </c>
    </row>
    <row r="492" spans="1:11" x14ac:dyDescent="0.25">
      <c r="A492" s="2" t="s">
        <v>831</v>
      </c>
      <c r="B492" s="3" t="s">
        <v>37</v>
      </c>
      <c r="C492" s="13" t="s">
        <v>832</v>
      </c>
      <c r="D492" s="3" t="s">
        <v>39</v>
      </c>
      <c r="E492" s="3" t="s">
        <v>16</v>
      </c>
      <c r="F492" s="3" t="s">
        <v>17</v>
      </c>
      <c r="G492" s="4">
        <v>3</v>
      </c>
      <c r="H492" s="5">
        <v>39</v>
      </c>
      <c r="I492" s="5">
        <v>0</v>
      </c>
      <c r="J492" s="5">
        <f t="shared" si="14"/>
        <v>117</v>
      </c>
      <c r="K492" s="3" t="s">
        <v>25</v>
      </c>
    </row>
    <row r="493" spans="1:11" x14ac:dyDescent="0.25">
      <c r="A493" s="6" t="s">
        <v>833</v>
      </c>
      <c r="B493" s="7" t="s">
        <v>95</v>
      </c>
      <c r="C493" s="14" t="s">
        <v>634</v>
      </c>
      <c r="D493" s="7" t="s">
        <v>22</v>
      </c>
      <c r="E493" s="7" t="s">
        <v>16</v>
      </c>
      <c r="F493" s="7"/>
      <c r="G493" s="8">
        <v>3</v>
      </c>
      <c r="H493" s="9">
        <v>45</v>
      </c>
      <c r="I493" s="9">
        <v>0</v>
      </c>
      <c r="J493" s="9">
        <f t="shared" si="14"/>
        <v>135</v>
      </c>
      <c r="K493" s="7" t="s">
        <v>65</v>
      </c>
    </row>
    <row r="494" spans="1:11" x14ac:dyDescent="0.25">
      <c r="A494" s="2" t="s">
        <v>834</v>
      </c>
      <c r="B494" s="3" t="s">
        <v>27</v>
      </c>
      <c r="C494" s="13" t="s">
        <v>835</v>
      </c>
      <c r="D494" s="3" t="s">
        <v>15</v>
      </c>
      <c r="E494" s="3" t="s">
        <v>23</v>
      </c>
      <c r="F494" s="3" t="s">
        <v>88</v>
      </c>
      <c r="G494" s="4">
        <v>5</v>
      </c>
      <c r="H494" s="5">
        <v>650</v>
      </c>
      <c r="I494" s="5">
        <v>145.6</v>
      </c>
      <c r="J494" s="5">
        <f t="shared" si="14"/>
        <v>3104.4</v>
      </c>
      <c r="K494" s="3" t="s">
        <v>49</v>
      </c>
    </row>
    <row r="495" spans="1:11" x14ac:dyDescent="0.25">
      <c r="A495" s="6" t="s">
        <v>836</v>
      </c>
      <c r="B495" s="7" t="s">
        <v>41</v>
      </c>
      <c r="C495" s="14" t="s">
        <v>96</v>
      </c>
      <c r="D495" s="7" t="s">
        <v>39</v>
      </c>
      <c r="E495" s="7" t="s">
        <v>52</v>
      </c>
      <c r="F495" s="7" t="s">
        <v>53</v>
      </c>
      <c r="G495" s="8">
        <v>4</v>
      </c>
      <c r="H495" s="9">
        <v>149</v>
      </c>
      <c r="I495" s="9">
        <v>11.44</v>
      </c>
      <c r="J495" s="9">
        <f t="shared" si="14"/>
        <v>584.55999999999995</v>
      </c>
      <c r="K495" s="7" t="s">
        <v>18</v>
      </c>
    </row>
    <row r="496" spans="1:11" x14ac:dyDescent="0.25">
      <c r="A496" s="2" t="s">
        <v>837</v>
      </c>
      <c r="B496" s="3" t="s">
        <v>63</v>
      </c>
      <c r="C496" s="13" t="s">
        <v>537</v>
      </c>
      <c r="D496" s="3" t="s">
        <v>39</v>
      </c>
      <c r="E496" s="3" t="s">
        <v>23</v>
      </c>
      <c r="F496" s="3" t="s">
        <v>88</v>
      </c>
      <c r="G496" s="4">
        <v>4</v>
      </c>
      <c r="H496" s="5">
        <v>650</v>
      </c>
      <c r="I496" s="5">
        <v>0</v>
      </c>
      <c r="J496" s="5">
        <f t="shared" ref="J496:J559" si="15">(G496*H496)-I496</f>
        <v>2600</v>
      </c>
      <c r="K496" s="3" t="s">
        <v>18</v>
      </c>
    </row>
    <row r="497" spans="1:11" x14ac:dyDescent="0.25">
      <c r="A497" s="6" t="s">
        <v>838</v>
      </c>
      <c r="B497" s="7" t="s">
        <v>71</v>
      </c>
      <c r="C497" s="14" t="s">
        <v>828</v>
      </c>
      <c r="D497" s="7" t="s">
        <v>15</v>
      </c>
      <c r="E497" s="7" t="s">
        <v>52</v>
      </c>
      <c r="F497" s="7" t="s">
        <v>53</v>
      </c>
      <c r="G497" s="8">
        <v>2</v>
      </c>
      <c r="H497" s="9">
        <v>149</v>
      </c>
      <c r="I497" s="9">
        <v>7.59</v>
      </c>
      <c r="J497" s="9">
        <f t="shared" si="15"/>
        <v>290.41000000000003</v>
      </c>
      <c r="K497" s="7" t="s">
        <v>69</v>
      </c>
    </row>
    <row r="498" spans="1:11" x14ac:dyDescent="0.25">
      <c r="A498" s="2" t="s">
        <v>839</v>
      </c>
      <c r="B498" s="3" t="s">
        <v>55</v>
      </c>
      <c r="C498" s="13" t="s">
        <v>805</v>
      </c>
      <c r="D498" s="3" t="s">
        <v>22</v>
      </c>
      <c r="E498" s="3" t="s">
        <v>52</v>
      </c>
      <c r="F498" s="3" t="s">
        <v>75</v>
      </c>
      <c r="G498" s="4">
        <v>2</v>
      </c>
      <c r="H498" s="5">
        <v>249</v>
      </c>
      <c r="I498" s="5">
        <v>0</v>
      </c>
      <c r="J498" s="5">
        <f t="shared" si="15"/>
        <v>498</v>
      </c>
      <c r="K498" s="3" t="s">
        <v>89</v>
      </c>
    </row>
    <row r="499" spans="1:11" x14ac:dyDescent="0.25">
      <c r="A499" s="6" t="s">
        <v>840</v>
      </c>
      <c r="B499" s="7" t="s">
        <v>101</v>
      </c>
      <c r="C499" s="14" t="s">
        <v>161</v>
      </c>
      <c r="D499" s="7" t="s">
        <v>47</v>
      </c>
      <c r="E499" s="7" t="s">
        <v>23</v>
      </c>
      <c r="F499" s="7" t="s">
        <v>48</v>
      </c>
      <c r="G499" s="8">
        <v>3</v>
      </c>
      <c r="H499" s="9">
        <v>450</v>
      </c>
      <c r="I499" s="9">
        <v>1.72</v>
      </c>
      <c r="J499" s="9">
        <f t="shared" si="15"/>
        <v>1348.28</v>
      </c>
      <c r="K499" s="7" t="s">
        <v>25</v>
      </c>
    </row>
    <row r="500" spans="1:11" x14ac:dyDescent="0.25">
      <c r="A500" s="2" t="s">
        <v>841</v>
      </c>
      <c r="B500" s="3" t="s">
        <v>95</v>
      </c>
      <c r="C500" s="13" t="s">
        <v>60</v>
      </c>
      <c r="D500" s="3" t="s">
        <v>47</v>
      </c>
      <c r="E500" s="3" t="s">
        <v>23</v>
      </c>
      <c r="F500" s="3" t="s">
        <v>88</v>
      </c>
      <c r="G500" s="4">
        <v>5</v>
      </c>
      <c r="H500" s="5">
        <v>650</v>
      </c>
      <c r="I500" s="5">
        <v>0</v>
      </c>
      <c r="J500" s="5">
        <f t="shared" si="15"/>
        <v>3250</v>
      </c>
      <c r="K500" s="3" t="s">
        <v>32</v>
      </c>
    </row>
    <row r="501" spans="1:11" x14ac:dyDescent="0.25">
      <c r="A501" s="6" t="s">
        <v>842</v>
      </c>
      <c r="B501" s="7" t="s">
        <v>27</v>
      </c>
      <c r="C501" s="14" t="s">
        <v>190</v>
      </c>
      <c r="D501" s="7" t="s">
        <v>47</v>
      </c>
      <c r="E501" s="7" t="s">
        <v>30</v>
      </c>
      <c r="F501" s="7" t="s">
        <v>68</v>
      </c>
      <c r="G501" s="8">
        <v>2</v>
      </c>
      <c r="H501" s="9">
        <v>799</v>
      </c>
      <c r="I501" s="9">
        <v>0</v>
      </c>
      <c r="J501" s="9">
        <f t="shared" si="15"/>
        <v>1598</v>
      </c>
      <c r="K501" s="7" t="s">
        <v>18</v>
      </c>
    </row>
    <row r="502" spans="1:11" x14ac:dyDescent="0.25">
      <c r="A502" s="2" t="s">
        <v>843</v>
      </c>
      <c r="B502" s="3" t="s">
        <v>95</v>
      </c>
      <c r="C502" s="13" t="s">
        <v>446</v>
      </c>
      <c r="D502" s="3" t="s">
        <v>39</v>
      </c>
      <c r="E502" s="3" t="s">
        <v>23</v>
      </c>
      <c r="F502" s="3" t="s">
        <v>88</v>
      </c>
      <c r="G502" s="4">
        <v>2</v>
      </c>
      <c r="H502" s="5">
        <v>650</v>
      </c>
      <c r="I502" s="5">
        <v>135.86000000000001</v>
      </c>
      <c r="J502" s="5">
        <f t="shared" si="15"/>
        <v>1164.1399999999999</v>
      </c>
      <c r="K502" s="3" t="s">
        <v>89</v>
      </c>
    </row>
    <row r="503" spans="1:11" x14ac:dyDescent="0.25">
      <c r="A503" s="6" t="s">
        <v>844</v>
      </c>
      <c r="B503" s="7" t="s">
        <v>41</v>
      </c>
      <c r="C503" s="14" t="s">
        <v>412</v>
      </c>
      <c r="D503" s="7" t="s">
        <v>39</v>
      </c>
      <c r="E503" s="7" t="s">
        <v>23</v>
      </c>
      <c r="F503" s="7" t="s">
        <v>24</v>
      </c>
      <c r="G503" s="8">
        <v>5</v>
      </c>
      <c r="H503" s="9">
        <v>180</v>
      </c>
      <c r="I503" s="9">
        <v>0</v>
      </c>
      <c r="J503" s="9">
        <f t="shared" si="15"/>
        <v>900</v>
      </c>
      <c r="K503" s="7" t="s">
        <v>89</v>
      </c>
    </row>
    <row r="504" spans="1:11" x14ac:dyDescent="0.25">
      <c r="A504" s="2" t="s">
        <v>845</v>
      </c>
      <c r="B504" s="3" t="s">
        <v>20</v>
      </c>
      <c r="C504" s="13" t="s">
        <v>243</v>
      </c>
      <c r="D504" s="3" t="s">
        <v>29</v>
      </c>
      <c r="E504" s="3" t="s">
        <v>52</v>
      </c>
      <c r="F504" s="3" t="s">
        <v>53</v>
      </c>
      <c r="G504" s="4">
        <v>1</v>
      </c>
      <c r="H504" s="5">
        <v>149</v>
      </c>
      <c r="I504" s="5">
        <v>0</v>
      </c>
      <c r="J504" s="5">
        <f t="shared" si="15"/>
        <v>149</v>
      </c>
      <c r="K504" s="3" t="s">
        <v>18</v>
      </c>
    </row>
    <row r="505" spans="1:11" x14ac:dyDescent="0.25">
      <c r="A505" s="6" t="s">
        <v>846</v>
      </c>
      <c r="B505" s="7" t="s">
        <v>71</v>
      </c>
      <c r="C505" s="14" t="s">
        <v>248</v>
      </c>
      <c r="D505" s="7" t="s">
        <v>47</v>
      </c>
      <c r="E505" s="7" t="s">
        <v>30</v>
      </c>
      <c r="F505" s="7" t="s">
        <v>31</v>
      </c>
      <c r="G505" s="8">
        <v>3</v>
      </c>
      <c r="H505" s="9">
        <v>2500</v>
      </c>
      <c r="I505" s="9">
        <v>1105.25</v>
      </c>
      <c r="J505" s="9">
        <f t="shared" si="15"/>
        <v>6394.75</v>
      </c>
      <c r="K505" s="7" t="s">
        <v>18</v>
      </c>
    </row>
    <row r="506" spans="1:11" x14ac:dyDescent="0.25">
      <c r="A506" s="2" t="s">
        <v>847</v>
      </c>
      <c r="B506" s="3" t="s">
        <v>27</v>
      </c>
      <c r="C506" s="13" t="s">
        <v>346</v>
      </c>
      <c r="D506" s="3" t="s">
        <v>47</v>
      </c>
      <c r="E506" s="3" t="s">
        <v>16</v>
      </c>
      <c r="F506" s="3" t="s">
        <v>17</v>
      </c>
      <c r="G506" s="4">
        <v>5</v>
      </c>
      <c r="H506" s="5">
        <v>39</v>
      </c>
      <c r="I506" s="5">
        <v>21.47</v>
      </c>
      <c r="J506" s="5">
        <f t="shared" si="15"/>
        <v>173.53</v>
      </c>
      <c r="K506" s="3" t="s">
        <v>69</v>
      </c>
    </row>
    <row r="507" spans="1:11" x14ac:dyDescent="0.25">
      <c r="A507" s="6" t="s">
        <v>848</v>
      </c>
      <c r="B507" s="7" t="s">
        <v>27</v>
      </c>
      <c r="C507" s="14" t="s">
        <v>688</v>
      </c>
      <c r="D507" s="7" t="s">
        <v>47</v>
      </c>
      <c r="E507" s="7" t="s">
        <v>52</v>
      </c>
      <c r="F507" s="7" t="s">
        <v>53</v>
      </c>
      <c r="G507" s="8">
        <v>2</v>
      </c>
      <c r="H507" s="9">
        <v>149</v>
      </c>
      <c r="I507" s="9">
        <v>0</v>
      </c>
      <c r="J507" s="9">
        <f t="shared" si="15"/>
        <v>298</v>
      </c>
      <c r="K507" s="7" t="s">
        <v>18</v>
      </c>
    </row>
    <row r="508" spans="1:11" x14ac:dyDescent="0.25">
      <c r="A508" s="2" t="s">
        <v>849</v>
      </c>
      <c r="B508" s="3" t="s">
        <v>20</v>
      </c>
      <c r="C508" s="13" t="s">
        <v>132</v>
      </c>
      <c r="D508" s="3" t="s">
        <v>47</v>
      </c>
      <c r="E508" s="3" t="s">
        <v>23</v>
      </c>
      <c r="F508" s="3" t="s">
        <v>88</v>
      </c>
      <c r="G508" s="4">
        <v>3</v>
      </c>
      <c r="H508" s="5">
        <v>650</v>
      </c>
      <c r="I508" s="5">
        <v>0</v>
      </c>
      <c r="J508" s="5">
        <f t="shared" si="15"/>
        <v>1950</v>
      </c>
      <c r="K508" s="3" t="s">
        <v>69</v>
      </c>
    </row>
    <row r="509" spans="1:11" x14ac:dyDescent="0.25">
      <c r="A509" s="6" t="s">
        <v>850</v>
      </c>
      <c r="B509" s="7" t="s">
        <v>55</v>
      </c>
      <c r="C509" s="14" t="s">
        <v>851</v>
      </c>
      <c r="D509" s="7" t="s">
        <v>15</v>
      </c>
      <c r="E509" s="7" t="s">
        <v>16</v>
      </c>
      <c r="F509" s="7" t="s">
        <v>17</v>
      </c>
      <c r="G509" s="8">
        <v>4</v>
      </c>
      <c r="H509" s="9">
        <v>39</v>
      </c>
      <c r="I509" s="9">
        <v>15.21</v>
      </c>
      <c r="J509" s="9">
        <f t="shared" si="15"/>
        <v>140.79</v>
      </c>
      <c r="K509" s="7" t="s">
        <v>49</v>
      </c>
    </row>
    <row r="510" spans="1:11" x14ac:dyDescent="0.25">
      <c r="A510" s="2" t="s">
        <v>852</v>
      </c>
      <c r="B510" s="3" t="s">
        <v>37</v>
      </c>
      <c r="C510" s="13" t="s">
        <v>599</v>
      </c>
      <c r="D510" s="3" t="s">
        <v>39</v>
      </c>
      <c r="E510" s="3" t="s">
        <v>23</v>
      </c>
      <c r="F510" s="3" t="s">
        <v>24</v>
      </c>
      <c r="G510" s="4">
        <v>3</v>
      </c>
      <c r="H510" s="5">
        <v>180</v>
      </c>
      <c r="I510" s="5">
        <v>0</v>
      </c>
      <c r="J510" s="5">
        <f t="shared" si="15"/>
        <v>540</v>
      </c>
      <c r="K510" s="3" t="s">
        <v>18</v>
      </c>
    </row>
    <row r="511" spans="1:11" x14ac:dyDescent="0.25">
      <c r="A511" s="6" t="s">
        <v>853</v>
      </c>
      <c r="B511" s="7" t="s">
        <v>110</v>
      </c>
      <c r="C511" s="14" t="s">
        <v>650</v>
      </c>
      <c r="D511" s="7" t="s">
        <v>47</v>
      </c>
      <c r="E511" s="7" t="s">
        <v>52</v>
      </c>
      <c r="F511" s="7" t="s">
        <v>75</v>
      </c>
      <c r="G511" s="8">
        <v>4</v>
      </c>
      <c r="H511" s="9">
        <v>249</v>
      </c>
      <c r="I511" s="9">
        <v>0</v>
      </c>
      <c r="J511" s="9">
        <f t="shared" si="15"/>
        <v>996</v>
      </c>
      <c r="K511" s="7" t="s">
        <v>89</v>
      </c>
    </row>
    <row r="512" spans="1:11" x14ac:dyDescent="0.25">
      <c r="A512" s="2" t="s">
        <v>854</v>
      </c>
      <c r="B512" s="3" t="s">
        <v>95</v>
      </c>
      <c r="C512" s="13" t="s">
        <v>855</v>
      </c>
      <c r="D512" s="3" t="s">
        <v>22</v>
      </c>
      <c r="E512" s="3" t="s">
        <v>52</v>
      </c>
      <c r="F512" s="3" t="s">
        <v>53</v>
      </c>
      <c r="G512" s="4">
        <v>1</v>
      </c>
      <c r="H512" s="5">
        <v>149</v>
      </c>
      <c r="I512" s="5">
        <v>20.03</v>
      </c>
      <c r="J512" s="5">
        <f t="shared" si="15"/>
        <v>128.97</v>
      </c>
      <c r="K512" s="3" t="s">
        <v>89</v>
      </c>
    </row>
    <row r="513" spans="1:11" x14ac:dyDescent="0.25">
      <c r="A513" s="6" t="s">
        <v>856</v>
      </c>
      <c r="B513" s="7" t="s">
        <v>110</v>
      </c>
      <c r="C513" s="14" t="s">
        <v>857</v>
      </c>
      <c r="D513" s="7" t="s">
        <v>29</v>
      </c>
      <c r="E513" s="7" t="s">
        <v>52</v>
      </c>
      <c r="F513" s="7" t="s">
        <v>99</v>
      </c>
      <c r="G513" s="8">
        <v>2</v>
      </c>
      <c r="H513" s="9">
        <v>79</v>
      </c>
      <c r="I513" s="9">
        <v>0</v>
      </c>
      <c r="J513" s="9">
        <f t="shared" si="15"/>
        <v>158</v>
      </c>
      <c r="K513" s="7" t="s">
        <v>25</v>
      </c>
    </row>
    <row r="514" spans="1:11" x14ac:dyDescent="0.25">
      <c r="A514" s="2" t="s">
        <v>858</v>
      </c>
      <c r="B514" s="3" t="s">
        <v>27</v>
      </c>
      <c r="C514" s="13" t="s">
        <v>148</v>
      </c>
      <c r="D514" s="3" t="s">
        <v>15</v>
      </c>
      <c r="E514" s="3" t="s">
        <v>23</v>
      </c>
      <c r="F514" s="3" t="s">
        <v>48</v>
      </c>
      <c r="G514" s="4">
        <v>1</v>
      </c>
      <c r="H514" s="5">
        <v>450</v>
      </c>
      <c r="I514" s="5">
        <v>0</v>
      </c>
      <c r="J514" s="5">
        <f t="shared" si="15"/>
        <v>450</v>
      </c>
      <c r="K514" s="3" t="s">
        <v>32</v>
      </c>
    </row>
    <row r="515" spans="1:11" x14ac:dyDescent="0.25">
      <c r="A515" s="6" t="s">
        <v>859</v>
      </c>
      <c r="B515" s="7" t="s">
        <v>110</v>
      </c>
      <c r="C515" s="14" t="s">
        <v>860</v>
      </c>
      <c r="D515" s="7" t="s">
        <v>149</v>
      </c>
      <c r="E515" s="7" t="s">
        <v>16</v>
      </c>
      <c r="F515" s="7" t="s">
        <v>116</v>
      </c>
      <c r="G515" s="8">
        <v>3</v>
      </c>
      <c r="H515" s="9">
        <v>45</v>
      </c>
      <c r="I515" s="9">
        <v>0.94</v>
      </c>
      <c r="J515" s="9">
        <f t="shared" si="15"/>
        <v>134.06</v>
      </c>
      <c r="K515" s="7" t="s">
        <v>32</v>
      </c>
    </row>
    <row r="516" spans="1:11" x14ac:dyDescent="0.25">
      <c r="A516" s="2" t="s">
        <v>861</v>
      </c>
      <c r="B516" s="3" t="s">
        <v>13</v>
      </c>
      <c r="C516" s="13" t="s">
        <v>401</v>
      </c>
      <c r="D516" s="3" t="s">
        <v>47</v>
      </c>
      <c r="E516" s="3" t="s">
        <v>16</v>
      </c>
      <c r="F516" s="3" t="s">
        <v>116</v>
      </c>
      <c r="G516" s="4">
        <v>3</v>
      </c>
      <c r="H516" s="5">
        <v>45</v>
      </c>
      <c r="I516" s="5">
        <v>0</v>
      </c>
      <c r="J516" s="5">
        <f t="shared" si="15"/>
        <v>135</v>
      </c>
      <c r="K516" s="3" t="s">
        <v>69</v>
      </c>
    </row>
    <row r="517" spans="1:11" x14ac:dyDescent="0.25">
      <c r="A517" s="6" t="s">
        <v>862</v>
      </c>
      <c r="B517" s="7" t="s">
        <v>37</v>
      </c>
      <c r="C517" s="14" t="s">
        <v>329</v>
      </c>
      <c r="D517" s="7" t="s">
        <v>47</v>
      </c>
      <c r="E517" s="7" t="s">
        <v>16</v>
      </c>
      <c r="F517" s="7" t="s">
        <v>78</v>
      </c>
      <c r="G517" s="8">
        <v>2</v>
      </c>
      <c r="H517" s="9">
        <v>59</v>
      </c>
      <c r="I517" s="9">
        <v>4.63</v>
      </c>
      <c r="J517" s="9">
        <f t="shared" si="15"/>
        <v>113.37</v>
      </c>
      <c r="K517" s="7" t="s">
        <v>18</v>
      </c>
    </row>
    <row r="518" spans="1:11" x14ac:dyDescent="0.25">
      <c r="A518" s="2" t="s">
        <v>863</v>
      </c>
      <c r="B518" s="3" t="s">
        <v>55</v>
      </c>
      <c r="C518" s="13" t="s">
        <v>409</v>
      </c>
      <c r="D518" s="3" t="s">
        <v>47</v>
      </c>
      <c r="E518" s="3" t="s">
        <v>16</v>
      </c>
      <c r="F518" s="3" t="s">
        <v>17</v>
      </c>
      <c r="G518" s="4">
        <v>1</v>
      </c>
      <c r="H518" s="5">
        <v>39</v>
      </c>
      <c r="I518" s="5">
        <v>0</v>
      </c>
      <c r="J518" s="5">
        <f t="shared" si="15"/>
        <v>39</v>
      </c>
      <c r="K518" s="3" t="s">
        <v>65</v>
      </c>
    </row>
    <row r="519" spans="1:11" x14ac:dyDescent="0.25">
      <c r="A519" s="6" t="s">
        <v>864</v>
      </c>
      <c r="B519" s="7" t="s">
        <v>277</v>
      </c>
      <c r="C519" s="14" t="s">
        <v>865</v>
      </c>
      <c r="D519" s="7" t="s">
        <v>22</v>
      </c>
      <c r="E519" s="7" t="s">
        <v>23</v>
      </c>
      <c r="F519" s="7" t="s">
        <v>88</v>
      </c>
      <c r="G519" s="8">
        <v>1</v>
      </c>
      <c r="H519" s="9">
        <v>650</v>
      </c>
      <c r="I519" s="9">
        <v>0</v>
      </c>
      <c r="J519" s="9">
        <f t="shared" si="15"/>
        <v>650</v>
      </c>
      <c r="K519" s="7" t="s">
        <v>49</v>
      </c>
    </row>
    <row r="520" spans="1:11" x14ac:dyDescent="0.25">
      <c r="A520" s="2" t="s">
        <v>866</v>
      </c>
      <c r="B520" s="3" t="s">
        <v>34</v>
      </c>
      <c r="C520" s="13" t="s">
        <v>415</v>
      </c>
      <c r="D520" s="3" t="s">
        <v>39</v>
      </c>
      <c r="E520" s="3" t="s">
        <v>16</v>
      </c>
      <c r="F520" s="3" t="s">
        <v>103</v>
      </c>
      <c r="G520" s="4">
        <v>1</v>
      </c>
      <c r="H520" s="5">
        <v>89</v>
      </c>
      <c r="I520" s="5">
        <v>0</v>
      </c>
      <c r="J520" s="5">
        <f t="shared" si="15"/>
        <v>89</v>
      </c>
      <c r="K520" s="3" t="s">
        <v>89</v>
      </c>
    </row>
    <row r="521" spans="1:11" x14ac:dyDescent="0.25">
      <c r="A521" s="6" t="s">
        <v>867</v>
      </c>
      <c r="B521" s="7" t="s">
        <v>20</v>
      </c>
      <c r="C521" s="14" t="s">
        <v>868</v>
      </c>
      <c r="D521" s="7" t="s">
        <v>39</v>
      </c>
      <c r="E521" s="7" t="s">
        <v>23</v>
      </c>
      <c r="F521" s="7" t="s">
        <v>43</v>
      </c>
      <c r="G521" s="8">
        <v>5</v>
      </c>
      <c r="H521" s="9">
        <v>350</v>
      </c>
      <c r="I521" s="9">
        <v>0</v>
      </c>
      <c r="J521" s="9">
        <f t="shared" si="15"/>
        <v>1750</v>
      </c>
      <c r="K521" s="7" t="s">
        <v>89</v>
      </c>
    </row>
    <row r="522" spans="1:11" x14ac:dyDescent="0.25">
      <c r="A522" s="2" t="s">
        <v>869</v>
      </c>
      <c r="B522" s="3" t="s">
        <v>95</v>
      </c>
      <c r="C522" s="13" t="s">
        <v>603</v>
      </c>
      <c r="D522" s="3" t="s">
        <v>22</v>
      </c>
      <c r="E522" s="3" t="s">
        <v>52</v>
      </c>
      <c r="F522" s="3" t="s">
        <v>53</v>
      </c>
      <c r="G522" s="4">
        <v>4</v>
      </c>
      <c r="H522" s="5">
        <v>149</v>
      </c>
      <c r="I522" s="5">
        <v>65.86</v>
      </c>
      <c r="J522" s="5">
        <f t="shared" si="15"/>
        <v>530.14</v>
      </c>
      <c r="K522" s="3" t="s">
        <v>89</v>
      </c>
    </row>
    <row r="523" spans="1:11" x14ac:dyDescent="0.25">
      <c r="A523" s="6" t="s">
        <v>870</v>
      </c>
      <c r="B523" s="7" t="s">
        <v>63</v>
      </c>
      <c r="C523" s="14" t="s">
        <v>716</v>
      </c>
      <c r="D523" s="7" t="s">
        <v>15</v>
      </c>
      <c r="E523" s="7" t="s">
        <v>52</v>
      </c>
      <c r="F523" s="7" t="s">
        <v>75</v>
      </c>
      <c r="G523" s="8">
        <v>4</v>
      </c>
      <c r="H523" s="9">
        <v>249</v>
      </c>
      <c r="I523" s="9">
        <v>0</v>
      </c>
      <c r="J523" s="9">
        <f t="shared" si="15"/>
        <v>996</v>
      </c>
      <c r="K523" s="7" t="s">
        <v>49</v>
      </c>
    </row>
    <row r="524" spans="1:11" x14ac:dyDescent="0.25">
      <c r="A524" s="2" t="s">
        <v>871</v>
      </c>
      <c r="B524" s="3" t="s">
        <v>95</v>
      </c>
      <c r="C524" s="13" t="s">
        <v>441</v>
      </c>
      <c r="D524" s="3" t="s">
        <v>149</v>
      </c>
      <c r="E524" s="3" t="s">
        <v>52</v>
      </c>
      <c r="F524" s="3" t="s">
        <v>53</v>
      </c>
      <c r="G524" s="4">
        <v>2</v>
      </c>
      <c r="H524" s="5">
        <v>149</v>
      </c>
      <c r="I524" s="5">
        <v>0</v>
      </c>
      <c r="J524" s="5">
        <f t="shared" si="15"/>
        <v>298</v>
      </c>
      <c r="K524" s="3" t="s">
        <v>69</v>
      </c>
    </row>
    <row r="525" spans="1:11" x14ac:dyDescent="0.25">
      <c r="A525" s="6" t="s">
        <v>872</v>
      </c>
      <c r="B525" s="7" t="s">
        <v>101</v>
      </c>
      <c r="C525" s="14" t="s">
        <v>329</v>
      </c>
      <c r="D525" s="7" t="s">
        <v>39</v>
      </c>
      <c r="E525" s="7" t="s">
        <v>30</v>
      </c>
      <c r="F525" s="7" t="s">
        <v>106</v>
      </c>
      <c r="G525" s="8">
        <v>4</v>
      </c>
      <c r="H525" s="9">
        <v>299</v>
      </c>
      <c r="I525" s="9">
        <v>157.84</v>
      </c>
      <c r="J525" s="9">
        <f t="shared" si="15"/>
        <v>1038.1600000000001</v>
      </c>
      <c r="K525" s="7" t="s">
        <v>44</v>
      </c>
    </row>
    <row r="526" spans="1:11" x14ac:dyDescent="0.25">
      <c r="A526" s="2" t="s">
        <v>873</v>
      </c>
      <c r="B526" s="3" t="s">
        <v>27</v>
      </c>
      <c r="C526" s="13" t="s">
        <v>549</v>
      </c>
      <c r="D526" s="3" t="s">
        <v>47</v>
      </c>
      <c r="E526" s="3" t="s">
        <v>23</v>
      </c>
      <c r="F526" s="3" t="s">
        <v>24</v>
      </c>
      <c r="G526" s="4">
        <v>1</v>
      </c>
      <c r="H526" s="5">
        <v>180</v>
      </c>
      <c r="I526" s="5">
        <v>26.03</v>
      </c>
      <c r="J526" s="5">
        <f t="shared" si="15"/>
        <v>153.97</v>
      </c>
      <c r="K526" s="3" t="s">
        <v>65</v>
      </c>
    </row>
    <row r="527" spans="1:11" x14ac:dyDescent="0.25">
      <c r="A527" s="6" t="s">
        <v>874</v>
      </c>
      <c r="B527" s="7" t="s">
        <v>95</v>
      </c>
      <c r="C527" s="14" t="s">
        <v>875</v>
      </c>
      <c r="D527" s="7" t="s">
        <v>29</v>
      </c>
      <c r="E527" s="7" t="s">
        <v>23</v>
      </c>
      <c r="F527" s="7" t="s">
        <v>48</v>
      </c>
      <c r="G527" s="8">
        <v>5</v>
      </c>
      <c r="H527" s="9">
        <v>450</v>
      </c>
      <c r="I527" s="9">
        <v>0</v>
      </c>
      <c r="J527" s="9">
        <f t="shared" si="15"/>
        <v>2250</v>
      </c>
      <c r="K527" s="7" t="s">
        <v>89</v>
      </c>
    </row>
    <row r="528" spans="1:11" x14ac:dyDescent="0.25">
      <c r="A528" s="2" t="s">
        <v>876</v>
      </c>
      <c r="B528" s="3" t="s">
        <v>55</v>
      </c>
      <c r="C528" s="13" t="s">
        <v>371</v>
      </c>
      <c r="D528" s="3" t="s">
        <v>29</v>
      </c>
      <c r="E528" s="3" t="s">
        <v>52</v>
      </c>
      <c r="F528" s="3" t="s">
        <v>99</v>
      </c>
      <c r="G528" s="4">
        <v>4</v>
      </c>
      <c r="H528" s="5">
        <v>79</v>
      </c>
      <c r="I528" s="5">
        <v>47.01</v>
      </c>
      <c r="J528" s="5">
        <f t="shared" si="15"/>
        <v>268.99</v>
      </c>
      <c r="K528" s="3" t="s">
        <v>18</v>
      </c>
    </row>
    <row r="529" spans="1:11" x14ac:dyDescent="0.25">
      <c r="A529" s="6" t="s">
        <v>877</v>
      </c>
      <c r="B529" s="7" t="s">
        <v>71</v>
      </c>
      <c r="C529" s="14" t="s">
        <v>250</v>
      </c>
      <c r="D529" s="7" t="s">
        <v>149</v>
      </c>
      <c r="E529" s="7" t="s">
        <v>30</v>
      </c>
      <c r="F529" s="7" t="s">
        <v>68</v>
      </c>
      <c r="G529" s="8">
        <v>4</v>
      </c>
      <c r="H529" s="9">
        <v>799</v>
      </c>
      <c r="I529" s="9">
        <v>104.16</v>
      </c>
      <c r="J529" s="9">
        <f t="shared" si="15"/>
        <v>3091.84</v>
      </c>
      <c r="K529" s="7" t="s">
        <v>89</v>
      </c>
    </row>
    <row r="530" spans="1:11" x14ac:dyDescent="0.25">
      <c r="A530" s="2" t="s">
        <v>878</v>
      </c>
      <c r="B530" s="3" t="s">
        <v>95</v>
      </c>
      <c r="C530" s="13" t="s">
        <v>290</v>
      </c>
      <c r="D530" s="3" t="s">
        <v>15</v>
      </c>
      <c r="E530" s="3" t="s">
        <v>52</v>
      </c>
      <c r="F530" s="3" t="s">
        <v>53</v>
      </c>
      <c r="G530" s="4">
        <v>2</v>
      </c>
      <c r="H530" s="5">
        <v>149</v>
      </c>
      <c r="I530" s="5">
        <v>28.32</v>
      </c>
      <c r="J530" s="5">
        <f t="shared" si="15"/>
        <v>269.68</v>
      </c>
      <c r="K530" s="3" t="s">
        <v>18</v>
      </c>
    </row>
    <row r="531" spans="1:11" x14ac:dyDescent="0.25">
      <c r="A531" s="6" t="s">
        <v>879</v>
      </c>
      <c r="B531" s="7" t="s">
        <v>101</v>
      </c>
      <c r="C531" s="14" t="s">
        <v>880</v>
      </c>
      <c r="D531" s="7" t="s">
        <v>22</v>
      </c>
      <c r="E531" s="7" t="s">
        <v>23</v>
      </c>
      <c r="F531" s="7" t="s">
        <v>24</v>
      </c>
      <c r="G531" s="8">
        <v>3</v>
      </c>
      <c r="H531" s="9">
        <v>180</v>
      </c>
      <c r="I531" s="9">
        <v>67.87</v>
      </c>
      <c r="J531" s="9">
        <f t="shared" si="15"/>
        <v>472.13</v>
      </c>
      <c r="K531" s="7" t="s">
        <v>69</v>
      </c>
    </row>
    <row r="532" spans="1:11" x14ac:dyDescent="0.25">
      <c r="A532" s="2" t="s">
        <v>881</v>
      </c>
      <c r="B532" s="3" t="s">
        <v>55</v>
      </c>
      <c r="C532" s="13" t="s">
        <v>377</v>
      </c>
      <c r="D532" s="3" t="s">
        <v>47</v>
      </c>
      <c r="E532" s="3" t="s">
        <v>52</v>
      </c>
      <c r="F532" s="3" t="s">
        <v>53</v>
      </c>
      <c r="G532" s="4">
        <v>5</v>
      </c>
      <c r="H532" s="5">
        <v>149</v>
      </c>
      <c r="I532" s="5">
        <v>0</v>
      </c>
      <c r="J532" s="5">
        <f t="shared" si="15"/>
        <v>745</v>
      </c>
      <c r="K532" s="3" t="s">
        <v>69</v>
      </c>
    </row>
    <row r="533" spans="1:11" x14ac:dyDescent="0.25">
      <c r="A533" s="6" t="s">
        <v>882</v>
      </c>
      <c r="B533" s="7" t="s">
        <v>20</v>
      </c>
      <c r="C533" s="14" t="s">
        <v>525</v>
      </c>
      <c r="D533" s="7" t="s">
        <v>29</v>
      </c>
      <c r="E533" s="7" t="s">
        <v>16</v>
      </c>
      <c r="F533" s="7" t="s">
        <v>78</v>
      </c>
      <c r="G533" s="8">
        <v>4</v>
      </c>
      <c r="H533" s="9">
        <v>59</v>
      </c>
      <c r="I533" s="9">
        <v>0</v>
      </c>
      <c r="J533" s="9">
        <f t="shared" si="15"/>
        <v>236</v>
      </c>
      <c r="K533" s="7" t="s">
        <v>18</v>
      </c>
    </row>
    <row r="534" spans="1:11" x14ac:dyDescent="0.25">
      <c r="A534" s="2" t="s">
        <v>883</v>
      </c>
      <c r="B534" s="3" t="s">
        <v>37</v>
      </c>
      <c r="C534" s="13" t="s">
        <v>884</v>
      </c>
      <c r="D534" s="3" t="s">
        <v>29</v>
      </c>
      <c r="E534" s="3" t="s">
        <v>23</v>
      </c>
      <c r="F534" s="3" t="s">
        <v>24</v>
      </c>
      <c r="G534" s="4">
        <v>2</v>
      </c>
      <c r="H534" s="5">
        <v>180</v>
      </c>
      <c r="I534" s="5">
        <v>0</v>
      </c>
      <c r="J534" s="5">
        <f t="shared" si="15"/>
        <v>360</v>
      </c>
      <c r="K534" s="3" t="s">
        <v>89</v>
      </c>
    </row>
    <row r="535" spans="1:11" x14ac:dyDescent="0.25">
      <c r="A535" s="6" t="s">
        <v>885</v>
      </c>
      <c r="B535" s="7" t="s">
        <v>37</v>
      </c>
      <c r="C535" s="14" t="s">
        <v>787</v>
      </c>
      <c r="D535" s="7" t="s">
        <v>15</v>
      </c>
      <c r="E535" s="7" t="s">
        <v>30</v>
      </c>
      <c r="F535" s="7" t="s">
        <v>68</v>
      </c>
      <c r="G535" s="8">
        <v>4</v>
      </c>
      <c r="H535" s="9">
        <v>799</v>
      </c>
      <c r="I535" s="9">
        <v>0</v>
      </c>
      <c r="J535" s="9">
        <f t="shared" si="15"/>
        <v>3196</v>
      </c>
      <c r="K535" s="7" t="s">
        <v>49</v>
      </c>
    </row>
    <row r="536" spans="1:11" x14ac:dyDescent="0.25">
      <c r="A536" s="2" t="s">
        <v>886</v>
      </c>
      <c r="B536" s="3" t="s">
        <v>95</v>
      </c>
      <c r="C536" s="13" t="s">
        <v>265</v>
      </c>
      <c r="D536" s="3" t="s">
        <v>47</v>
      </c>
      <c r="E536" s="3" t="s">
        <v>16</v>
      </c>
      <c r="F536" s="3" t="s">
        <v>116</v>
      </c>
      <c r="G536" s="4">
        <v>1</v>
      </c>
      <c r="H536" s="5">
        <v>45</v>
      </c>
      <c r="I536" s="5">
        <v>0</v>
      </c>
      <c r="J536" s="5">
        <f t="shared" si="15"/>
        <v>45</v>
      </c>
      <c r="K536" s="3" t="s">
        <v>49</v>
      </c>
    </row>
    <row r="537" spans="1:11" x14ac:dyDescent="0.25">
      <c r="A537" s="6" t="s">
        <v>887</v>
      </c>
      <c r="B537" s="7" t="s">
        <v>63</v>
      </c>
      <c r="C537" s="14" t="s">
        <v>542</v>
      </c>
      <c r="D537" s="7" t="s">
        <v>39</v>
      </c>
      <c r="E537" s="7" t="s">
        <v>52</v>
      </c>
      <c r="F537" s="7" t="s">
        <v>99</v>
      </c>
      <c r="G537" s="8">
        <v>2</v>
      </c>
      <c r="H537" s="9">
        <v>79</v>
      </c>
      <c r="I537" s="9">
        <v>0</v>
      </c>
      <c r="J537" s="9">
        <f t="shared" si="15"/>
        <v>158</v>
      </c>
      <c r="K537" s="7" t="s">
        <v>69</v>
      </c>
    </row>
    <row r="538" spans="1:11" x14ac:dyDescent="0.25">
      <c r="A538" s="2" t="s">
        <v>888</v>
      </c>
      <c r="B538" s="3" t="s">
        <v>71</v>
      </c>
      <c r="C538" s="13" t="s">
        <v>381</v>
      </c>
      <c r="D538" s="3" t="s">
        <v>22</v>
      </c>
      <c r="E538" s="3" t="s">
        <v>30</v>
      </c>
      <c r="F538" s="3" t="s">
        <v>31</v>
      </c>
      <c r="G538" s="4">
        <v>3</v>
      </c>
      <c r="H538" s="5">
        <v>2500</v>
      </c>
      <c r="I538" s="5">
        <v>35.43</v>
      </c>
      <c r="J538" s="5">
        <f t="shared" si="15"/>
        <v>7464.57</v>
      </c>
      <c r="K538" s="3" t="s">
        <v>69</v>
      </c>
    </row>
    <row r="539" spans="1:11" x14ac:dyDescent="0.25">
      <c r="A539" s="6" t="s">
        <v>889</v>
      </c>
      <c r="B539" s="7" t="s">
        <v>55</v>
      </c>
      <c r="C539" s="14" t="s">
        <v>60</v>
      </c>
      <c r="D539" s="7" t="s">
        <v>29</v>
      </c>
      <c r="E539" s="7" t="s">
        <v>52</v>
      </c>
      <c r="F539" s="7" t="s">
        <v>99</v>
      </c>
      <c r="G539" s="8">
        <v>1</v>
      </c>
      <c r="H539" s="9">
        <v>79</v>
      </c>
      <c r="I539" s="9">
        <v>0</v>
      </c>
      <c r="J539" s="9">
        <f t="shared" si="15"/>
        <v>79</v>
      </c>
      <c r="K539" s="7" t="s">
        <v>32</v>
      </c>
    </row>
    <row r="540" spans="1:11" x14ac:dyDescent="0.25">
      <c r="A540" s="2" t="s">
        <v>890</v>
      </c>
      <c r="B540" s="3" t="s">
        <v>13</v>
      </c>
      <c r="C540" s="13" t="s">
        <v>273</v>
      </c>
      <c r="D540" s="3" t="s">
        <v>47</v>
      </c>
      <c r="E540" s="3" t="s">
        <v>23</v>
      </c>
      <c r="F540" s="3" t="s">
        <v>43</v>
      </c>
      <c r="G540" s="4">
        <v>5</v>
      </c>
      <c r="H540" s="5">
        <v>350</v>
      </c>
      <c r="I540" s="5">
        <v>0</v>
      </c>
      <c r="J540" s="5">
        <f t="shared" si="15"/>
        <v>1750</v>
      </c>
      <c r="K540" s="3" t="s">
        <v>89</v>
      </c>
    </row>
    <row r="541" spans="1:11" x14ac:dyDescent="0.25">
      <c r="A541" s="6" t="s">
        <v>891</v>
      </c>
      <c r="B541" s="7" t="s">
        <v>41</v>
      </c>
      <c r="C541" s="14" t="s">
        <v>206</v>
      </c>
      <c r="D541" s="7" t="s">
        <v>47</v>
      </c>
      <c r="E541" s="7" t="s">
        <v>52</v>
      </c>
      <c r="F541" s="7" t="s">
        <v>75</v>
      </c>
      <c r="G541" s="8">
        <v>1</v>
      </c>
      <c r="H541" s="9">
        <v>249</v>
      </c>
      <c r="I541" s="9">
        <v>19.440000000000001</v>
      </c>
      <c r="J541" s="9">
        <f t="shared" si="15"/>
        <v>229.56</v>
      </c>
      <c r="K541" s="7" t="s">
        <v>44</v>
      </c>
    </row>
    <row r="542" spans="1:11" x14ac:dyDescent="0.25">
      <c r="A542" s="2" t="s">
        <v>892</v>
      </c>
      <c r="B542" s="3" t="s">
        <v>55</v>
      </c>
      <c r="C542" s="13" t="s">
        <v>126</v>
      </c>
      <c r="D542" s="3" t="s">
        <v>47</v>
      </c>
      <c r="E542" s="3" t="s">
        <v>16</v>
      </c>
      <c r="F542" s="3" t="s">
        <v>116</v>
      </c>
      <c r="G542" s="4">
        <v>2</v>
      </c>
      <c r="H542" s="5">
        <v>45</v>
      </c>
      <c r="I542" s="5">
        <v>0</v>
      </c>
      <c r="J542" s="5">
        <f t="shared" si="15"/>
        <v>90</v>
      </c>
      <c r="K542" s="3" t="s">
        <v>18</v>
      </c>
    </row>
    <row r="543" spans="1:11" x14ac:dyDescent="0.25">
      <c r="A543" s="6" t="s">
        <v>893</v>
      </c>
      <c r="B543" s="7" t="s">
        <v>41</v>
      </c>
      <c r="C543" s="14" t="s">
        <v>296</v>
      </c>
      <c r="D543" s="7" t="s">
        <v>39</v>
      </c>
      <c r="E543" s="7" t="s">
        <v>23</v>
      </c>
      <c r="F543" s="7" t="s">
        <v>24</v>
      </c>
      <c r="G543" s="8">
        <v>4</v>
      </c>
      <c r="H543" s="9">
        <v>180</v>
      </c>
      <c r="I543" s="9">
        <v>84.2</v>
      </c>
      <c r="J543" s="9">
        <f t="shared" si="15"/>
        <v>635.79999999999995</v>
      </c>
      <c r="K543" s="7" t="s">
        <v>49</v>
      </c>
    </row>
    <row r="544" spans="1:11" x14ac:dyDescent="0.25">
      <c r="A544" s="2" t="s">
        <v>894</v>
      </c>
      <c r="B544" s="3" t="s">
        <v>37</v>
      </c>
      <c r="C544" s="13" t="s">
        <v>122</v>
      </c>
      <c r="D544" s="3" t="s">
        <v>22</v>
      </c>
      <c r="E544" s="3" t="s">
        <v>30</v>
      </c>
      <c r="F544" s="3" t="s">
        <v>152</v>
      </c>
      <c r="G544" s="4">
        <v>1</v>
      </c>
      <c r="H544" s="5">
        <v>4500</v>
      </c>
      <c r="I544" s="5">
        <v>0</v>
      </c>
      <c r="J544" s="5">
        <f t="shared" si="15"/>
        <v>4500</v>
      </c>
      <c r="K544" s="3" t="s">
        <v>89</v>
      </c>
    </row>
    <row r="545" spans="1:11" x14ac:dyDescent="0.25">
      <c r="A545" s="6" t="s">
        <v>895</v>
      </c>
      <c r="B545" s="7" t="s">
        <v>63</v>
      </c>
      <c r="C545" s="14" t="s">
        <v>318</v>
      </c>
      <c r="D545" s="7" t="s">
        <v>29</v>
      </c>
      <c r="E545" s="7" t="s">
        <v>23</v>
      </c>
      <c r="F545" s="7" t="s">
        <v>24</v>
      </c>
      <c r="G545" s="8">
        <v>1</v>
      </c>
      <c r="H545" s="9">
        <v>180</v>
      </c>
      <c r="I545" s="9">
        <v>0</v>
      </c>
      <c r="J545" s="9">
        <f t="shared" si="15"/>
        <v>180</v>
      </c>
      <c r="K545" s="7" t="s">
        <v>25</v>
      </c>
    </row>
    <row r="546" spans="1:11" x14ac:dyDescent="0.25">
      <c r="A546" s="2" t="s">
        <v>896</v>
      </c>
      <c r="B546" s="3" t="s">
        <v>13</v>
      </c>
      <c r="C546" s="13" t="s">
        <v>64</v>
      </c>
      <c r="D546" s="3" t="s">
        <v>15</v>
      </c>
      <c r="E546" s="3" t="s">
        <v>30</v>
      </c>
      <c r="F546" s="3" t="s">
        <v>152</v>
      </c>
      <c r="G546" s="4">
        <v>2</v>
      </c>
      <c r="H546" s="5">
        <v>4500</v>
      </c>
      <c r="I546" s="5">
        <v>0</v>
      </c>
      <c r="J546" s="5">
        <f t="shared" si="15"/>
        <v>9000</v>
      </c>
      <c r="K546" s="3" t="s">
        <v>25</v>
      </c>
    </row>
    <row r="547" spans="1:11" x14ac:dyDescent="0.25">
      <c r="A547" s="6" t="s">
        <v>897</v>
      </c>
      <c r="B547" s="7" t="s">
        <v>27</v>
      </c>
      <c r="C547" s="14" t="s">
        <v>690</v>
      </c>
      <c r="D547" s="7" t="s">
        <v>15</v>
      </c>
      <c r="E547" s="7" t="s">
        <v>52</v>
      </c>
      <c r="F547" s="7" t="s">
        <v>75</v>
      </c>
      <c r="G547" s="8">
        <v>5</v>
      </c>
      <c r="H547" s="9">
        <v>249</v>
      </c>
      <c r="I547" s="9">
        <v>0</v>
      </c>
      <c r="J547" s="9">
        <f t="shared" si="15"/>
        <v>1245</v>
      </c>
      <c r="K547" s="7" t="s">
        <v>44</v>
      </c>
    </row>
    <row r="548" spans="1:11" x14ac:dyDescent="0.25">
      <c r="A548" s="2" t="s">
        <v>898</v>
      </c>
      <c r="B548" s="3" t="s">
        <v>55</v>
      </c>
      <c r="C548" s="13" t="s">
        <v>198</v>
      </c>
      <c r="D548" s="3" t="s">
        <v>15</v>
      </c>
      <c r="E548" s="3" t="s">
        <v>16</v>
      </c>
      <c r="F548" s="3" t="s">
        <v>103</v>
      </c>
      <c r="G548" s="4">
        <v>1</v>
      </c>
      <c r="H548" s="5">
        <v>89</v>
      </c>
      <c r="I548" s="5">
        <v>0</v>
      </c>
      <c r="J548" s="5">
        <f t="shared" si="15"/>
        <v>89</v>
      </c>
      <c r="K548" s="3" t="s">
        <v>49</v>
      </c>
    </row>
    <row r="549" spans="1:11" x14ac:dyDescent="0.25">
      <c r="A549" s="6" t="s">
        <v>899</v>
      </c>
      <c r="B549" s="7" t="s">
        <v>71</v>
      </c>
      <c r="C549" s="14" t="s">
        <v>900</v>
      </c>
      <c r="D549" s="7" t="s">
        <v>47</v>
      </c>
      <c r="E549" s="7" t="s">
        <v>23</v>
      </c>
      <c r="F549" s="7" t="s">
        <v>88</v>
      </c>
      <c r="G549" s="8">
        <v>3</v>
      </c>
      <c r="H549" s="9">
        <v>650</v>
      </c>
      <c r="I549" s="9">
        <v>205.7</v>
      </c>
      <c r="J549" s="9">
        <f t="shared" si="15"/>
        <v>1744.3</v>
      </c>
      <c r="K549" s="7" t="s">
        <v>69</v>
      </c>
    </row>
    <row r="550" spans="1:11" x14ac:dyDescent="0.25">
      <c r="A550" s="2" t="s">
        <v>901</v>
      </c>
      <c r="B550" s="3" t="s">
        <v>95</v>
      </c>
      <c r="C550" s="13" t="s">
        <v>902</v>
      </c>
      <c r="D550" s="3" t="s">
        <v>15</v>
      </c>
      <c r="E550" s="3" t="s">
        <v>23</v>
      </c>
      <c r="F550" s="3" t="s">
        <v>24</v>
      </c>
      <c r="G550" s="4">
        <v>5</v>
      </c>
      <c r="H550" s="5">
        <v>180</v>
      </c>
      <c r="I550" s="5">
        <v>0</v>
      </c>
      <c r="J550" s="5">
        <f t="shared" si="15"/>
        <v>900</v>
      </c>
      <c r="K550" s="3" t="s">
        <v>49</v>
      </c>
    </row>
    <row r="551" spans="1:11" x14ac:dyDescent="0.25">
      <c r="A551" s="6" t="s">
        <v>903</v>
      </c>
      <c r="B551" s="7" t="s">
        <v>63</v>
      </c>
      <c r="C551" s="14" t="s">
        <v>904</v>
      </c>
      <c r="D551" s="7" t="s">
        <v>29</v>
      </c>
      <c r="E551" s="7" t="s">
        <v>30</v>
      </c>
      <c r="F551" s="7" t="s">
        <v>106</v>
      </c>
      <c r="G551" s="8">
        <v>1</v>
      </c>
      <c r="H551" s="9">
        <v>299</v>
      </c>
      <c r="I551" s="9">
        <v>0</v>
      </c>
      <c r="J551" s="9">
        <f t="shared" si="15"/>
        <v>299</v>
      </c>
      <c r="K551" s="7" t="s">
        <v>25</v>
      </c>
    </row>
    <row r="552" spans="1:11" x14ac:dyDescent="0.25">
      <c r="A552" s="2" t="s">
        <v>905</v>
      </c>
      <c r="B552" s="3" t="s">
        <v>37</v>
      </c>
      <c r="C552" s="13" t="s">
        <v>906</v>
      </c>
      <c r="D552" s="3" t="s">
        <v>47</v>
      </c>
      <c r="E552" s="3" t="s">
        <v>30</v>
      </c>
      <c r="F552" s="3" t="s">
        <v>68</v>
      </c>
      <c r="G552" s="4">
        <v>1</v>
      </c>
      <c r="H552" s="5">
        <v>799</v>
      </c>
      <c r="I552" s="5">
        <v>0</v>
      </c>
      <c r="J552" s="5">
        <f t="shared" si="15"/>
        <v>799</v>
      </c>
      <c r="K552" s="3" t="s">
        <v>49</v>
      </c>
    </row>
    <row r="553" spans="1:11" x14ac:dyDescent="0.25">
      <c r="A553" s="6" t="s">
        <v>907</v>
      </c>
      <c r="B553" s="7" t="s">
        <v>27</v>
      </c>
      <c r="C553" s="14" t="s">
        <v>599</v>
      </c>
      <c r="D553" s="7" t="s">
        <v>29</v>
      </c>
      <c r="E553" s="7" t="s">
        <v>23</v>
      </c>
      <c r="F553" s="7" t="s">
        <v>88</v>
      </c>
      <c r="G553" s="8">
        <v>5</v>
      </c>
      <c r="H553" s="9">
        <v>650</v>
      </c>
      <c r="I553" s="9">
        <v>0</v>
      </c>
      <c r="J553" s="9">
        <f t="shared" si="15"/>
        <v>3250</v>
      </c>
      <c r="K553" s="7" t="s">
        <v>25</v>
      </c>
    </row>
    <row r="554" spans="1:11" x14ac:dyDescent="0.25">
      <c r="A554" s="2" t="s">
        <v>908</v>
      </c>
      <c r="B554" s="3" t="s">
        <v>95</v>
      </c>
      <c r="C554" s="13" t="s">
        <v>909</v>
      </c>
      <c r="D554" s="3" t="s">
        <v>47</v>
      </c>
      <c r="E554" s="3" t="s">
        <v>30</v>
      </c>
      <c r="F554" s="3" t="s">
        <v>31</v>
      </c>
      <c r="G554" s="4">
        <v>2</v>
      </c>
      <c r="H554" s="5">
        <v>2500</v>
      </c>
      <c r="I554" s="5">
        <v>0</v>
      </c>
      <c r="J554" s="5">
        <f t="shared" si="15"/>
        <v>5000</v>
      </c>
      <c r="K554" s="3" t="s">
        <v>44</v>
      </c>
    </row>
    <row r="555" spans="1:11" x14ac:dyDescent="0.25">
      <c r="A555" s="6" t="s">
        <v>910</v>
      </c>
      <c r="B555" s="7" t="s">
        <v>63</v>
      </c>
      <c r="C555" s="14" t="s">
        <v>720</v>
      </c>
      <c r="D555" s="7" t="s">
        <v>39</v>
      </c>
      <c r="E555" s="7" t="s">
        <v>30</v>
      </c>
      <c r="F555" s="7" t="s">
        <v>31</v>
      </c>
      <c r="G555" s="8">
        <v>1</v>
      </c>
      <c r="H555" s="9">
        <v>2500</v>
      </c>
      <c r="I555" s="9">
        <v>0</v>
      </c>
      <c r="J555" s="9">
        <f t="shared" si="15"/>
        <v>2500</v>
      </c>
      <c r="K555" s="7" t="s">
        <v>18</v>
      </c>
    </row>
    <row r="556" spans="1:11" x14ac:dyDescent="0.25">
      <c r="A556" s="2" t="s">
        <v>911</v>
      </c>
      <c r="B556" s="3" t="s">
        <v>55</v>
      </c>
      <c r="C556" s="13" t="s">
        <v>805</v>
      </c>
      <c r="D556" s="3" t="s">
        <v>22</v>
      </c>
      <c r="E556" s="3" t="s">
        <v>52</v>
      </c>
      <c r="F556" s="3" t="s">
        <v>75</v>
      </c>
      <c r="G556" s="4">
        <v>5</v>
      </c>
      <c r="H556" s="5">
        <v>249</v>
      </c>
      <c r="I556" s="5">
        <v>0</v>
      </c>
      <c r="J556" s="5">
        <f t="shared" si="15"/>
        <v>1245</v>
      </c>
      <c r="K556" s="3" t="s">
        <v>69</v>
      </c>
    </row>
    <row r="557" spans="1:11" x14ac:dyDescent="0.25">
      <c r="A557" s="6" t="s">
        <v>912</v>
      </c>
      <c r="B557" s="7" t="s">
        <v>34</v>
      </c>
      <c r="C557" s="14" t="s">
        <v>913</v>
      </c>
      <c r="D557" s="7" t="s">
        <v>15</v>
      </c>
      <c r="E557" s="7" t="s">
        <v>30</v>
      </c>
      <c r="F557" s="7" t="s">
        <v>106</v>
      </c>
      <c r="G557" s="8">
        <v>4</v>
      </c>
      <c r="H557" s="9">
        <v>299</v>
      </c>
      <c r="I557" s="9">
        <v>155.04</v>
      </c>
      <c r="J557" s="9">
        <f t="shared" si="15"/>
        <v>1040.96</v>
      </c>
      <c r="K557" s="7" t="s">
        <v>69</v>
      </c>
    </row>
    <row r="558" spans="1:11" x14ac:dyDescent="0.25">
      <c r="A558" s="2" t="s">
        <v>914</v>
      </c>
      <c r="B558" s="3" t="s">
        <v>277</v>
      </c>
      <c r="C558" s="13" t="s">
        <v>501</v>
      </c>
      <c r="D558" s="3" t="s">
        <v>15</v>
      </c>
      <c r="E558" s="3" t="s">
        <v>52</v>
      </c>
      <c r="F558" s="3" t="s">
        <v>99</v>
      </c>
      <c r="G558" s="4">
        <v>1</v>
      </c>
      <c r="H558" s="5">
        <v>79</v>
      </c>
      <c r="I558" s="5">
        <v>7.97</v>
      </c>
      <c r="J558" s="5">
        <f t="shared" si="15"/>
        <v>71.03</v>
      </c>
      <c r="K558" s="3" t="s">
        <v>44</v>
      </c>
    </row>
    <row r="559" spans="1:11" x14ac:dyDescent="0.25">
      <c r="A559" s="6" t="s">
        <v>915</v>
      </c>
      <c r="B559" s="7" t="s">
        <v>110</v>
      </c>
      <c r="C559" s="14" t="s">
        <v>234</v>
      </c>
      <c r="D559" s="7" t="s">
        <v>29</v>
      </c>
      <c r="E559" s="7" t="s">
        <v>16</v>
      </c>
      <c r="F559" s="7" t="s">
        <v>17</v>
      </c>
      <c r="G559" s="8">
        <v>2</v>
      </c>
      <c r="H559" s="9">
        <v>39</v>
      </c>
      <c r="I559" s="9">
        <v>6.91</v>
      </c>
      <c r="J559" s="9">
        <f t="shared" si="15"/>
        <v>71.09</v>
      </c>
      <c r="K559" s="7" t="s">
        <v>65</v>
      </c>
    </row>
    <row r="560" spans="1:11" x14ac:dyDescent="0.25">
      <c r="A560" s="2" t="s">
        <v>916</v>
      </c>
      <c r="B560" s="3" t="s">
        <v>13</v>
      </c>
      <c r="C560" s="13" t="s">
        <v>917</v>
      </c>
      <c r="D560" s="3" t="s">
        <v>15</v>
      </c>
      <c r="E560" s="3" t="s">
        <v>52</v>
      </c>
      <c r="F560" s="3" t="s">
        <v>61</v>
      </c>
      <c r="G560" s="4">
        <v>1</v>
      </c>
      <c r="H560" s="5">
        <v>199</v>
      </c>
      <c r="I560" s="5">
        <v>0</v>
      </c>
      <c r="J560" s="5">
        <f t="shared" ref="J560:J571" si="16">(G560*H560)-I560</f>
        <v>199</v>
      </c>
      <c r="K560" s="3" t="s">
        <v>69</v>
      </c>
    </row>
    <row r="561" spans="1:11" x14ac:dyDescent="0.25">
      <c r="A561" s="6" t="s">
        <v>918</v>
      </c>
      <c r="B561" s="7" t="s">
        <v>63</v>
      </c>
      <c r="C561" s="14" t="s">
        <v>919</v>
      </c>
      <c r="D561" s="7" t="s">
        <v>29</v>
      </c>
      <c r="E561" s="7" t="s">
        <v>30</v>
      </c>
      <c r="F561" s="7" t="s">
        <v>152</v>
      </c>
      <c r="G561" s="8">
        <v>2</v>
      </c>
      <c r="H561" s="9">
        <v>4500</v>
      </c>
      <c r="I561" s="9">
        <v>0</v>
      </c>
      <c r="J561" s="9">
        <f t="shared" si="16"/>
        <v>9000</v>
      </c>
      <c r="K561" s="7" t="s">
        <v>49</v>
      </c>
    </row>
    <row r="562" spans="1:11" x14ac:dyDescent="0.25">
      <c r="A562" s="2" t="s">
        <v>920</v>
      </c>
      <c r="B562" s="3" t="s">
        <v>34</v>
      </c>
      <c r="C562" s="13" t="s">
        <v>412</v>
      </c>
      <c r="D562" s="3" t="s">
        <v>22</v>
      </c>
      <c r="E562" s="3" t="s">
        <v>23</v>
      </c>
      <c r="F562" s="3" t="s">
        <v>24</v>
      </c>
      <c r="G562" s="4">
        <v>1</v>
      </c>
      <c r="H562" s="5">
        <v>180</v>
      </c>
      <c r="I562" s="5">
        <v>16.34</v>
      </c>
      <c r="J562" s="5">
        <f t="shared" si="16"/>
        <v>163.66</v>
      </c>
      <c r="K562" s="3" t="s">
        <v>18</v>
      </c>
    </row>
    <row r="563" spans="1:11" x14ac:dyDescent="0.25">
      <c r="A563" s="6" t="s">
        <v>921</v>
      </c>
      <c r="B563" s="7" t="s">
        <v>37</v>
      </c>
      <c r="C563" s="14" t="s">
        <v>140</v>
      </c>
      <c r="D563" s="7" t="s">
        <v>47</v>
      </c>
      <c r="E563" s="7" t="s">
        <v>16</v>
      </c>
      <c r="F563" s="7" t="s">
        <v>17</v>
      </c>
      <c r="G563" s="8">
        <v>3</v>
      </c>
      <c r="H563" s="9">
        <v>39</v>
      </c>
      <c r="I563" s="9">
        <v>0</v>
      </c>
      <c r="J563" s="9">
        <f t="shared" si="16"/>
        <v>117</v>
      </c>
      <c r="K563" s="7" t="s">
        <v>44</v>
      </c>
    </row>
    <row r="564" spans="1:11" x14ac:dyDescent="0.25">
      <c r="A564" s="2" t="s">
        <v>922</v>
      </c>
      <c r="B564" s="3" t="s">
        <v>63</v>
      </c>
      <c r="C564" s="13" t="s">
        <v>243</v>
      </c>
      <c r="D564" s="3" t="s">
        <v>149</v>
      </c>
      <c r="E564" s="3" t="s">
        <v>30</v>
      </c>
      <c r="F564" s="3" t="s">
        <v>68</v>
      </c>
      <c r="G564" s="4">
        <v>4</v>
      </c>
      <c r="H564" s="5">
        <v>799</v>
      </c>
      <c r="I564" s="5">
        <v>181.27</v>
      </c>
      <c r="J564" s="5">
        <f t="shared" si="16"/>
        <v>3014.73</v>
      </c>
      <c r="K564" s="3" t="s">
        <v>44</v>
      </c>
    </row>
    <row r="565" spans="1:11" x14ac:dyDescent="0.25">
      <c r="A565" s="6" t="s">
        <v>923</v>
      </c>
      <c r="B565" s="7" t="s">
        <v>13</v>
      </c>
      <c r="C565" s="14" t="s">
        <v>77</v>
      </c>
      <c r="D565" s="7" t="s">
        <v>22</v>
      </c>
      <c r="E565" s="7" t="s">
        <v>30</v>
      </c>
      <c r="F565" s="7" t="s">
        <v>68</v>
      </c>
      <c r="G565" s="8">
        <v>2</v>
      </c>
      <c r="H565" s="9">
        <v>799</v>
      </c>
      <c r="I565" s="9">
        <v>0</v>
      </c>
      <c r="J565" s="9">
        <f t="shared" si="16"/>
        <v>1598</v>
      </c>
      <c r="K565" s="7" t="s">
        <v>44</v>
      </c>
    </row>
    <row r="566" spans="1:11" x14ac:dyDescent="0.25">
      <c r="A566" s="2" t="s">
        <v>924</v>
      </c>
      <c r="B566" s="3" t="s">
        <v>95</v>
      </c>
      <c r="C566" s="13" t="s">
        <v>759</v>
      </c>
      <c r="D566" s="3" t="s">
        <v>22</v>
      </c>
      <c r="E566" s="3" t="s">
        <v>23</v>
      </c>
      <c r="F566" s="3" t="s">
        <v>88</v>
      </c>
      <c r="G566" s="4">
        <v>3</v>
      </c>
      <c r="H566" s="5">
        <v>650</v>
      </c>
      <c r="I566" s="5">
        <v>236.79</v>
      </c>
      <c r="J566" s="5">
        <f t="shared" si="16"/>
        <v>1713.21</v>
      </c>
      <c r="K566" s="3" t="s">
        <v>44</v>
      </c>
    </row>
    <row r="567" spans="1:11" x14ac:dyDescent="0.25">
      <c r="A567" s="6" t="s">
        <v>925</v>
      </c>
      <c r="B567" s="7" t="s">
        <v>101</v>
      </c>
      <c r="C567" s="14" t="s">
        <v>298</v>
      </c>
      <c r="D567" s="7" t="s">
        <v>22</v>
      </c>
      <c r="E567" s="7" t="s">
        <v>52</v>
      </c>
      <c r="F567" s="7" t="s">
        <v>53</v>
      </c>
      <c r="G567" s="8">
        <v>3</v>
      </c>
      <c r="H567" s="9">
        <v>149</v>
      </c>
      <c r="I567" s="9">
        <v>0</v>
      </c>
      <c r="J567" s="9">
        <f t="shared" si="16"/>
        <v>447</v>
      </c>
      <c r="K567" s="7" t="s">
        <v>18</v>
      </c>
    </row>
    <row r="568" spans="1:11" x14ac:dyDescent="0.25">
      <c r="A568" s="2" t="s">
        <v>926</v>
      </c>
      <c r="B568" s="3" t="s">
        <v>101</v>
      </c>
      <c r="C568" s="13" t="s">
        <v>927</v>
      </c>
      <c r="D568" s="3" t="s">
        <v>39</v>
      </c>
      <c r="E568" s="3" t="s">
        <v>52</v>
      </c>
      <c r="F568" s="3" t="s">
        <v>75</v>
      </c>
      <c r="G568" s="4">
        <v>3</v>
      </c>
      <c r="H568" s="5">
        <v>249</v>
      </c>
      <c r="I568" s="5">
        <v>0</v>
      </c>
      <c r="J568" s="5">
        <f t="shared" si="16"/>
        <v>747</v>
      </c>
      <c r="K568" s="3" t="s">
        <v>25</v>
      </c>
    </row>
    <row r="569" spans="1:11" x14ac:dyDescent="0.25">
      <c r="A569" s="6" t="s">
        <v>928</v>
      </c>
      <c r="B569" s="7" t="s">
        <v>37</v>
      </c>
      <c r="C569" s="14" t="s">
        <v>693</v>
      </c>
      <c r="D569" s="7" t="s">
        <v>15</v>
      </c>
      <c r="E569" s="7" t="s">
        <v>52</v>
      </c>
      <c r="F569" s="7" t="s">
        <v>99</v>
      </c>
      <c r="G569" s="8">
        <v>1</v>
      </c>
      <c r="H569" s="9">
        <v>79</v>
      </c>
      <c r="I569" s="9">
        <v>0</v>
      </c>
      <c r="J569" s="9">
        <f t="shared" si="16"/>
        <v>79</v>
      </c>
      <c r="K569" s="7" t="s">
        <v>44</v>
      </c>
    </row>
    <row r="570" spans="1:11" x14ac:dyDescent="0.25">
      <c r="A570" s="2" t="s">
        <v>929</v>
      </c>
      <c r="B570" s="3" t="s">
        <v>55</v>
      </c>
      <c r="C570" s="13" t="s">
        <v>340</v>
      </c>
      <c r="D570" s="3" t="s">
        <v>15</v>
      </c>
      <c r="E570" s="3" t="s">
        <v>16</v>
      </c>
      <c r="F570" s="3" t="s">
        <v>103</v>
      </c>
      <c r="G570" s="4">
        <v>3</v>
      </c>
      <c r="H570" s="5">
        <v>89</v>
      </c>
      <c r="I570" s="5">
        <v>0</v>
      </c>
      <c r="J570" s="5">
        <f t="shared" si="16"/>
        <v>267</v>
      </c>
      <c r="K570" s="3" t="s">
        <v>32</v>
      </c>
    </row>
    <row r="571" spans="1:11" x14ac:dyDescent="0.25">
      <c r="A571" s="6" t="s">
        <v>930</v>
      </c>
      <c r="B571" s="7" t="s">
        <v>41</v>
      </c>
      <c r="C571" s="14" t="s">
        <v>931</v>
      </c>
      <c r="D571" s="7" t="s">
        <v>15</v>
      </c>
      <c r="E571" s="7" t="s">
        <v>23</v>
      </c>
      <c r="F571" s="7" t="s">
        <v>48</v>
      </c>
      <c r="G571" s="8">
        <v>3</v>
      </c>
      <c r="H571" s="9">
        <v>450</v>
      </c>
      <c r="I571" s="9">
        <v>141.08000000000001</v>
      </c>
      <c r="J571" s="9">
        <f t="shared" si="16"/>
        <v>1208.92</v>
      </c>
      <c r="K571" s="7" t="s">
        <v>18</v>
      </c>
    </row>
    <row r="572" spans="1:11" x14ac:dyDescent="0.25">
      <c r="A572" s="2" t="s">
        <v>932</v>
      </c>
      <c r="B572" s="3" t="s">
        <v>13</v>
      </c>
      <c r="C572" s="13" t="s">
        <v>386</v>
      </c>
      <c r="D572" s="3" t="s">
        <v>29</v>
      </c>
      <c r="E572" s="3" t="s">
        <v>52</v>
      </c>
      <c r="F572" s="3" t="s">
        <v>75</v>
      </c>
      <c r="G572" s="10"/>
      <c r="H572" s="5">
        <v>249</v>
      </c>
      <c r="I572" s="5">
        <v>107.03</v>
      </c>
      <c r="J572" s="5"/>
      <c r="K572" s="3" t="s">
        <v>49</v>
      </c>
    </row>
    <row r="573" spans="1:11" x14ac:dyDescent="0.25">
      <c r="A573" s="6" t="s">
        <v>933</v>
      </c>
      <c r="B573" s="7" t="s">
        <v>13</v>
      </c>
      <c r="C573" s="14" t="s">
        <v>282</v>
      </c>
      <c r="D573" s="7" t="s">
        <v>22</v>
      </c>
      <c r="E573" s="7" t="s">
        <v>16</v>
      </c>
      <c r="F573" s="7" t="s">
        <v>17</v>
      </c>
      <c r="G573" s="8">
        <v>5</v>
      </c>
      <c r="H573" s="9">
        <v>39</v>
      </c>
      <c r="I573" s="9">
        <v>16.809999999999999</v>
      </c>
      <c r="J573" s="9">
        <f t="shared" ref="J573:J604" si="17">(G573*H573)-I573</f>
        <v>178.19</v>
      </c>
      <c r="K573" s="7" t="s">
        <v>69</v>
      </c>
    </row>
    <row r="574" spans="1:11" x14ac:dyDescent="0.25">
      <c r="A574" s="2" t="s">
        <v>934</v>
      </c>
      <c r="B574" s="3" t="s">
        <v>71</v>
      </c>
      <c r="C574" s="13" t="s">
        <v>697</v>
      </c>
      <c r="D574" s="3" t="s">
        <v>22</v>
      </c>
      <c r="E574" s="3" t="s">
        <v>23</v>
      </c>
      <c r="F574" s="3" t="s">
        <v>43</v>
      </c>
      <c r="G574" s="4">
        <v>4</v>
      </c>
      <c r="H574" s="5">
        <v>350</v>
      </c>
      <c r="I574" s="5">
        <v>0</v>
      </c>
      <c r="J574" s="5">
        <f t="shared" si="17"/>
        <v>1400</v>
      </c>
      <c r="K574" s="3" t="s">
        <v>25</v>
      </c>
    </row>
    <row r="575" spans="1:11" x14ac:dyDescent="0.25">
      <c r="A575" s="6" t="s">
        <v>935</v>
      </c>
      <c r="B575" s="7" t="s">
        <v>95</v>
      </c>
      <c r="C575" s="14" t="s">
        <v>476</v>
      </c>
      <c r="D575" s="7" t="s">
        <v>15</v>
      </c>
      <c r="E575" s="7" t="s">
        <v>23</v>
      </c>
      <c r="F575" s="7" t="s">
        <v>43</v>
      </c>
      <c r="G575" s="8">
        <v>3</v>
      </c>
      <c r="H575" s="9">
        <v>350</v>
      </c>
      <c r="I575" s="9">
        <v>0</v>
      </c>
      <c r="J575" s="9">
        <f t="shared" si="17"/>
        <v>1050</v>
      </c>
      <c r="K575" s="7" t="s">
        <v>89</v>
      </c>
    </row>
    <row r="576" spans="1:11" x14ac:dyDescent="0.25">
      <c r="A576" s="2" t="s">
        <v>936</v>
      </c>
      <c r="B576" s="3" t="s">
        <v>63</v>
      </c>
      <c r="C576" s="13" t="s">
        <v>518</v>
      </c>
      <c r="D576" s="3" t="s">
        <v>15</v>
      </c>
      <c r="E576" s="3" t="s">
        <v>52</v>
      </c>
      <c r="F576" s="3" t="s">
        <v>61</v>
      </c>
      <c r="G576" s="4">
        <v>1</v>
      </c>
      <c r="H576" s="5">
        <v>199</v>
      </c>
      <c r="I576" s="5">
        <v>2.97</v>
      </c>
      <c r="J576" s="5">
        <f t="shared" si="17"/>
        <v>196.03</v>
      </c>
      <c r="K576" s="3" t="s">
        <v>18</v>
      </c>
    </row>
    <row r="577" spans="1:11" x14ac:dyDescent="0.25">
      <c r="A577" s="6" t="s">
        <v>937</v>
      </c>
      <c r="B577" s="7" t="s">
        <v>71</v>
      </c>
      <c r="C577" s="14" t="s">
        <v>938</v>
      </c>
      <c r="D577" s="7" t="s">
        <v>29</v>
      </c>
      <c r="E577" s="7" t="s">
        <v>23</v>
      </c>
      <c r="F577" s="7" t="s">
        <v>48</v>
      </c>
      <c r="G577" s="8">
        <v>3</v>
      </c>
      <c r="H577" s="9">
        <v>450</v>
      </c>
      <c r="I577" s="9">
        <v>96.99</v>
      </c>
      <c r="J577" s="9">
        <f t="shared" si="17"/>
        <v>1253.01</v>
      </c>
      <c r="K577" s="7" t="s">
        <v>32</v>
      </c>
    </row>
    <row r="578" spans="1:11" x14ac:dyDescent="0.25">
      <c r="A578" s="2" t="s">
        <v>939</v>
      </c>
      <c r="B578" s="3" t="s">
        <v>27</v>
      </c>
      <c r="C578" s="13" t="s">
        <v>913</v>
      </c>
      <c r="D578" s="3" t="s">
        <v>22</v>
      </c>
      <c r="E578" s="3" t="s">
        <v>30</v>
      </c>
      <c r="F578" s="3" t="s">
        <v>152</v>
      </c>
      <c r="G578" s="4">
        <v>1</v>
      </c>
      <c r="H578" s="5">
        <v>4500</v>
      </c>
      <c r="I578" s="5">
        <v>0</v>
      </c>
      <c r="J578" s="5">
        <f t="shared" si="17"/>
        <v>4500</v>
      </c>
      <c r="K578" s="3" t="s">
        <v>65</v>
      </c>
    </row>
    <row r="579" spans="1:11" x14ac:dyDescent="0.25">
      <c r="A579" s="6" t="s">
        <v>940</v>
      </c>
      <c r="B579" s="7" t="s">
        <v>71</v>
      </c>
      <c r="C579" s="14" t="s">
        <v>564</v>
      </c>
      <c r="D579" s="7" t="s">
        <v>29</v>
      </c>
      <c r="E579" s="7" t="s">
        <v>30</v>
      </c>
      <c r="F579" s="7" t="s">
        <v>31</v>
      </c>
      <c r="G579" s="8">
        <v>1</v>
      </c>
      <c r="H579" s="9">
        <v>2500</v>
      </c>
      <c r="I579" s="9">
        <v>0</v>
      </c>
      <c r="J579" s="9">
        <f t="shared" si="17"/>
        <v>2500</v>
      </c>
      <c r="K579" s="7" t="s">
        <v>65</v>
      </c>
    </row>
    <row r="580" spans="1:11" x14ac:dyDescent="0.25">
      <c r="A580" s="2" t="s">
        <v>941</v>
      </c>
      <c r="B580" s="3" t="s">
        <v>55</v>
      </c>
      <c r="C580" s="13" t="s">
        <v>518</v>
      </c>
      <c r="D580" s="3" t="s">
        <v>15</v>
      </c>
      <c r="E580" s="3" t="s">
        <v>30</v>
      </c>
      <c r="F580" s="3" t="s">
        <v>68</v>
      </c>
      <c r="G580" s="4">
        <v>3</v>
      </c>
      <c r="H580" s="5">
        <v>799</v>
      </c>
      <c r="I580" s="5">
        <v>344.91</v>
      </c>
      <c r="J580" s="5">
        <f t="shared" si="17"/>
        <v>2052.09</v>
      </c>
      <c r="K580" s="3" t="s">
        <v>49</v>
      </c>
    </row>
    <row r="581" spans="1:11" x14ac:dyDescent="0.25">
      <c r="A581" s="6" t="s">
        <v>942</v>
      </c>
      <c r="B581" s="7" t="s">
        <v>13</v>
      </c>
      <c r="C581" s="14" t="s">
        <v>690</v>
      </c>
      <c r="D581" s="7" t="s">
        <v>15</v>
      </c>
      <c r="E581" s="7" t="s">
        <v>30</v>
      </c>
      <c r="F581" s="7" t="s">
        <v>152</v>
      </c>
      <c r="G581" s="8">
        <v>1</v>
      </c>
      <c r="H581" s="9">
        <v>4500</v>
      </c>
      <c r="I581" s="9">
        <v>0</v>
      </c>
      <c r="J581" s="9">
        <f t="shared" si="17"/>
        <v>4500</v>
      </c>
      <c r="K581" s="7" t="s">
        <v>44</v>
      </c>
    </row>
    <row r="582" spans="1:11" x14ac:dyDescent="0.25">
      <c r="A582" s="2" t="s">
        <v>943</v>
      </c>
      <c r="B582" s="3" t="s">
        <v>95</v>
      </c>
      <c r="C582" s="13" t="s">
        <v>796</v>
      </c>
      <c r="D582" s="3" t="s">
        <v>47</v>
      </c>
      <c r="E582" s="3" t="s">
        <v>30</v>
      </c>
      <c r="F582" s="3" t="s">
        <v>152</v>
      </c>
      <c r="G582" s="4">
        <v>4</v>
      </c>
      <c r="H582" s="5">
        <v>4500</v>
      </c>
      <c r="I582" s="5">
        <v>2515.4</v>
      </c>
      <c r="J582" s="5">
        <f t="shared" si="17"/>
        <v>15484.6</v>
      </c>
      <c r="K582" s="3" t="s">
        <v>25</v>
      </c>
    </row>
    <row r="583" spans="1:11" x14ac:dyDescent="0.25">
      <c r="A583" s="6" t="s">
        <v>944</v>
      </c>
      <c r="B583" s="7" t="s">
        <v>41</v>
      </c>
      <c r="C583" s="14" t="s">
        <v>690</v>
      </c>
      <c r="D583" s="7" t="s">
        <v>39</v>
      </c>
      <c r="E583" s="7" t="s">
        <v>16</v>
      </c>
      <c r="F583" s="7" t="s">
        <v>78</v>
      </c>
      <c r="G583" s="8">
        <v>5</v>
      </c>
      <c r="H583" s="9">
        <v>59</v>
      </c>
      <c r="I583" s="9">
        <v>4.67</v>
      </c>
      <c r="J583" s="9">
        <f t="shared" si="17"/>
        <v>290.33</v>
      </c>
      <c r="K583" s="7" t="s">
        <v>49</v>
      </c>
    </row>
    <row r="584" spans="1:11" x14ac:dyDescent="0.25">
      <c r="A584" s="2" t="s">
        <v>945</v>
      </c>
      <c r="B584" s="3" t="s">
        <v>110</v>
      </c>
      <c r="C584" s="13" t="s">
        <v>497</v>
      </c>
      <c r="D584" s="3" t="s">
        <v>47</v>
      </c>
      <c r="E584" s="3" t="s">
        <v>23</v>
      </c>
      <c r="F584" s="3" t="s">
        <v>24</v>
      </c>
      <c r="G584" s="4">
        <v>1</v>
      </c>
      <c r="H584" s="5">
        <v>180</v>
      </c>
      <c r="I584" s="5">
        <v>0</v>
      </c>
      <c r="J584" s="5">
        <f t="shared" si="17"/>
        <v>180</v>
      </c>
      <c r="K584" s="3" t="s">
        <v>18</v>
      </c>
    </row>
    <row r="585" spans="1:11" x14ac:dyDescent="0.25">
      <c r="A585" s="6" t="s">
        <v>946</v>
      </c>
      <c r="B585" s="7" t="s">
        <v>27</v>
      </c>
      <c r="C585" s="14" t="s">
        <v>342</v>
      </c>
      <c r="D585" s="7" t="s">
        <v>39</v>
      </c>
      <c r="E585" s="7" t="s">
        <v>30</v>
      </c>
      <c r="F585" s="7" t="s">
        <v>31</v>
      </c>
      <c r="G585" s="8">
        <v>1</v>
      </c>
      <c r="H585" s="9">
        <v>2500</v>
      </c>
      <c r="I585" s="9">
        <v>55.03</v>
      </c>
      <c r="J585" s="9">
        <f t="shared" si="17"/>
        <v>2444.9699999999998</v>
      </c>
      <c r="K585" s="7" t="s">
        <v>25</v>
      </c>
    </row>
    <row r="586" spans="1:11" x14ac:dyDescent="0.25">
      <c r="A586" s="2" t="s">
        <v>947</v>
      </c>
      <c r="B586" s="3" t="s">
        <v>27</v>
      </c>
      <c r="C586" s="13" t="s">
        <v>204</v>
      </c>
      <c r="D586" s="3" t="s">
        <v>47</v>
      </c>
      <c r="E586" s="3" t="s">
        <v>23</v>
      </c>
      <c r="F586" s="3" t="s">
        <v>24</v>
      </c>
      <c r="G586" s="4">
        <v>2</v>
      </c>
      <c r="H586" s="5">
        <v>180</v>
      </c>
      <c r="I586" s="5">
        <v>32.799999999999997</v>
      </c>
      <c r="J586" s="5">
        <f t="shared" si="17"/>
        <v>327.2</v>
      </c>
      <c r="K586" s="3" t="s">
        <v>25</v>
      </c>
    </row>
    <row r="587" spans="1:11" x14ac:dyDescent="0.25">
      <c r="A587" s="6" t="s">
        <v>948</v>
      </c>
      <c r="B587" s="7" t="s">
        <v>20</v>
      </c>
      <c r="C587" s="14" t="s">
        <v>429</v>
      </c>
      <c r="D587" s="7" t="s">
        <v>47</v>
      </c>
      <c r="E587" s="7" t="s">
        <v>23</v>
      </c>
      <c r="F587" s="7" t="s">
        <v>24</v>
      </c>
      <c r="G587" s="8">
        <v>3</v>
      </c>
      <c r="H587" s="9">
        <v>180</v>
      </c>
      <c r="I587" s="9">
        <v>50.63</v>
      </c>
      <c r="J587" s="9">
        <f t="shared" si="17"/>
        <v>489.37</v>
      </c>
      <c r="K587" s="7" t="s">
        <v>32</v>
      </c>
    </row>
    <row r="588" spans="1:11" x14ac:dyDescent="0.25">
      <c r="A588" s="2" t="s">
        <v>949</v>
      </c>
      <c r="B588" s="3" t="s">
        <v>13</v>
      </c>
      <c r="C588" s="13" t="s">
        <v>931</v>
      </c>
      <c r="D588" s="3" t="s">
        <v>29</v>
      </c>
      <c r="E588" s="3" t="s">
        <v>16</v>
      </c>
      <c r="F588" s="3" t="s">
        <v>103</v>
      </c>
      <c r="G588" s="4">
        <v>5</v>
      </c>
      <c r="H588" s="5">
        <v>89</v>
      </c>
      <c r="I588" s="5">
        <v>0</v>
      </c>
      <c r="J588" s="5">
        <f t="shared" si="17"/>
        <v>445</v>
      </c>
      <c r="K588" s="3" t="s">
        <v>25</v>
      </c>
    </row>
    <row r="589" spans="1:11" x14ac:dyDescent="0.25">
      <c r="A589" s="6" t="s">
        <v>950</v>
      </c>
      <c r="B589" s="7" t="s">
        <v>71</v>
      </c>
      <c r="C589" s="14" t="s">
        <v>260</v>
      </c>
      <c r="D589" s="7" t="s">
        <v>22</v>
      </c>
      <c r="E589" s="7" t="s">
        <v>16</v>
      </c>
      <c r="F589" s="7" t="s">
        <v>116</v>
      </c>
      <c r="G589" s="8">
        <v>4</v>
      </c>
      <c r="H589" s="9">
        <v>45</v>
      </c>
      <c r="I589" s="9">
        <v>0</v>
      </c>
      <c r="J589" s="9">
        <f t="shared" si="17"/>
        <v>180</v>
      </c>
      <c r="K589" s="7" t="s">
        <v>49</v>
      </c>
    </row>
    <row r="590" spans="1:11" x14ac:dyDescent="0.25">
      <c r="A590" s="2" t="s">
        <v>951</v>
      </c>
      <c r="B590" s="3" t="s">
        <v>13</v>
      </c>
      <c r="C590" s="13" t="s">
        <v>549</v>
      </c>
      <c r="D590" s="3" t="s">
        <v>22</v>
      </c>
      <c r="E590" s="3" t="s">
        <v>52</v>
      </c>
      <c r="F590" s="3" t="s">
        <v>99</v>
      </c>
      <c r="G590" s="4">
        <v>1</v>
      </c>
      <c r="H590" s="5">
        <v>79</v>
      </c>
      <c r="I590" s="5">
        <v>0</v>
      </c>
      <c r="J590" s="5">
        <f t="shared" si="17"/>
        <v>79</v>
      </c>
      <c r="K590" s="3" t="s">
        <v>18</v>
      </c>
    </row>
    <row r="591" spans="1:11" x14ac:dyDescent="0.25">
      <c r="A591" s="6" t="s">
        <v>952</v>
      </c>
      <c r="B591" s="7" t="s">
        <v>55</v>
      </c>
      <c r="C591" s="14" t="s">
        <v>296</v>
      </c>
      <c r="D591" s="7" t="s">
        <v>15</v>
      </c>
      <c r="E591" s="7" t="s">
        <v>16</v>
      </c>
      <c r="F591" s="7" t="s">
        <v>116</v>
      </c>
      <c r="G591" s="8">
        <v>4</v>
      </c>
      <c r="H591" s="9">
        <v>45</v>
      </c>
      <c r="I591" s="9">
        <v>0</v>
      </c>
      <c r="J591" s="9">
        <f t="shared" si="17"/>
        <v>180</v>
      </c>
      <c r="K591" s="7" t="s">
        <v>89</v>
      </c>
    </row>
    <row r="592" spans="1:11" x14ac:dyDescent="0.25">
      <c r="A592" s="2" t="s">
        <v>953</v>
      </c>
      <c r="B592" s="3" t="s">
        <v>34</v>
      </c>
      <c r="C592" s="13" t="s">
        <v>954</v>
      </c>
      <c r="D592" s="3" t="s">
        <v>29</v>
      </c>
      <c r="E592" s="3" t="s">
        <v>16</v>
      </c>
      <c r="F592" s="3" t="s">
        <v>103</v>
      </c>
      <c r="G592" s="4">
        <v>5</v>
      </c>
      <c r="H592" s="5">
        <v>89</v>
      </c>
      <c r="I592" s="5">
        <v>60.73</v>
      </c>
      <c r="J592" s="5">
        <f t="shared" si="17"/>
        <v>384.27</v>
      </c>
      <c r="K592" s="3" t="s">
        <v>65</v>
      </c>
    </row>
    <row r="593" spans="1:11" x14ac:dyDescent="0.25">
      <c r="A593" s="6" t="s">
        <v>955</v>
      </c>
      <c r="B593" s="7" t="s">
        <v>37</v>
      </c>
      <c r="C593" s="14" t="s">
        <v>388</v>
      </c>
      <c r="D593" s="7" t="s">
        <v>22</v>
      </c>
      <c r="E593" s="7" t="s">
        <v>16</v>
      </c>
      <c r="F593" s="7" t="s">
        <v>103</v>
      </c>
      <c r="G593" s="8">
        <v>2</v>
      </c>
      <c r="H593" s="9">
        <v>89</v>
      </c>
      <c r="I593" s="9">
        <v>2.31</v>
      </c>
      <c r="J593" s="9">
        <f t="shared" si="17"/>
        <v>175.69</v>
      </c>
      <c r="K593" s="7" t="s">
        <v>44</v>
      </c>
    </row>
    <row r="594" spans="1:11" x14ac:dyDescent="0.25">
      <c r="A594" s="2" t="s">
        <v>956</v>
      </c>
      <c r="B594" s="3" t="s">
        <v>27</v>
      </c>
      <c r="C594" s="13" t="s">
        <v>711</v>
      </c>
      <c r="D594" s="3" t="s">
        <v>22</v>
      </c>
      <c r="E594" s="3" t="s">
        <v>23</v>
      </c>
      <c r="F594" s="3" t="s">
        <v>88</v>
      </c>
      <c r="G594" s="4">
        <v>1</v>
      </c>
      <c r="H594" s="5">
        <v>650</v>
      </c>
      <c r="I594" s="5">
        <v>18.05</v>
      </c>
      <c r="J594" s="5">
        <f t="shared" si="17"/>
        <v>631.95000000000005</v>
      </c>
      <c r="K594" s="3" t="s">
        <v>18</v>
      </c>
    </row>
    <row r="595" spans="1:11" x14ac:dyDescent="0.25">
      <c r="A595" s="6" t="s">
        <v>957</v>
      </c>
      <c r="B595" s="7" t="s">
        <v>20</v>
      </c>
      <c r="C595" s="14" t="s">
        <v>74</v>
      </c>
      <c r="D595" s="7" t="s">
        <v>22</v>
      </c>
      <c r="E595" s="7" t="s">
        <v>23</v>
      </c>
      <c r="F595" s="7" t="s">
        <v>88</v>
      </c>
      <c r="G595" s="8">
        <v>4</v>
      </c>
      <c r="H595" s="9">
        <v>650</v>
      </c>
      <c r="I595" s="9">
        <v>295.98</v>
      </c>
      <c r="J595" s="9">
        <f t="shared" si="17"/>
        <v>2304.02</v>
      </c>
      <c r="K595" s="7" t="s">
        <v>32</v>
      </c>
    </row>
    <row r="596" spans="1:11" x14ac:dyDescent="0.25">
      <c r="A596" s="2" t="s">
        <v>958</v>
      </c>
      <c r="B596" s="3" t="s">
        <v>63</v>
      </c>
      <c r="C596" s="13" t="s">
        <v>56</v>
      </c>
      <c r="D596" s="3" t="s">
        <v>39</v>
      </c>
      <c r="E596" s="3" t="s">
        <v>30</v>
      </c>
      <c r="F596" s="3" t="s">
        <v>68</v>
      </c>
      <c r="G596" s="4">
        <v>5</v>
      </c>
      <c r="H596" s="5">
        <v>799</v>
      </c>
      <c r="I596" s="5">
        <v>0</v>
      </c>
      <c r="J596" s="5">
        <f t="shared" si="17"/>
        <v>3995</v>
      </c>
      <c r="K596" s="3" t="s">
        <v>69</v>
      </c>
    </row>
    <row r="597" spans="1:11" x14ac:dyDescent="0.25">
      <c r="A597" s="6" t="s">
        <v>959</v>
      </c>
      <c r="B597" s="7" t="s">
        <v>63</v>
      </c>
      <c r="C597" s="14" t="s">
        <v>828</v>
      </c>
      <c r="D597" s="7" t="s">
        <v>22</v>
      </c>
      <c r="E597" s="7" t="s">
        <v>52</v>
      </c>
      <c r="F597" s="7" t="s">
        <v>53</v>
      </c>
      <c r="G597" s="8">
        <v>2</v>
      </c>
      <c r="H597" s="9">
        <v>149</v>
      </c>
      <c r="I597" s="9">
        <v>42.01</v>
      </c>
      <c r="J597" s="9">
        <f t="shared" si="17"/>
        <v>255.99</v>
      </c>
      <c r="K597" s="7" t="s">
        <v>44</v>
      </c>
    </row>
    <row r="598" spans="1:11" x14ac:dyDescent="0.25">
      <c r="A598" s="2" t="s">
        <v>960</v>
      </c>
      <c r="B598" s="3" t="s">
        <v>20</v>
      </c>
      <c r="C598" s="13" t="s">
        <v>384</v>
      </c>
      <c r="D598" s="3" t="s">
        <v>39</v>
      </c>
      <c r="E598" s="3" t="s">
        <v>23</v>
      </c>
      <c r="F598" s="3" t="s">
        <v>48</v>
      </c>
      <c r="G598" s="4">
        <v>5</v>
      </c>
      <c r="H598" s="5">
        <v>450</v>
      </c>
      <c r="I598" s="5">
        <v>111.63</v>
      </c>
      <c r="J598" s="5">
        <f t="shared" si="17"/>
        <v>2138.37</v>
      </c>
      <c r="K598" s="3" t="s">
        <v>25</v>
      </c>
    </row>
    <row r="599" spans="1:11" x14ac:dyDescent="0.25">
      <c r="A599" s="6" t="s">
        <v>961</v>
      </c>
      <c r="B599" s="7" t="s">
        <v>110</v>
      </c>
      <c r="C599" s="14" t="s">
        <v>962</v>
      </c>
      <c r="D599" s="7" t="s">
        <v>149</v>
      </c>
      <c r="E599" s="7" t="s">
        <v>23</v>
      </c>
      <c r="F599" s="7" t="s">
        <v>24</v>
      </c>
      <c r="G599" s="8">
        <v>4</v>
      </c>
      <c r="H599" s="9">
        <v>180</v>
      </c>
      <c r="I599" s="9">
        <v>96.14</v>
      </c>
      <c r="J599" s="9">
        <f t="shared" si="17"/>
        <v>623.86</v>
      </c>
      <c r="K599" s="7" t="s">
        <v>65</v>
      </c>
    </row>
    <row r="600" spans="1:11" x14ac:dyDescent="0.25">
      <c r="A600" s="2" t="s">
        <v>963</v>
      </c>
      <c r="B600" s="3" t="s">
        <v>27</v>
      </c>
      <c r="C600" s="13" t="s">
        <v>761</v>
      </c>
      <c r="D600" s="3" t="s">
        <v>47</v>
      </c>
      <c r="E600" s="3" t="s">
        <v>52</v>
      </c>
      <c r="F600" s="3" t="s">
        <v>75</v>
      </c>
      <c r="G600" s="4">
        <v>2</v>
      </c>
      <c r="H600" s="5">
        <v>249</v>
      </c>
      <c r="I600" s="5">
        <v>45.76</v>
      </c>
      <c r="J600" s="5">
        <f t="shared" si="17"/>
        <v>452.24</v>
      </c>
      <c r="K600" s="3" t="s">
        <v>44</v>
      </c>
    </row>
    <row r="601" spans="1:11" x14ac:dyDescent="0.25">
      <c r="A601" s="6" t="s">
        <v>964</v>
      </c>
      <c r="B601" s="7" t="s">
        <v>34</v>
      </c>
      <c r="C601" s="14" t="s">
        <v>965</v>
      </c>
      <c r="D601" s="7" t="s">
        <v>22</v>
      </c>
      <c r="E601" s="7" t="s">
        <v>16</v>
      </c>
      <c r="F601" s="7" t="s">
        <v>116</v>
      </c>
      <c r="G601" s="8">
        <v>5</v>
      </c>
      <c r="H601" s="9">
        <v>45</v>
      </c>
      <c r="I601" s="9">
        <v>13.93</v>
      </c>
      <c r="J601" s="9">
        <f t="shared" si="17"/>
        <v>211.07</v>
      </c>
      <c r="K601" s="7" t="s">
        <v>32</v>
      </c>
    </row>
    <row r="602" spans="1:11" x14ac:dyDescent="0.25">
      <c r="A602" s="2" t="s">
        <v>966</v>
      </c>
      <c r="B602" s="3" t="s">
        <v>13</v>
      </c>
      <c r="C602" s="13" t="s">
        <v>200</v>
      </c>
      <c r="D602" s="3" t="s">
        <v>15</v>
      </c>
      <c r="E602" s="3" t="s">
        <v>30</v>
      </c>
      <c r="F602" s="3" t="s">
        <v>68</v>
      </c>
      <c r="G602" s="4">
        <v>1</v>
      </c>
      <c r="H602" s="5">
        <v>799</v>
      </c>
      <c r="I602" s="5">
        <v>0</v>
      </c>
      <c r="J602" s="5">
        <f t="shared" si="17"/>
        <v>799</v>
      </c>
      <c r="K602" s="3" t="s">
        <v>69</v>
      </c>
    </row>
    <row r="603" spans="1:11" x14ac:dyDescent="0.25">
      <c r="A603" s="6" t="s">
        <v>967</v>
      </c>
      <c r="B603" s="7" t="s">
        <v>101</v>
      </c>
      <c r="C603" s="14" t="s">
        <v>724</v>
      </c>
      <c r="D603" s="7" t="s">
        <v>22</v>
      </c>
      <c r="E603" s="7" t="s">
        <v>16</v>
      </c>
      <c r="F603" s="7" t="s">
        <v>17</v>
      </c>
      <c r="G603" s="8">
        <v>4</v>
      </c>
      <c r="H603" s="9">
        <v>39</v>
      </c>
      <c r="I603" s="9">
        <v>0</v>
      </c>
      <c r="J603" s="9">
        <f t="shared" si="17"/>
        <v>156</v>
      </c>
      <c r="K603" s="7" t="s">
        <v>18</v>
      </c>
    </row>
    <row r="604" spans="1:11" x14ac:dyDescent="0.25">
      <c r="A604" s="2" t="s">
        <v>968</v>
      </c>
      <c r="B604" s="3" t="s">
        <v>134</v>
      </c>
      <c r="C604" s="13" t="s">
        <v>969</v>
      </c>
      <c r="D604" s="3" t="s">
        <v>22</v>
      </c>
      <c r="E604" s="3" t="s">
        <v>52</v>
      </c>
      <c r="F604" s="3" t="s">
        <v>99</v>
      </c>
      <c r="G604" s="4">
        <v>2</v>
      </c>
      <c r="H604" s="5">
        <v>79</v>
      </c>
      <c r="I604" s="5">
        <v>2.2599999999999998</v>
      </c>
      <c r="J604" s="5">
        <f t="shared" si="17"/>
        <v>155.74</v>
      </c>
      <c r="K604" s="3" t="s">
        <v>65</v>
      </c>
    </row>
    <row r="605" spans="1:11" x14ac:dyDescent="0.25">
      <c r="A605" s="6" t="s">
        <v>970</v>
      </c>
      <c r="B605" s="7" t="s">
        <v>110</v>
      </c>
      <c r="C605" s="14" t="s">
        <v>697</v>
      </c>
      <c r="D605" s="7" t="s">
        <v>47</v>
      </c>
      <c r="E605" s="7" t="s">
        <v>30</v>
      </c>
      <c r="F605" s="7" t="s">
        <v>152</v>
      </c>
      <c r="G605" s="8">
        <v>3</v>
      </c>
      <c r="H605" s="9">
        <v>4500</v>
      </c>
      <c r="I605" s="9">
        <v>0</v>
      </c>
      <c r="J605" s="9">
        <f t="shared" ref="J605:J636" si="18">(G605*H605)-I605</f>
        <v>13500</v>
      </c>
      <c r="K605" s="7" t="s">
        <v>18</v>
      </c>
    </row>
    <row r="606" spans="1:11" x14ac:dyDescent="0.25">
      <c r="A606" s="2" t="s">
        <v>971</v>
      </c>
      <c r="B606" s="3" t="s">
        <v>37</v>
      </c>
      <c r="C606" s="13" t="s">
        <v>650</v>
      </c>
      <c r="D606" s="3" t="s">
        <v>22</v>
      </c>
      <c r="E606" s="3" t="s">
        <v>23</v>
      </c>
      <c r="F606" s="3" t="s">
        <v>43</v>
      </c>
      <c r="G606" s="4">
        <v>1</v>
      </c>
      <c r="H606" s="5">
        <v>350</v>
      </c>
      <c r="I606" s="5">
        <v>0</v>
      </c>
      <c r="J606" s="5">
        <f t="shared" si="18"/>
        <v>350</v>
      </c>
      <c r="K606" s="3" t="s">
        <v>44</v>
      </c>
    </row>
    <row r="607" spans="1:11" x14ac:dyDescent="0.25">
      <c r="A607" s="6" t="s">
        <v>972</v>
      </c>
      <c r="B607" s="7" t="s">
        <v>13</v>
      </c>
      <c r="C607" s="14" t="s">
        <v>290</v>
      </c>
      <c r="D607" s="7" t="s">
        <v>47</v>
      </c>
      <c r="E607" s="7" t="s">
        <v>52</v>
      </c>
      <c r="F607" s="7" t="s">
        <v>99</v>
      </c>
      <c r="G607" s="8">
        <v>2</v>
      </c>
      <c r="H607" s="9">
        <v>79</v>
      </c>
      <c r="I607" s="9">
        <v>0</v>
      </c>
      <c r="J607" s="9">
        <f t="shared" si="18"/>
        <v>158</v>
      </c>
      <c r="K607" s="7" t="s">
        <v>25</v>
      </c>
    </row>
    <row r="608" spans="1:11" x14ac:dyDescent="0.25">
      <c r="A608" s="2" t="s">
        <v>973</v>
      </c>
      <c r="B608" s="3" t="s">
        <v>63</v>
      </c>
      <c r="C608" s="13" t="s">
        <v>761</v>
      </c>
      <c r="D608" s="3" t="s">
        <v>47</v>
      </c>
      <c r="E608" s="3" t="s">
        <v>30</v>
      </c>
      <c r="F608" s="3" t="s">
        <v>106</v>
      </c>
      <c r="G608" s="4">
        <v>5</v>
      </c>
      <c r="H608" s="5">
        <v>299</v>
      </c>
      <c r="I608" s="5">
        <v>133.81</v>
      </c>
      <c r="J608" s="5">
        <f t="shared" si="18"/>
        <v>1361.19</v>
      </c>
      <c r="K608" s="3" t="s">
        <v>69</v>
      </c>
    </row>
    <row r="609" spans="1:11" x14ac:dyDescent="0.25">
      <c r="A609" s="6" t="s">
        <v>974</v>
      </c>
      <c r="B609" s="7" t="s">
        <v>34</v>
      </c>
      <c r="C609" s="14" t="s">
        <v>975</v>
      </c>
      <c r="D609" s="7" t="s">
        <v>29</v>
      </c>
      <c r="E609" s="7" t="s">
        <v>23</v>
      </c>
      <c r="F609" s="7" t="s">
        <v>24</v>
      </c>
      <c r="G609" s="8">
        <v>1</v>
      </c>
      <c r="H609" s="9">
        <v>180</v>
      </c>
      <c r="I609" s="9">
        <v>0</v>
      </c>
      <c r="J609" s="9">
        <f t="shared" si="18"/>
        <v>180</v>
      </c>
      <c r="K609" s="7" t="s">
        <v>25</v>
      </c>
    </row>
    <row r="610" spans="1:11" x14ac:dyDescent="0.25">
      <c r="A610" s="2" t="s">
        <v>976</v>
      </c>
      <c r="B610" s="3" t="s">
        <v>34</v>
      </c>
      <c r="C610" s="13" t="s">
        <v>198</v>
      </c>
      <c r="D610" s="3" t="s">
        <v>39</v>
      </c>
      <c r="E610" s="3" t="s">
        <v>16</v>
      </c>
      <c r="F610" s="3" t="s">
        <v>116</v>
      </c>
      <c r="G610" s="4">
        <v>5</v>
      </c>
      <c r="H610" s="5">
        <v>45</v>
      </c>
      <c r="I610" s="5">
        <v>0</v>
      </c>
      <c r="J610" s="5">
        <f t="shared" si="18"/>
        <v>225</v>
      </c>
      <c r="K610" s="3" t="s">
        <v>49</v>
      </c>
    </row>
    <row r="611" spans="1:11" x14ac:dyDescent="0.25">
      <c r="A611" s="6" t="s">
        <v>977</v>
      </c>
      <c r="B611" s="7" t="s">
        <v>71</v>
      </c>
      <c r="C611" s="14" t="s">
        <v>913</v>
      </c>
      <c r="D611" s="7" t="s">
        <v>22</v>
      </c>
      <c r="E611" s="7" t="s">
        <v>30</v>
      </c>
      <c r="F611" s="7" t="s">
        <v>68</v>
      </c>
      <c r="G611" s="8">
        <v>1</v>
      </c>
      <c r="H611" s="9">
        <v>799</v>
      </c>
      <c r="I611" s="9">
        <v>67.239999999999995</v>
      </c>
      <c r="J611" s="9">
        <f t="shared" si="18"/>
        <v>731.76</v>
      </c>
      <c r="K611" s="7" t="s">
        <v>32</v>
      </c>
    </row>
    <row r="612" spans="1:11" x14ac:dyDescent="0.25">
      <c r="A612" s="2" t="s">
        <v>978</v>
      </c>
      <c r="B612" s="3" t="s">
        <v>71</v>
      </c>
      <c r="C612" s="13" t="s">
        <v>51</v>
      </c>
      <c r="D612" s="3" t="s">
        <v>47</v>
      </c>
      <c r="E612" s="3" t="s">
        <v>30</v>
      </c>
      <c r="F612" s="3" t="s">
        <v>152</v>
      </c>
      <c r="G612" s="4">
        <v>1</v>
      </c>
      <c r="H612" s="5">
        <v>4500</v>
      </c>
      <c r="I612" s="5">
        <v>0</v>
      </c>
      <c r="J612" s="5">
        <f t="shared" si="18"/>
        <v>4500</v>
      </c>
      <c r="K612" s="3" t="s">
        <v>69</v>
      </c>
    </row>
    <row r="613" spans="1:11" x14ac:dyDescent="0.25">
      <c r="A613" s="6" t="s">
        <v>979</v>
      </c>
      <c r="B613" s="7" t="s">
        <v>71</v>
      </c>
      <c r="C613" s="14" t="s">
        <v>46</v>
      </c>
      <c r="D613" s="7" t="s">
        <v>22</v>
      </c>
      <c r="E613" s="7" t="s">
        <v>52</v>
      </c>
      <c r="F613" s="7" t="s">
        <v>99</v>
      </c>
      <c r="G613" s="8">
        <v>2</v>
      </c>
      <c r="H613" s="9">
        <v>79</v>
      </c>
      <c r="I613" s="9">
        <v>20.27</v>
      </c>
      <c r="J613" s="9">
        <f t="shared" si="18"/>
        <v>137.72999999999999</v>
      </c>
      <c r="K613" s="7" t="s">
        <v>69</v>
      </c>
    </row>
    <row r="614" spans="1:11" x14ac:dyDescent="0.25">
      <c r="A614" s="2" t="s">
        <v>980</v>
      </c>
      <c r="B614" s="3" t="s">
        <v>55</v>
      </c>
      <c r="C614" s="13" t="s">
        <v>126</v>
      </c>
      <c r="D614" s="3" t="s">
        <v>22</v>
      </c>
      <c r="E614" s="3" t="s">
        <v>30</v>
      </c>
      <c r="F614" s="3" t="s">
        <v>68</v>
      </c>
      <c r="G614" s="4">
        <v>5</v>
      </c>
      <c r="H614" s="5">
        <v>799</v>
      </c>
      <c r="I614" s="5">
        <v>544.66999999999996</v>
      </c>
      <c r="J614" s="5">
        <f t="shared" si="18"/>
        <v>3450.33</v>
      </c>
      <c r="K614" s="3" t="s">
        <v>18</v>
      </c>
    </row>
    <row r="615" spans="1:11" x14ac:dyDescent="0.25">
      <c r="A615" s="6" t="s">
        <v>981</v>
      </c>
      <c r="B615" s="7" t="s">
        <v>27</v>
      </c>
      <c r="C615" s="14" t="s">
        <v>488</v>
      </c>
      <c r="D615" s="7" t="s">
        <v>39</v>
      </c>
      <c r="E615" s="7" t="s">
        <v>30</v>
      </c>
      <c r="F615" s="7" t="s">
        <v>68</v>
      </c>
      <c r="G615" s="8">
        <v>1</v>
      </c>
      <c r="H615" s="9">
        <v>799</v>
      </c>
      <c r="I615" s="9">
        <v>0</v>
      </c>
      <c r="J615" s="9">
        <f t="shared" si="18"/>
        <v>799</v>
      </c>
      <c r="K615" s="7" t="s">
        <v>49</v>
      </c>
    </row>
    <row r="616" spans="1:11" x14ac:dyDescent="0.25">
      <c r="A616" s="2" t="s">
        <v>982</v>
      </c>
      <c r="B616" s="3" t="s">
        <v>34</v>
      </c>
      <c r="C616" s="13" t="s">
        <v>327</v>
      </c>
      <c r="D616" s="3" t="s">
        <v>22</v>
      </c>
      <c r="E616" s="3" t="s">
        <v>30</v>
      </c>
      <c r="F616" s="3" t="s">
        <v>152</v>
      </c>
      <c r="G616" s="4">
        <v>4</v>
      </c>
      <c r="H616" s="5">
        <v>4500</v>
      </c>
      <c r="I616" s="5">
        <v>0</v>
      </c>
      <c r="J616" s="5">
        <f t="shared" si="18"/>
        <v>18000</v>
      </c>
      <c r="K616" s="3" t="s">
        <v>32</v>
      </c>
    </row>
    <row r="617" spans="1:11" x14ac:dyDescent="0.25">
      <c r="A617" s="6" t="s">
        <v>983</v>
      </c>
      <c r="B617" s="7" t="s">
        <v>110</v>
      </c>
      <c r="C617" s="14" t="s">
        <v>851</v>
      </c>
      <c r="D617" s="7" t="s">
        <v>29</v>
      </c>
      <c r="E617" s="7" t="s">
        <v>30</v>
      </c>
      <c r="F617" s="7" t="s">
        <v>106</v>
      </c>
      <c r="G617" s="8">
        <v>5</v>
      </c>
      <c r="H617" s="9">
        <v>299</v>
      </c>
      <c r="I617" s="9">
        <v>0</v>
      </c>
      <c r="J617" s="9">
        <f t="shared" si="18"/>
        <v>1495</v>
      </c>
      <c r="K617" s="7" t="s">
        <v>65</v>
      </c>
    </row>
    <row r="618" spans="1:11" x14ac:dyDescent="0.25">
      <c r="A618" s="2" t="s">
        <v>984</v>
      </c>
      <c r="B618" s="3" t="s">
        <v>37</v>
      </c>
      <c r="C618" s="13" t="s">
        <v>985</v>
      </c>
      <c r="D618" s="3" t="s">
        <v>15</v>
      </c>
      <c r="E618" s="3" t="s">
        <v>30</v>
      </c>
      <c r="F618" s="3" t="s">
        <v>31</v>
      </c>
      <c r="G618" s="4">
        <v>4</v>
      </c>
      <c r="H618" s="5">
        <v>2500</v>
      </c>
      <c r="I618" s="5">
        <v>1148.6300000000001</v>
      </c>
      <c r="J618" s="5">
        <f t="shared" si="18"/>
        <v>8851.369999999999</v>
      </c>
      <c r="K618" s="3" t="s">
        <v>25</v>
      </c>
    </row>
    <row r="619" spans="1:11" x14ac:dyDescent="0.25">
      <c r="A619" s="6" t="s">
        <v>986</v>
      </c>
      <c r="B619" s="7" t="s">
        <v>95</v>
      </c>
      <c r="C619" s="14" t="s">
        <v>46</v>
      </c>
      <c r="D619" s="7" t="s">
        <v>29</v>
      </c>
      <c r="E619" s="7" t="s">
        <v>16</v>
      </c>
      <c r="F619" s="7" t="s">
        <v>17</v>
      </c>
      <c r="G619" s="8">
        <v>3</v>
      </c>
      <c r="H619" s="9">
        <v>39</v>
      </c>
      <c r="I619" s="9">
        <v>13.54</v>
      </c>
      <c r="J619" s="9">
        <f t="shared" si="18"/>
        <v>103.46000000000001</v>
      </c>
      <c r="K619" s="7" t="s">
        <v>49</v>
      </c>
    </row>
    <row r="620" spans="1:11" x14ac:dyDescent="0.25">
      <c r="A620" s="2" t="s">
        <v>987</v>
      </c>
      <c r="B620" s="3" t="s">
        <v>95</v>
      </c>
      <c r="C620" s="13" t="s">
        <v>962</v>
      </c>
      <c r="D620" s="3" t="s">
        <v>15</v>
      </c>
      <c r="E620" s="3" t="s">
        <v>52</v>
      </c>
      <c r="F620" s="3" t="s">
        <v>53</v>
      </c>
      <c r="G620" s="4">
        <v>2</v>
      </c>
      <c r="H620" s="5">
        <v>149</v>
      </c>
      <c r="I620" s="5">
        <v>0</v>
      </c>
      <c r="J620" s="5">
        <f t="shared" si="18"/>
        <v>298</v>
      </c>
      <c r="K620" s="3" t="s">
        <v>65</v>
      </c>
    </row>
    <row r="621" spans="1:11" x14ac:dyDescent="0.25">
      <c r="A621" s="6" t="s">
        <v>988</v>
      </c>
      <c r="B621" s="7" t="s">
        <v>110</v>
      </c>
      <c r="C621" s="14" t="s">
        <v>989</v>
      </c>
      <c r="D621" s="7" t="s">
        <v>15</v>
      </c>
      <c r="E621" s="7" t="s">
        <v>52</v>
      </c>
      <c r="F621" s="7" t="s">
        <v>75</v>
      </c>
      <c r="G621" s="8">
        <v>3</v>
      </c>
      <c r="H621" s="9">
        <v>249</v>
      </c>
      <c r="I621" s="9">
        <v>0</v>
      </c>
      <c r="J621" s="9">
        <f t="shared" si="18"/>
        <v>747</v>
      </c>
      <c r="K621" s="7" t="s">
        <v>44</v>
      </c>
    </row>
    <row r="622" spans="1:11" x14ac:dyDescent="0.25">
      <c r="A622" s="2" t="s">
        <v>990</v>
      </c>
      <c r="B622" s="3" t="s">
        <v>101</v>
      </c>
      <c r="C622" s="13" t="s">
        <v>194</v>
      </c>
      <c r="D622" s="3" t="s">
        <v>29</v>
      </c>
      <c r="E622" s="3" t="s">
        <v>30</v>
      </c>
      <c r="F622" s="3" t="s">
        <v>68</v>
      </c>
      <c r="G622" s="4">
        <v>3</v>
      </c>
      <c r="H622" s="5">
        <v>799</v>
      </c>
      <c r="I622" s="5">
        <v>28.41</v>
      </c>
      <c r="J622" s="5">
        <f t="shared" si="18"/>
        <v>2368.59</v>
      </c>
      <c r="K622" s="3" t="s">
        <v>18</v>
      </c>
    </row>
    <row r="623" spans="1:11" x14ac:dyDescent="0.25">
      <c r="A623" s="6" t="s">
        <v>991</v>
      </c>
      <c r="B623" s="7" t="s">
        <v>37</v>
      </c>
      <c r="C623" s="14" t="s">
        <v>397</v>
      </c>
      <c r="D623" s="7" t="s">
        <v>47</v>
      </c>
      <c r="E623" s="7" t="s">
        <v>16</v>
      </c>
      <c r="F623" s="7" t="s">
        <v>116</v>
      </c>
      <c r="G623" s="8">
        <v>5</v>
      </c>
      <c r="H623" s="9">
        <v>45</v>
      </c>
      <c r="I623" s="9">
        <v>0</v>
      </c>
      <c r="J623" s="9">
        <f t="shared" si="18"/>
        <v>225</v>
      </c>
      <c r="K623" s="7" t="s">
        <v>18</v>
      </c>
    </row>
    <row r="624" spans="1:11" x14ac:dyDescent="0.25">
      <c r="A624" s="2" t="s">
        <v>992</v>
      </c>
      <c r="B624" s="3" t="s">
        <v>55</v>
      </c>
      <c r="C624" s="13" t="s">
        <v>180</v>
      </c>
      <c r="D624" s="3" t="s">
        <v>22</v>
      </c>
      <c r="E624" s="3" t="s">
        <v>16</v>
      </c>
      <c r="F624" s="3" t="s">
        <v>78</v>
      </c>
      <c r="G624" s="4">
        <v>4</v>
      </c>
      <c r="H624" s="5">
        <v>59</v>
      </c>
      <c r="I624" s="5">
        <v>25</v>
      </c>
      <c r="J624" s="5">
        <f t="shared" si="18"/>
        <v>211</v>
      </c>
      <c r="K624" s="3" t="s">
        <v>49</v>
      </c>
    </row>
    <row r="625" spans="1:11" x14ac:dyDescent="0.25">
      <c r="A625" s="6" t="s">
        <v>993</v>
      </c>
      <c r="B625" s="7" t="s">
        <v>37</v>
      </c>
      <c r="C625" s="14" t="s">
        <v>825</v>
      </c>
      <c r="D625" s="7" t="s">
        <v>29</v>
      </c>
      <c r="E625" s="7" t="s">
        <v>52</v>
      </c>
      <c r="F625" s="7" t="s">
        <v>53</v>
      </c>
      <c r="G625" s="8">
        <v>2</v>
      </c>
      <c r="H625" s="9">
        <v>149</v>
      </c>
      <c r="I625" s="9">
        <v>0</v>
      </c>
      <c r="J625" s="9">
        <f t="shared" si="18"/>
        <v>298</v>
      </c>
      <c r="K625" s="7" t="s">
        <v>65</v>
      </c>
    </row>
    <row r="626" spans="1:11" x14ac:dyDescent="0.25">
      <c r="A626" s="2" t="s">
        <v>994</v>
      </c>
      <c r="B626" s="3" t="s">
        <v>71</v>
      </c>
      <c r="C626" s="13" t="s">
        <v>14</v>
      </c>
      <c r="D626" s="3" t="s">
        <v>47</v>
      </c>
      <c r="E626" s="3" t="s">
        <v>23</v>
      </c>
      <c r="F626" s="3" t="s">
        <v>88</v>
      </c>
      <c r="G626" s="4">
        <v>3</v>
      </c>
      <c r="H626" s="5">
        <v>650</v>
      </c>
      <c r="I626" s="5">
        <v>0</v>
      </c>
      <c r="J626" s="5">
        <f t="shared" si="18"/>
        <v>1950</v>
      </c>
      <c r="K626" s="3" t="s">
        <v>65</v>
      </c>
    </row>
    <row r="627" spans="1:11" x14ac:dyDescent="0.25">
      <c r="A627" s="6" t="s">
        <v>995</v>
      </c>
      <c r="B627" s="7" t="s">
        <v>71</v>
      </c>
      <c r="C627" s="14" t="s">
        <v>996</v>
      </c>
      <c r="D627" s="7" t="s">
        <v>22</v>
      </c>
      <c r="E627" s="7" t="s">
        <v>23</v>
      </c>
      <c r="F627" s="7" t="s">
        <v>24</v>
      </c>
      <c r="G627" s="8">
        <v>4</v>
      </c>
      <c r="H627" s="9">
        <v>180</v>
      </c>
      <c r="I627" s="9">
        <v>50.29</v>
      </c>
      <c r="J627" s="9">
        <f t="shared" si="18"/>
        <v>669.71</v>
      </c>
      <c r="K627" s="7" t="s">
        <v>44</v>
      </c>
    </row>
    <row r="628" spans="1:11" x14ac:dyDescent="0.25">
      <c r="A628" s="2" t="s">
        <v>997</v>
      </c>
      <c r="B628" s="3" t="s">
        <v>37</v>
      </c>
      <c r="C628" s="13" t="s">
        <v>998</v>
      </c>
      <c r="D628" s="3" t="s">
        <v>15</v>
      </c>
      <c r="E628" s="3" t="s">
        <v>23</v>
      </c>
      <c r="F628" s="3" t="s">
        <v>88</v>
      </c>
      <c r="G628" s="4">
        <v>5</v>
      </c>
      <c r="H628" s="5">
        <v>650</v>
      </c>
      <c r="I628" s="5">
        <v>0</v>
      </c>
      <c r="J628" s="5">
        <f t="shared" si="18"/>
        <v>3250</v>
      </c>
      <c r="K628" s="3" t="s">
        <v>18</v>
      </c>
    </row>
    <row r="629" spans="1:11" x14ac:dyDescent="0.25">
      <c r="A629" s="6" t="s">
        <v>999</v>
      </c>
      <c r="B629" s="7" t="s">
        <v>95</v>
      </c>
      <c r="C629" s="14" t="s">
        <v>805</v>
      </c>
      <c r="D629" s="7" t="s">
        <v>15</v>
      </c>
      <c r="E629" s="7" t="s">
        <v>23</v>
      </c>
      <c r="F629" s="7" t="s">
        <v>43</v>
      </c>
      <c r="G629" s="8">
        <v>3</v>
      </c>
      <c r="H629" s="9">
        <v>350</v>
      </c>
      <c r="I629" s="9">
        <v>0</v>
      </c>
      <c r="J629" s="9">
        <f t="shared" si="18"/>
        <v>1050</v>
      </c>
      <c r="K629" s="7" t="s">
        <v>69</v>
      </c>
    </row>
    <row r="630" spans="1:11" x14ac:dyDescent="0.25">
      <c r="A630" s="2" t="s">
        <v>1000</v>
      </c>
      <c r="B630" s="3" t="s">
        <v>20</v>
      </c>
      <c r="C630" s="13" t="s">
        <v>87</v>
      </c>
      <c r="D630" s="3" t="s">
        <v>29</v>
      </c>
      <c r="E630" s="3" t="s">
        <v>16</v>
      </c>
      <c r="F630" s="3" t="s">
        <v>78</v>
      </c>
      <c r="G630" s="4">
        <v>3</v>
      </c>
      <c r="H630" s="5">
        <v>59</v>
      </c>
      <c r="I630" s="5">
        <v>21.25</v>
      </c>
      <c r="J630" s="5">
        <f t="shared" si="18"/>
        <v>155.75</v>
      </c>
      <c r="K630" s="3" t="s">
        <v>89</v>
      </c>
    </row>
    <row r="631" spans="1:11" x14ac:dyDescent="0.25">
      <c r="A631" s="6" t="s">
        <v>1001</v>
      </c>
      <c r="B631" s="7" t="s">
        <v>277</v>
      </c>
      <c r="C631" s="14" t="s">
        <v>464</v>
      </c>
      <c r="D631" s="7" t="s">
        <v>39</v>
      </c>
      <c r="E631" s="7" t="s">
        <v>30</v>
      </c>
      <c r="F631" s="7" t="s">
        <v>68</v>
      </c>
      <c r="G631" s="8">
        <v>1</v>
      </c>
      <c r="H631" s="9">
        <v>799</v>
      </c>
      <c r="I631" s="9">
        <v>19.64</v>
      </c>
      <c r="J631" s="9">
        <f t="shared" si="18"/>
        <v>779.36</v>
      </c>
      <c r="K631" s="7" t="s">
        <v>89</v>
      </c>
    </row>
    <row r="632" spans="1:11" x14ac:dyDescent="0.25">
      <c r="A632" s="2" t="s">
        <v>1002</v>
      </c>
      <c r="B632" s="3" t="s">
        <v>13</v>
      </c>
      <c r="C632" s="13" t="s">
        <v>273</v>
      </c>
      <c r="D632" s="3" t="s">
        <v>22</v>
      </c>
      <c r="E632" s="3" t="s">
        <v>52</v>
      </c>
      <c r="F632" s="3" t="s">
        <v>99</v>
      </c>
      <c r="G632" s="4">
        <v>5</v>
      </c>
      <c r="H632" s="5">
        <v>79</v>
      </c>
      <c r="I632" s="5">
        <v>0</v>
      </c>
      <c r="J632" s="5">
        <f t="shared" si="18"/>
        <v>395</v>
      </c>
      <c r="K632" s="3" t="s">
        <v>25</v>
      </c>
    </row>
    <row r="633" spans="1:11" x14ac:dyDescent="0.25">
      <c r="A633" s="6" t="s">
        <v>1003</v>
      </c>
      <c r="B633" s="7" t="s">
        <v>101</v>
      </c>
      <c r="C633" s="14" t="s">
        <v>1004</v>
      </c>
      <c r="D633" s="7" t="s">
        <v>15</v>
      </c>
      <c r="E633" s="7" t="s">
        <v>16</v>
      </c>
      <c r="F633" s="7" t="s">
        <v>103</v>
      </c>
      <c r="G633" s="8">
        <v>1</v>
      </c>
      <c r="H633" s="9">
        <v>89</v>
      </c>
      <c r="I633" s="9">
        <v>0</v>
      </c>
      <c r="J633" s="9">
        <f t="shared" si="18"/>
        <v>89</v>
      </c>
      <c r="K633" s="7" t="s">
        <v>25</v>
      </c>
    </row>
    <row r="634" spans="1:11" x14ac:dyDescent="0.25">
      <c r="A634" s="2" t="s">
        <v>1005</v>
      </c>
      <c r="B634" s="3" t="s">
        <v>277</v>
      </c>
      <c r="C634" s="13" t="s">
        <v>601</v>
      </c>
      <c r="D634" s="3" t="s">
        <v>39</v>
      </c>
      <c r="E634" s="3" t="s">
        <v>30</v>
      </c>
      <c r="F634" s="3" t="s">
        <v>106</v>
      </c>
      <c r="G634" s="4">
        <v>3</v>
      </c>
      <c r="H634" s="5">
        <v>299</v>
      </c>
      <c r="I634" s="5">
        <v>0</v>
      </c>
      <c r="J634" s="5">
        <f t="shared" si="18"/>
        <v>897</v>
      </c>
      <c r="K634" s="3" t="s">
        <v>25</v>
      </c>
    </row>
    <row r="635" spans="1:11" x14ac:dyDescent="0.25">
      <c r="A635" s="6" t="s">
        <v>1006</v>
      </c>
      <c r="B635" s="7" t="s">
        <v>34</v>
      </c>
      <c r="C635" s="14" t="s">
        <v>292</v>
      </c>
      <c r="D635" s="7" t="s">
        <v>47</v>
      </c>
      <c r="E635" s="7" t="s">
        <v>16</v>
      </c>
      <c r="F635" s="7" t="s">
        <v>17</v>
      </c>
      <c r="G635" s="8">
        <v>3</v>
      </c>
      <c r="H635" s="9">
        <v>39</v>
      </c>
      <c r="I635" s="9">
        <v>0</v>
      </c>
      <c r="J635" s="9">
        <f t="shared" si="18"/>
        <v>117</v>
      </c>
      <c r="K635" s="7" t="s">
        <v>25</v>
      </c>
    </row>
    <row r="636" spans="1:11" x14ac:dyDescent="0.25">
      <c r="A636" s="2" t="s">
        <v>1007</v>
      </c>
      <c r="B636" s="3" t="s">
        <v>41</v>
      </c>
      <c r="C636" s="13" t="s">
        <v>1008</v>
      </c>
      <c r="D636" s="3" t="s">
        <v>22</v>
      </c>
      <c r="E636" s="3" t="s">
        <v>23</v>
      </c>
      <c r="F636" s="3" t="s">
        <v>24</v>
      </c>
      <c r="G636" s="4">
        <v>4</v>
      </c>
      <c r="H636" s="5">
        <v>180</v>
      </c>
      <c r="I636" s="5">
        <v>16.82</v>
      </c>
      <c r="J636" s="5">
        <f t="shared" si="18"/>
        <v>703.18</v>
      </c>
      <c r="K636" s="3" t="s">
        <v>65</v>
      </c>
    </row>
    <row r="637" spans="1:11" x14ac:dyDescent="0.25">
      <c r="A637" s="6" t="s">
        <v>1009</v>
      </c>
      <c r="B637" s="7" t="s">
        <v>101</v>
      </c>
      <c r="C637" s="14" t="s">
        <v>1010</v>
      </c>
      <c r="D637" s="7" t="s">
        <v>39</v>
      </c>
      <c r="E637" s="7" t="s">
        <v>23</v>
      </c>
      <c r="F637" s="7" t="s">
        <v>48</v>
      </c>
      <c r="G637" s="8">
        <v>1</v>
      </c>
      <c r="H637" s="9">
        <v>450</v>
      </c>
      <c r="I637" s="9">
        <v>29.71</v>
      </c>
      <c r="J637" s="9">
        <f t="shared" ref="J637:J650" si="19">(G637*H637)-I637</f>
        <v>420.29</v>
      </c>
      <c r="K637" s="7" t="s">
        <v>69</v>
      </c>
    </row>
    <row r="638" spans="1:11" x14ac:dyDescent="0.25">
      <c r="A638" s="2" t="s">
        <v>1011</v>
      </c>
      <c r="B638" s="3" t="s">
        <v>55</v>
      </c>
      <c r="C638" s="13" t="s">
        <v>825</v>
      </c>
      <c r="D638" s="3" t="s">
        <v>29</v>
      </c>
      <c r="E638" s="3" t="s">
        <v>30</v>
      </c>
      <c r="F638" s="3" t="s">
        <v>152</v>
      </c>
      <c r="G638" s="4">
        <v>2</v>
      </c>
      <c r="H638" s="5">
        <v>4500</v>
      </c>
      <c r="I638" s="5">
        <v>0</v>
      </c>
      <c r="J638" s="5">
        <f t="shared" si="19"/>
        <v>9000</v>
      </c>
      <c r="K638" s="3" t="s">
        <v>25</v>
      </c>
    </row>
    <row r="639" spans="1:11" x14ac:dyDescent="0.25">
      <c r="A639" s="6" t="s">
        <v>1012</v>
      </c>
      <c r="B639" s="7" t="s">
        <v>20</v>
      </c>
      <c r="C639" s="14" t="s">
        <v>1013</v>
      </c>
      <c r="D639" s="7" t="s">
        <v>15</v>
      </c>
      <c r="E639" s="7" t="s">
        <v>16</v>
      </c>
      <c r="F639" s="7" t="s">
        <v>78</v>
      </c>
      <c r="G639" s="8">
        <v>1</v>
      </c>
      <c r="H639" s="9">
        <v>59</v>
      </c>
      <c r="I639" s="9">
        <v>0</v>
      </c>
      <c r="J639" s="9">
        <f t="shared" si="19"/>
        <v>59</v>
      </c>
      <c r="K639" s="7" t="s">
        <v>32</v>
      </c>
    </row>
    <row r="640" spans="1:11" x14ac:dyDescent="0.25">
      <c r="A640" s="2" t="s">
        <v>1014</v>
      </c>
      <c r="B640" s="3" t="s">
        <v>20</v>
      </c>
      <c r="C640" s="13" t="s">
        <v>318</v>
      </c>
      <c r="D640" s="3" t="s">
        <v>149</v>
      </c>
      <c r="E640" s="3" t="s">
        <v>30</v>
      </c>
      <c r="F640" s="3" t="s">
        <v>31</v>
      </c>
      <c r="G640" s="4">
        <v>5</v>
      </c>
      <c r="H640" s="5">
        <v>2500</v>
      </c>
      <c r="I640" s="5">
        <v>1389.98</v>
      </c>
      <c r="J640" s="5">
        <f t="shared" si="19"/>
        <v>11110.02</v>
      </c>
      <c r="K640" s="3" t="s">
        <v>69</v>
      </c>
    </row>
    <row r="641" spans="1:11" x14ac:dyDescent="0.25">
      <c r="A641" s="6" t="s">
        <v>1015</v>
      </c>
      <c r="B641" s="7" t="s">
        <v>110</v>
      </c>
      <c r="C641" s="14" t="s">
        <v>93</v>
      </c>
      <c r="D641" s="7" t="s">
        <v>29</v>
      </c>
      <c r="E641" s="7" t="s">
        <v>30</v>
      </c>
      <c r="F641" s="7" t="s">
        <v>31</v>
      </c>
      <c r="G641" s="8">
        <v>4</v>
      </c>
      <c r="H641" s="9">
        <v>2500</v>
      </c>
      <c r="I641" s="9">
        <v>0</v>
      </c>
      <c r="J641" s="9">
        <f t="shared" si="19"/>
        <v>10000</v>
      </c>
      <c r="K641" s="7" t="s">
        <v>69</v>
      </c>
    </row>
    <row r="642" spans="1:11" x14ac:dyDescent="0.25">
      <c r="A642" s="2" t="s">
        <v>1016</v>
      </c>
      <c r="B642" s="3" t="s">
        <v>13</v>
      </c>
      <c r="C642" s="13" t="s">
        <v>518</v>
      </c>
      <c r="D642" s="3" t="s">
        <v>47</v>
      </c>
      <c r="E642" s="3" t="s">
        <v>52</v>
      </c>
      <c r="F642" s="3" t="s">
        <v>61</v>
      </c>
      <c r="G642" s="4">
        <v>2</v>
      </c>
      <c r="H642" s="5">
        <v>199</v>
      </c>
      <c r="I642" s="10"/>
      <c r="J642" s="5">
        <f t="shared" si="19"/>
        <v>398</v>
      </c>
      <c r="K642" s="3" t="s">
        <v>69</v>
      </c>
    </row>
    <row r="643" spans="1:11" x14ac:dyDescent="0.25">
      <c r="A643" s="6" t="s">
        <v>1017</v>
      </c>
      <c r="B643" s="7" t="s">
        <v>63</v>
      </c>
      <c r="C643" s="14" t="s">
        <v>1018</v>
      </c>
      <c r="D643" s="7" t="s">
        <v>47</v>
      </c>
      <c r="E643" s="7" t="s">
        <v>52</v>
      </c>
      <c r="F643" s="7" t="s">
        <v>53</v>
      </c>
      <c r="G643" s="8">
        <v>1</v>
      </c>
      <c r="H643" s="9">
        <v>149</v>
      </c>
      <c r="I643" s="9">
        <v>10.79</v>
      </c>
      <c r="J643" s="9">
        <f t="shared" si="19"/>
        <v>138.21</v>
      </c>
      <c r="K643" s="7" t="s">
        <v>89</v>
      </c>
    </row>
    <row r="644" spans="1:11" x14ac:dyDescent="0.25">
      <c r="A644" s="2" t="s">
        <v>1019</v>
      </c>
      <c r="B644" s="3" t="s">
        <v>20</v>
      </c>
      <c r="C644" s="13" t="s">
        <v>655</v>
      </c>
      <c r="D644" s="3" t="s">
        <v>39</v>
      </c>
      <c r="E644" s="3" t="s">
        <v>30</v>
      </c>
      <c r="F644" s="3" t="s">
        <v>68</v>
      </c>
      <c r="G644" s="4">
        <v>1</v>
      </c>
      <c r="H644" s="5">
        <v>799</v>
      </c>
      <c r="I644" s="5">
        <v>17.64</v>
      </c>
      <c r="J644" s="5">
        <f t="shared" si="19"/>
        <v>781.36</v>
      </c>
      <c r="K644" s="3" t="s">
        <v>65</v>
      </c>
    </row>
    <row r="645" spans="1:11" x14ac:dyDescent="0.25">
      <c r="A645" s="6" t="s">
        <v>1020</v>
      </c>
      <c r="B645" s="7" t="s">
        <v>20</v>
      </c>
      <c r="C645" s="14" t="s">
        <v>1021</v>
      </c>
      <c r="D645" s="7" t="s">
        <v>39</v>
      </c>
      <c r="E645" s="7" t="s">
        <v>30</v>
      </c>
      <c r="F645" s="7" t="s">
        <v>152</v>
      </c>
      <c r="G645" s="8">
        <v>4</v>
      </c>
      <c r="H645" s="9">
        <v>4500</v>
      </c>
      <c r="I645" s="9">
        <v>0</v>
      </c>
      <c r="J645" s="9">
        <f t="shared" si="19"/>
        <v>18000</v>
      </c>
      <c r="K645" s="7" t="s">
        <v>89</v>
      </c>
    </row>
    <row r="646" spans="1:11" x14ac:dyDescent="0.25">
      <c r="A646" s="2" t="s">
        <v>1022</v>
      </c>
      <c r="B646" s="3" t="s">
        <v>41</v>
      </c>
      <c r="C646" s="13" t="s">
        <v>1004</v>
      </c>
      <c r="D646" s="3" t="s">
        <v>29</v>
      </c>
      <c r="E646" s="3" t="s">
        <v>16</v>
      </c>
      <c r="F646" s="3" t="s">
        <v>103</v>
      </c>
      <c r="G646" s="4">
        <v>4</v>
      </c>
      <c r="H646" s="5">
        <v>89</v>
      </c>
      <c r="I646" s="5">
        <v>48.68</v>
      </c>
      <c r="J646" s="5">
        <f t="shared" si="19"/>
        <v>307.32</v>
      </c>
      <c r="K646" s="3" t="s">
        <v>65</v>
      </c>
    </row>
    <row r="647" spans="1:11" x14ac:dyDescent="0.25">
      <c r="A647" s="6" t="s">
        <v>1023</v>
      </c>
      <c r="B647" s="7" t="s">
        <v>41</v>
      </c>
      <c r="C647" s="14" t="s">
        <v>752</v>
      </c>
      <c r="D647" s="7" t="s">
        <v>39</v>
      </c>
      <c r="E647" s="7" t="s">
        <v>52</v>
      </c>
      <c r="F647" s="7" t="s">
        <v>99</v>
      </c>
      <c r="G647" s="8">
        <v>5</v>
      </c>
      <c r="H647" s="9">
        <v>79</v>
      </c>
      <c r="I647" s="9">
        <v>37.299999999999997</v>
      </c>
      <c r="J647" s="9">
        <f t="shared" si="19"/>
        <v>357.7</v>
      </c>
      <c r="K647" s="7" t="s">
        <v>89</v>
      </c>
    </row>
    <row r="648" spans="1:11" x14ac:dyDescent="0.25">
      <c r="A648" s="2" t="s">
        <v>1024</v>
      </c>
      <c r="B648" s="3" t="s">
        <v>27</v>
      </c>
      <c r="C648" s="13" t="s">
        <v>1021</v>
      </c>
      <c r="D648" s="3" t="s">
        <v>22</v>
      </c>
      <c r="E648" s="3" t="s">
        <v>30</v>
      </c>
      <c r="F648" s="3" t="s">
        <v>68</v>
      </c>
      <c r="G648" s="4">
        <v>3</v>
      </c>
      <c r="H648" s="5">
        <v>799</v>
      </c>
      <c r="I648" s="5">
        <v>0</v>
      </c>
      <c r="J648" s="5">
        <f t="shared" si="19"/>
        <v>2397</v>
      </c>
      <c r="K648" s="3" t="s">
        <v>25</v>
      </c>
    </row>
    <row r="649" spans="1:11" x14ac:dyDescent="0.25">
      <c r="A649" s="6" t="s">
        <v>1025</v>
      </c>
      <c r="B649" s="7" t="s">
        <v>63</v>
      </c>
      <c r="C649" s="14" t="s">
        <v>601</v>
      </c>
      <c r="D649" s="7" t="s">
        <v>22</v>
      </c>
      <c r="E649" s="7" t="s">
        <v>52</v>
      </c>
      <c r="F649" s="7" t="s">
        <v>61</v>
      </c>
      <c r="G649" s="8">
        <v>3</v>
      </c>
      <c r="H649" s="9">
        <v>199</v>
      </c>
      <c r="I649" s="9">
        <v>0</v>
      </c>
      <c r="J649" s="9">
        <f t="shared" si="19"/>
        <v>597</v>
      </c>
      <c r="K649" s="7" t="s">
        <v>89</v>
      </c>
    </row>
    <row r="650" spans="1:11" x14ac:dyDescent="0.25">
      <c r="A650" s="2" t="s">
        <v>1026</v>
      </c>
      <c r="B650" s="3" t="s">
        <v>13</v>
      </c>
      <c r="C650" s="13" t="s">
        <v>1027</v>
      </c>
      <c r="D650" s="3" t="s">
        <v>47</v>
      </c>
      <c r="E650" s="3" t="s">
        <v>23</v>
      </c>
      <c r="F650" s="3" t="s">
        <v>24</v>
      </c>
      <c r="G650" s="4">
        <v>3</v>
      </c>
      <c r="H650" s="5">
        <v>180</v>
      </c>
      <c r="I650" s="5">
        <v>0</v>
      </c>
      <c r="J650" s="5">
        <f t="shared" si="19"/>
        <v>540</v>
      </c>
      <c r="K650" s="3" t="s">
        <v>49</v>
      </c>
    </row>
    <row r="651" spans="1:11" x14ac:dyDescent="0.25">
      <c r="A651" s="6" t="s">
        <v>1028</v>
      </c>
      <c r="B651" s="7" t="s">
        <v>13</v>
      </c>
      <c r="C651" s="14" t="s">
        <v>1029</v>
      </c>
      <c r="D651" s="7" t="s">
        <v>47</v>
      </c>
      <c r="E651" s="7" t="s">
        <v>23</v>
      </c>
      <c r="F651" s="7" t="s">
        <v>24</v>
      </c>
      <c r="G651" s="11"/>
      <c r="H651" s="9">
        <v>180</v>
      </c>
      <c r="I651" s="9">
        <v>35.619999999999997</v>
      </c>
      <c r="J651" s="9"/>
      <c r="K651" s="7" t="s">
        <v>25</v>
      </c>
    </row>
    <row r="652" spans="1:11" x14ac:dyDescent="0.25">
      <c r="A652" s="2" t="s">
        <v>1030</v>
      </c>
      <c r="B652" s="3" t="s">
        <v>34</v>
      </c>
      <c r="C652" s="13" t="s">
        <v>232</v>
      </c>
      <c r="D652" s="3" t="s">
        <v>47</v>
      </c>
      <c r="E652" s="3" t="s">
        <v>23</v>
      </c>
      <c r="F652" s="3" t="s">
        <v>88</v>
      </c>
      <c r="G652" s="4">
        <v>5</v>
      </c>
      <c r="H652" s="5">
        <v>650</v>
      </c>
      <c r="I652" s="5">
        <v>427.4</v>
      </c>
      <c r="J652" s="5">
        <f t="shared" ref="J652:J715" si="20">(G652*H652)-I652</f>
        <v>2822.6</v>
      </c>
      <c r="K652" s="3" t="s">
        <v>89</v>
      </c>
    </row>
    <row r="653" spans="1:11" x14ac:dyDescent="0.25">
      <c r="A653" s="6" t="s">
        <v>1031</v>
      </c>
      <c r="B653" s="7" t="s">
        <v>95</v>
      </c>
      <c r="C653" s="14" t="s">
        <v>535</v>
      </c>
      <c r="D653" s="7" t="s">
        <v>29</v>
      </c>
      <c r="E653" s="7" t="s">
        <v>16</v>
      </c>
      <c r="F653" s="7" t="s">
        <v>78</v>
      </c>
      <c r="G653" s="8">
        <v>4</v>
      </c>
      <c r="H653" s="9">
        <v>59</v>
      </c>
      <c r="I653" s="11"/>
      <c r="J653" s="9">
        <f t="shared" si="20"/>
        <v>236</v>
      </c>
      <c r="K653" s="7" t="s">
        <v>65</v>
      </c>
    </row>
    <row r="654" spans="1:11" x14ac:dyDescent="0.25">
      <c r="A654" s="2" t="s">
        <v>1032</v>
      </c>
      <c r="B654" s="3" t="s">
        <v>13</v>
      </c>
      <c r="C654" s="13" t="s">
        <v>909</v>
      </c>
      <c r="D654" s="3" t="s">
        <v>47</v>
      </c>
      <c r="E654" s="3" t="s">
        <v>23</v>
      </c>
      <c r="F654" s="3" t="s">
        <v>43</v>
      </c>
      <c r="G654" s="4">
        <v>5</v>
      </c>
      <c r="H654" s="5">
        <v>350</v>
      </c>
      <c r="I654" s="5">
        <v>84.9</v>
      </c>
      <c r="J654" s="5">
        <f t="shared" si="20"/>
        <v>1665.1</v>
      </c>
      <c r="K654" s="3" t="s">
        <v>32</v>
      </c>
    </row>
    <row r="655" spans="1:11" x14ac:dyDescent="0.25">
      <c r="A655" s="6" t="s">
        <v>1033</v>
      </c>
      <c r="B655" s="7" t="s">
        <v>101</v>
      </c>
      <c r="C655" s="14" t="s">
        <v>1034</v>
      </c>
      <c r="D655" s="7" t="s">
        <v>15</v>
      </c>
      <c r="E655" s="7" t="s">
        <v>23</v>
      </c>
      <c r="F655" s="7" t="s">
        <v>88</v>
      </c>
      <c r="G655" s="8">
        <v>5</v>
      </c>
      <c r="H655" s="9">
        <v>650</v>
      </c>
      <c r="I655" s="9">
        <v>79.400000000000006</v>
      </c>
      <c r="J655" s="9">
        <f t="shared" si="20"/>
        <v>3170.6</v>
      </c>
      <c r="K655" s="7" t="s">
        <v>18</v>
      </c>
    </row>
    <row r="656" spans="1:11" x14ac:dyDescent="0.25">
      <c r="A656" s="2" t="s">
        <v>1035</v>
      </c>
      <c r="B656" s="3" t="s">
        <v>55</v>
      </c>
      <c r="C656" s="13" t="s">
        <v>632</v>
      </c>
      <c r="D656" s="3" t="s">
        <v>15</v>
      </c>
      <c r="E656" s="3" t="s">
        <v>30</v>
      </c>
      <c r="F656" s="3" t="s">
        <v>152</v>
      </c>
      <c r="G656" s="4">
        <v>3</v>
      </c>
      <c r="H656" s="5">
        <v>4500</v>
      </c>
      <c r="I656" s="5">
        <v>0</v>
      </c>
      <c r="J656" s="5">
        <f t="shared" si="20"/>
        <v>13500</v>
      </c>
      <c r="K656" s="3" t="s">
        <v>18</v>
      </c>
    </row>
    <row r="657" spans="1:11" x14ac:dyDescent="0.25">
      <c r="A657" s="6" t="s">
        <v>1036</v>
      </c>
      <c r="B657" s="7" t="s">
        <v>34</v>
      </c>
      <c r="C657" s="14" t="s">
        <v>1037</v>
      </c>
      <c r="D657" s="7" t="s">
        <v>29</v>
      </c>
      <c r="E657" s="7" t="s">
        <v>16</v>
      </c>
      <c r="F657" s="7" t="s">
        <v>116</v>
      </c>
      <c r="G657" s="8">
        <v>3</v>
      </c>
      <c r="H657" s="9">
        <v>45</v>
      </c>
      <c r="I657" s="9">
        <v>0</v>
      </c>
      <c r="J657" s="9">
        <f t="shared" si="20"/>
        <v>135</v>
      </c>
      <c r="K657" s="7" t="s">
        <v>49</v>
      </c>
    </row>
    <row r="658" spans="1:11" x14ac:dyDescent="0.25">
      <c r="A658" s="2" t="s">
        <v>1038</v>
      </c>
      <c r="B658" s="3" t="s">
        <v>34</v>
      </c>
      <c r="C658" s="13" t="s">
        <v>700</v>
      </c>
      <c r="D658" s="3" t="s">
        <v>15</v>
      </c>
      <c r="E658" s="3" t="s">
        <v>23</v>
      </c>
      <c r="F658" s="3" t="s">
        <v>43</v>
      </c>
      <c r="G658" s="4">
        <v>3</v>
      </c>
      <c r="H658" s="5">
        <v>350</v>
      </c>
      <c r="I658" s="5">
        <v>0</v>
      </c>
      <c r="J658" s="5">
        <f t="shared" si="20"/>
        <v>1050</v>
      </c>
      <c r="K658" s="3" t="s">
        <v>25</v>
      </c>
    </row>
    <row r="659" spans="1:11" x14ac:dyDescent="0.25">
      <c r="A659" s="6" t="s">
        <v>1039</v>
      </c>
      <c r="B659" s="7" t="s">
        <v>34</v>
      </c>
      <c r="C659" s="14" t="s">
        <v>186</v>
      </c>
      <c r="D659" s="7" t="s">
        <v>15</v>
      </c>
      <c r="E659" s="7" t="s">
        <v>30</v>
      </c>
      <c r="F659" s="7" t="s">
        <v>152</v>
      </c>
      <c r="G659" s="8">
        <v>2</v>
      </c>
      <c r="H659" s="9">
        <v>4500</v>
      </c>
      <c r="I659" s="9">
        <v>0</v>
      </c>
      <c r="J659" s="9">
        <f t="shared" si="20"/>
        <v>9000</v>
      </c>
      <c r="K659" s="7" t="s">
        <v>32</v>
      </c>
    </row>
    <row r="660" spans="1:11" x14ac:dyDescent="0.25">
      <c r="A660" s="2" t="s">
        <v>1040</v>
      </c>
      <c r="B660" s="3" t="s">
        <v>13</v>
      </c>
      <c r="C660" s="13" t="s">
        <v>331</v>
      </c>
      <c r="D660" s="3" t="s">
        <v>47</v>
      </c>
      <c r="E660" s="3" t="s">
        <v>16</v>
      </c>
      <c r="F660" s="3" t="s">
        <v>116</v>
      </c>
      <c r="G660" s="4">
        <v>5</v>
      </c>
      <c r="H660" s="5">
        <v>45</v>
      </c>
      <c r="I660" s="5">
        <v>0</v>
      </c>
      <c r="J660" s="5">
        <f t="shared" si="20"/>
        <v>225</v>
      </c>
      <c r="K660" s="3" t="s">
        <v>25</v>
      </c>
    </row>
    <row r="661" spans="1:11" x14ac:dyDescent="0.25">
      <c r="A661" s="6" t="s">
        <v>1041</v>
      </c>
      <c r="B661" s="7" t="s">
        <v>20</v>
      </c>
      <c r="C661" s="14" t="s">
        <v>748</v>
      </c>
      <c r="D661" s="7" t="s">
        <v>39</v>
      </c>
      <c r="E661" s="7" t="s">
        <v>16</v>
      </c>
      <c r="F661" s="7" t="s">
        <v>78</v>
      </c>
      <c r="G661" s="8">
        <v>1</v>
      </c>
      <c r="H661" s="9">
        <v>59</v>
      </c>
      <c r="I661" s="9">
        <v>0</v>
      </c>
      <c r="J661" s="9">
        <f t="shared" si="20"/>
        <v>59</v>
      </c>
      <c r="K661" s="7" t="s">
        <v>69</v>
      </c>
    </row>
    <row r="662" spans="1:11" x14ac:dyDescent="0.25">
      <c r="A662" s="2" t="s">
        <v>1042</v>
      </c>
      <c r="B662" s="3" t="s">
        <v>134</v>
      </c>
      <c r="C662" s="13" t="s">
        <v>750</v>
      </c>
      <c r="D662" s="3" t="s">
        <v>29</v>
      </c>
      <c r="E662" s="3" t="s">
        <v>52</v>
      </c>
      <c r="F662" s="3" t="s">
        <v>75</v>
      </c>
      <c r="G662" s="4">
        <v>3</v>
      </c>
      <c r="H662" s="5">
        <v>249</v>
      </c>
      <c r="I662" s="5">
        <v>0</v>
      </c>
      <c r="J662" s="5">
        <f t="shared" si="20"/>
        <v>747</v>
      </c>
      <c r="K662" s="3" t="s">
        <v>25</v>
      </c>
    </row>
    <row r="663" spans="1:11" x14ac:dyDescent="0.25">
      <c r="A663" s="6" t="s">
        <v>1043</v>
      </c>
      <c r="B663" s="7" t="s">
        <v>101</v>
      </c>
      <c r="C663" s="14" t="s">
        <v>931</v>
      </c>
      <c r="D663" s="7" t="s">
        <v>29</v>
      </c>
      <c r="E663" s="7" t="s">
        <v>52</v>
      </c>
      <c r="F663" s="7" t="s">
        <v>61</v>
      </c>
      <c r="G663" s="8">
        <v>3</v>
      </c>
      <c r="H663" s="9">
        <v>199</v>
      </c>
      <c r="I663" s="9">
        <v>0</v>
      </c>
      <c r="J663" s="9">
        <f t="shared" si="20"/>
        <v>597</v>
      </c>
      <c r="K663" s="7" t="s">
        <v>69</v>
      </c>
    </row>
    <row r="664" spans="1:11" x14ac:dyDescent="0.25">
      <c r="A664" s="2" t="s">
        <v>1044</v>
      </c>
      <c r="B664" s="3" t="s">
        <v>41</v>
      </c>
      <c r="C664" s="13" t="s">
        <v>768</v>
      </c>
      <c r="D664" s="3" t="s">
        <v>15</v>
      </c>
      <c r="E664" s="3" t="s">
        <v>52</v>
      </c>
      <c r="F664" s="3" t="s">
        <v>75</v>
      </c>
      <c r="G664" s="4">
        <v>3</v>
      </c>
      <c r="H664" s="5">
        <v>249</v>
      </c>
      <c r="I664" s="5">
        <v>89.25</v>
      </c>
      <c r="J664" s="5">
        <f t="shared" si="20"/>
        <v>657.75</v>
      </c>
      <c r="K664" s="3" t="s">
        <v>49</v>
      </c>
    </row>
    <row r="665" spans="1:11" x14ac:dyDescent="0.25">
      <c r="A665" s="6" t="s">
        <v>1045</v>
      </c>
      <c r="B665" s="7" t="s">
        <v>13</v>
      </c>
      <c r="C665" s="14" t="s">
        <v>860</v>
      </c>
      <c r="D665" s="7" t="s">
        <v>15</v>
      </c>
      <c r="E665" s="7" t="s">
        <v>23</v>
      </c>
      <c r="F665" s="7" t="s">
        <v>43</v>
      </c>
      <c r="G665" s="8">
        <v>2</v>
      </c>
      <c r="H665" s="9">
        <v>350</v>
      </c>
      <c r="I665" s="9">
        <v>0</v>
      </c>
      <c r="J665" s="9">
        <f t="shared" si="20"/>
        <v>700</v>
      </c>
      <c r="K665" s="7" t="s">
        <v>65</v>
      </c>
    </row>
    <row r="666" spans="1:11" x14ac:dyDescent="0.25">
      <c r="A666" s="2" t="s">
        <v>1046</v>
      </c>
      <c r="B666" s="3" t="s">
        <v>110</v>
      </c>
      <c r="C666" s="13" t="s">
        <v>309</v>
      </c>
      <c r="D666" s="3" t="s">
        <v>39</v>
      </c>
      <c r="E666" s="3" t="s">
        <v>23</v>
      </c>
      <c r="F666" s="3" t="s">
        <v>24</v>
      </c>
      <c r="G666" s="4">
        <v>5</v>
      </c>
      <c r="H666" s="5">
        <v>180</v>
      </c>
      <c r="I666" s="5">
        <v>0</v>
      </c>
      <c r="J666" s="5">
        <f t="shared" si="20"/>
        <v>900</v>
      </c>
      <c r="K666" s="3" t="s">
        <v>44</v>
      </c>
    </row>
    <row r="667" spans="1:11" x14ac:dyDescent="0.25">
      <c r="A667" s="6" t="s">
        <v>1047</v>
      </c>
      <c r="B667" s="7" t="s">
        <v>71</v>
      </c>
      <c r="C667" s="14" t="s">
        <v>1037</v>
      </c>
      <c r="D667" s="7" t="s">
        <v>29</v>
      </c>
      <c r="E667" s="7" t="s">
        <v>52</v>
      </c>
      <c r="F667" s="7" t="s">
        <v>99</v>
      </c>
      <c r="G667" s="8">
        <v>4</v>
      </c>
      <c r="H667" s="9">
        <v>79</v>
      </c>
      <c r="I667" s="9">
        <v>14.22</v>
      </c>
      <c r="J667" s="9">
        <f t="shared" si="20"/>
        <v>301.77999999999997</v>
      </c>
      <c r="K667" s="7" t="s">
        <v>44</v>
      </c>
    </row>
    <row r="668" spans="1:11" x14ac:dyDescent="0.25">
      <c r="A668" s="2" t="s">
        <v>1048</v>
      </c>
      <c r="B668" s="3" t="s">
        <v>34</v>
      </c>
      <c r="C668" s="13" t="s">
        <v>211</v>
      </c>
      <c r="D668" s="3" t="s">
        <v>29</v>
      </c>
      <c r="E668" s="3" t="s">
        <v>23</v>
      </c>
      <c r="F668" s="3" t="s">
        <v>24</v>
      </c>
      <c r="G668" s="4">
        <v>3</v>
      </c>
      <c r="H668" s="5">
        <v>180</v>
      </c>
      <c r="I668" s="5">
        <v>53.85</v>
      </c>
      <c r="J668" s="5">
        <f t="shared" si="20"/>
        <v>486.15</v>
      </c>
      <c r="K668" s="3" t="s">
        <v>32</v>
      </c>
    </row>
    <row r="669" spans="1:11" x14ac:dyDescent="0.25">
      <c r="A669" s="6" t="s">
        <v>1049</v>
      </c>
      <c r="B669" s="7" t="s">
        <v>71</v>
      </c>
      <c r="C669" s="14" t="s">
        <v>1050</v>
      </c>
      <c r="D669" s="7" t="s">
        <v>15</v>
      </c>
      <c r="E669" s="7" t="s">
        <v>16</v>
      </c>
      <c r="F669" s="7" t="s">
        <v>116</v>
      </c>
      <c r="G669" s="8">
        <v>3</v>
      </c>
      <c r="H669" s="9">
        <v>45</v>
      </c>
      <c r="I669" s="9">
        <v>15.98</v>
      </c>
      <c r="J669" s="9">
        <f t="shared" si="20"/>
        <v>119.02</v>
      </c>
      <c r="K669" s="7" t="s">
        <v>32</v>
      </c>
    </row>
    <row r="670" spans="1:11" x14ac:dyDescent="0.25">
      <c r="A670" s="2" t="s">
        <v>1051</v>
      </c>
      <c r="B670" s="3" t="s">
        <v>37</v>
      </c>
      <c r="C670" s="13" t="s">
        <v>390</v>
      </c>
      <c r="D670" s="3" t="s">
        <v>29</v>
      </c>
      <c r="E670" s="3" t="s">
        <v>16</v>
      </c>
      <c r="F670" s="3" t="s">
        <v>17</v>
      </c>
      <c r="G670" s="4">
        <v>3</v>
      </c>
      <c r="H670" s="5">
        <v>39</v>
      </c>
      <c r="I670" s="5">
        <v>16.72</v>
      </c>
      <c r="J670" s="5">
        <f t="shared" si="20"/>
        <v>100.28</v>
      </c>
      <c r="K670" s="3" t="s">
        <v>44</v>
      </c>
    </row>
    <row r="671" spans="1:11" x14ac:dyDescent="0.25">
      <c r="A671" s="6" t="s">
        <v>1052</v>
      </c>
      <c r="B671" s="7" t="s">
        <v>27</v>
      </c>
      <c r="C671" s="14" t="s">
        <v>344</v>
      </c>
      <c r="D671" s="7" t="s">
        <v>39</v>
      </c>
      <c r="E671" s="7" t="s">
        <v>23</v>
      </c>
      <c r="F671" s="7" t="s">
        <v>43</v>
      </c>
      <c r="G671" s="8">
        <v>4</v>
      </c>
      <c r="H671" s="9">
        <v>350</v>
      </c>
      <c r="I671" s="9">
        <v>72.650000000000006</v>
      </c>
      <c r="J671" s="9">
        <f t="shared" si="20"/>
        <v>1327.35</v>
      </c>
      <c r="K671" s="7" t="s">
        <v>32</v>
      </c>
    </row>
    <row r="672" spans="1:11" x14ac:dyDescent="0.25">
      <c r="A672" s="2" t="s">
        <v>1053</v>
      </c>
      <c r="B672" s="3" t="s">
        <v>41</v>
      </c>
      <c r="C672" s="13" t="s">
        <v>1054</v>
      </c>
      <c r="D672" s="3" t="s">
        <v>39</v>
      </c>
      <c r="E672" s="3" t="s">
        <v>52</v>
      </c>
      <c r="F672" s="3" t="s">
        <v>99</v>
      </c>
      <c r="G672" s="4">
        <v>3</v>
      </c>
      <c r="H672" s="5">
        <v>79</v>
      </c>
      <c r="I672" s="5">
        <v>0</v>
      </c>
      <c r="J672" s="5">
        <f t="shared" si="20"/>
        <v>237</v>
      </c>
      <c r="K672" s="3" t="s">
        <v>65</v>
      </c>
    </row>
    <row r="673" spans="1:11" x14ac:dyDescent="0.25">
      <c r="A673" s="6" t="s">
        <v>1055</v>
      </c>
      <c r="B673" s="7" t="s">
        <v>110</v>
      </c>
      <c r="C673" s="14" t="s">
        <v>1056</v>
      </c>
      <c r="D673" s="7" t="s">
        <v>15</v>
      </c>
      <c r="E673" s="7" t="s">
        <v>30</v>
      </c>
      <c r="F673" s="7" t="s">
        <v>152</v>
      </c>
      <c r="G673" s="8">
        <v>1</v>
      </c>
      <c r="H673" s="9">
        <v>4500</v>
      </c>
      <c r="I673" s="9">
        <v>0</v>
      </c>
      <c r="J673" s="9">
        <f t="shared" si="20"/>
        <v>4500</v>
      </c>
      <c r="K673" s="7" t="s">
        <v>49</v>
      </c>
    </row>
    <row r="674" spans="1:11" x14ac:dyDescent="0.25">
      <c r="A674" s="2" t="s">
        <v>1057</v>
      </c>
      <c r="B674" s="3" t="s">
        <v>63</v>
      </c>
      <c r="C674" s="13" t="s">
        <v>1058</v>
      </c>
      <c r="D674" s="3" t="s">
        <v>29</v>
      </c>
      <c r="E674" s="3" t="s">
        <v>23</v>
      </c>
      <c r="F674" s="3" t="s">
        <v>43</v>
      </c>
      <c r="G674" s="4">
        <v>2</v>
      </c>
      <c r="H674" s="5">
        <v>350</v>
      </c>
      <c r="I674" s="5">
        <v>0</v>
      </c>
      <c r="J674" s="5">
        <f t="shared" si="20"/>
        <v>700</v>
      </c>
      <c r="K674" s="3" t="s">
        <v>89</v>
      </c>
    </row>
    <row r="675" spans="1:11" x14ac:dyDescent="0.25">
      <c r="A675" s="6" t="s">
        <v>1059</v>
      </c>
      <c r="B675" s="7" t="s">
        <v>13</v>
      </c>
      <c r="C675" s="14" t="s">
        <v>1060</v>
      </c>
      <c r="D675" s="7" t="s">
        <v>47</v>
      </c>
      <c r="E675" s="7" t="s">
        <v>23</v>
      </c>
      <c r="F675" s="7" t="s">
        <v>43</v>
      </c>
      <c r="G675" s="8">
        <v>5</v>
      </c>
      <c r="H675" s="9">
        <v>350</v>
      </c>
      <c r="I675" s="9">
        <v>184.15</v>
      </c>
      <c r="J675" s="9">
        <f t="shared" si="20"/>
        <v>1565.85</v>
      </c>
      <c r="K675" s="7" t="s">
        <v>32</v>
      </c>
    </row>
    <row r="676" spans="1:11" x14ac:dyDescent="0.25">
      <c r="A676" s="2" t="s">
        <v>1061</v>
      </c>
      <c r="B676" s="3" t="s">
        <v>20</v>
      </c>
      <c r="C676" s="13" t="s">
        <v>423</v>
      </c>
      <c r="D676" s="3" t="s">
        <v>29</v>
      </c>
      <c r="E676" s="3" t="s">
        <v>16</v>
      </c>
      <c r="F676" s="3" t="s">
        <v>103</v>
      </c>
      <c r="G676" s="4">
        <v>5</v>
      </c>
      <c r="H676" s="5">
        <v>89</v>
      </c>
      <c r="I676" s="5">
        <v>0</v>
      </c>
      <c r="J676" s="5">
        <f t="shared" si="20"/>
        <v>445</v>
      </c>
      <c r="K676" s="3" t="s">
        <v>18</v>
      </c>
    </row>
    <row r="677" spans="1:11" x14ac:dyDescent="0.25">
      <c r="A677" s="6" t="s">
        <v>1062</v>
      </c>
      <c r="B677" s="7" t="s">
        <v>20</v>
      </c>
      <c r="C677" s="14" t="s">
        <v>537</v>
      </c>
      <c r="D677" s="7" t="s">
        <v>22</v>
      </c>
      <c r="E677" s="7" t="s">
        <v>52</v>
      </c>
      <c r="F677" s="7" t="s">
        <v>99</v>
      </c>
      <c r="G677" s="8">
        <v>5</v>
      </c>
      <c r="H677" s="9">
        <v>79</v>
      </c>
      <c r="I677" s="9">
        <v>0</v>
      </c>
      <c r="J677" s="9">
        <f t="shared" si="20"/>
        <v>395</v>
      </c>
      <c r="K677" s="7" t="s">
        <v>32</v>
      </c>
    </row>
    <row r="678" spans="1:11" x14ac:dyDescent="0.25">
      <c r="A678" s="2" t="s">
        <v>1063</v>
      </c>
      <c r="B678" s="3" t="s">
        <v>55</v>
      </c>
      <c r="C678" s="13" t="s">
        <v>975</v>
      </c>
      <c r="D678" s="3" t="s">
        <v>15</v>
      </c>
      <c r="E678" s="3" t="s">
        <v>30</v>
      </c>
      <c r="F678" s="3" t="s">
        <v>31</v>
      </c>
      <c r="G678" s="4">
        <v>2</v>
      </c>
      <c r="H678" s="5">
        <v>2500</v>
      </c>
      <c r="I678" s="5">
        <v>0</v>
      </c>
      <c r="J678" s="5">
        <f t="shared" si="20"/>
        <v>5000</v>
      </c>
      <c r="K678" s="3" t="s">
        <v>49</v>
      </c>
    </row>
    <row r="679" spans="1:11" x14ac:dyDescent="0.25">
      <c r="A679" s="6" t="s">
        <v>1064</v>
      </c>
      <c r="B679" s="7" t="s">
        <v>13</v>
      </c>
      <c r="C679" s="14" t="s">
        <v>1037</v>
      </c>
      <c r="D679" s="7" t="s">
        <v>15</v>
      </c>
      <c r="E679" s="7" t="s">
        <v>23</v>
      </c>
      <c r="F679" s="7" t="s">
        <v>88</v>
      </c>
      <c r="G679" s="8">
        <v>3</v>
      </c>
      <c r="H679" s="9">
        <v>650</v>
      </c>
      <c r="I679" s="9">
        <v>52.82</v>
      </c>
      <c r="J679" s="9">
        <f t="shared" si="20"/>
        <v>1897.18</v>
      </c>
      <c r="K679" s="7" t="s">
        <v>25</v>
      </c>
    </row>
    <row r="680" spans="1:11" x14ac:dyDescent="0.25">
      <c r="A680" s="2" t="s">
        <v>1065</v>
      </c>
      <c r="B680" s="3" t="s">
        <v>13</v>
      </c>
      <c r="C680" s="13" t="s">
        <v>1066</v>
      </c>
      <c r="D680" s="3" t="s">
        <v>15</v>
      </c>
      <c r="E680" s="3" t="s">
        <v>30</v>
      </c>
      <c r="F680" s="3" t="s">
        <v>68</v>
      </c>
      <c r="G680" s="4">
        <v>5</v>
      </c>
      <c r="H680" s="5">
        <v>799</v>
      </c>
      <c r="I680" s="5">
        <v>594.23</v>
      </c>
      <c r="J680" s="5">
        <f t="shared" si="20"/>
        <v>3400.77</v>
      </c>
      <c r="K680" s="3" t="s">
        <v>69</v>
      </c>
    </row>
    <row r="681" spans="1:11" x14ac:dyDescent="0.25">
      <c r="A681" s="6" t="s">
        <v>1067</v>
      </c>
      <c r="B681" s="7" t="s">
        <v>110</v>
      </c>
      <c r="C681" s="14" t="s">
        <v>630</v>
      </c>
      <c r="D681" s="7" t="s">
        <v>29</v>
      </c>
      <c r="E681" s="7" t="s">
        <v>23</v>
      </c>
      <c r="F681" s="7" t="s">
        <v>24</v>
      </c>
      <c r="G681" s="8">
        <v>4</v>
      </c>
      <c r="H681" s="9">
        <v>180</v>
      </c>
      <c r="I681" s="9">
        <v>20.52</v>
      </c>
      <c r="J681" s="9">
        <f t="shared" si="20"/>
        <v>699.48</v>
      </c>
      <c r="K681" s="7" t="s">
        <v>25</v>
      </c>
    </row>
    <row r="682" spans="1:11" x14ac:dyDescent="0.25">
      <c r="A682" s="2" t="s">
        <v>1068</v>
      </c>
      <c r="B682" s="3" t="s">
        <v>63</v>
      </c>
      <c r="C682" s="13" t="s">
        <v>1004</v>
      </c>
      <c r="D682" s="3" t="s">
        <v>15</v>
      </c>
      <c r="E682" s="3" t="s">
        <v>16</v>
      </c>
      <c r="F682" s="3" t="s">
        <v>116</v>
      </c>
      <c r="G682" s="4">
        <v>2</v>
      </c>
      <c r="H682" s="5">
        <v>45</v>
      </c>
      <c r="I682" s="5">
        <v>0</v>
      </c>
      <c r="J682" s="5">
        <f t="shared" si="20"/>
        <v>90</v>
      </c>
      <c r="K682" s="3" t="s">
        <v>18</v>
      </c>
    </row>
    <row r="683" spans="1:11" x14ac:dyDescent="0.25">
      <c r="A683" s="6" t="s">
        <v>1069</v>
      </c>
      <c r="B683" s="7" t="s">
        <v>55</v>
      </c>
      <c r="C683" s="14" t="s">
        <v>349</v>
      </c>
      <c r="D683" s="7" t="s">
        <v>47</v>
      </c>
      <c r="E683" s="7" t="s">
        <v>16</v>
      </c>
      <c r="F683" s="7" t="s">
        <v>17</v>
      </c>
      <c r="G683" s="8">
        <v>1</v>
      </c>
      <c r="H683" s="9">
        <v>39</v>
      </c>
      <c r="I683" s="9">
        <v>0</v>
      </c>
      <c r="J683" s="9">
        <f t="shared" si="20"/>
        <v>39</v>
      </c>
      <c r="K683" s="7" t="s">
        <v>44</v>
      </c>
    </row>
    <row r="684" spans="1:11" x14ac:dyDescent="0.25">
      <c r="A684" s="2" t="s">
        <v>1070</v>
      </c>
      <c r="B684" s="3" t="s">
        <v>95</v>
      </c>
      <c r="C684" s="13" t="s">
        <v>196</v>
      </c>
      <c r="D684" s="3" t="s">
        <v>15</v>
      </c>
      <c r="E684" s="3" t="s">
        <v>30</v>
      </c>
      <c r="F684" s="3" t="s">
        <v>31</v>
      </c>
      <c r="G684" s="4">
        <v>2</v>
      </c>
      <c r="H684" s="5">
        <v>2500</v>
      </c>
      <c r="I684" s="5">
        <v>0</v>
      </c>
      <c r="J684" s="5">
        <f t="shared" si="20"/>
        <v>5000</v>
      </c>
      <c r="K684" s="3" t="s">
        <v>49</v>
      </c>
    </row>
    <row r="685" spans="1:11" x14ac:dyDescent="0.25">
      <c r="A685" s="6" t="s">
        <v>1071</v>
      </c>
      <c r="B685" s="7" t="s">
        <v>71</v>
      </c>
      <c r="C685" s="14" t="s">
        <v>1072</v>
      </c>
      <c r="D685" s="7" t="s">
        <v>47</v>
      </c>
      <c r="E685" s="7" t="s">
        <v>52</v>
      </c>
      <c r="F685" s="7" t="s">
        <v>61</v>
      </c>
      <c r="G685" s="8">
        <v>3</v>
      </c>
      <c r="H685" s="9">
        <v>199</v>
      </c>
      <c r="I685" s="9">
        <v>0</v>
      </c>
      <c r="J685" s="9">
        <f t="shared" si="20"/>
        <v>597</v>
      </c>
      <c r="K685" s="7" t="s">
        <v>49</v>
      </c>
    </row>
    <row r="686" spans="1:11" x14ac:dyDescent="0.25">
      <c r="A686" s="2" t="s">
        <v>1073</v>
      </c>
      <c r="B686" s="3" t="s">
        <v>63</v>
      </c>
      <c r="C686" s="13" t="s">
        <v>1074</v>
      </c>
      <c r="D686" s="3" t="s">
        <v>29</v>
      </c>
      <c r="E686" s="3" t="s">
        <v>16</v>
      </c>
      <c r="F686" s="3" t="s">
        <v>17</v>
      </c>
      <c r="G686" s="4">
        <v>4</v>
      </c>
      <c r="H686" s="5">
        <v>39</v>
      </c>
      <c r="I686" s="5">
        <v>5.92</v>
      </c>
      <c r="J686" s="5">
        <f t="shared" si="20"/>
        <v>150.08000000000001</v>
      </c>
      <c r="K686" s="3" t="s">
        <v>44</v>
      </c>
    </row>
    <row r="687" spans="1:11" x14ac:dyDescent="0.25">
      <c r="A687" s="6" t="s">
        <v>1075</v>
      </c>
      <c r="B687" s="7" t="s">
        <v>71</v>
      </c>
      <c r="C687" s="14" t="s">
        <v>1076</v>
      </c>
      <c r="D687" s="7" t="s">
        <v>29</v>
      </c>
      <c r="E687" s="7" t="s">
        <v>16</v>
      </c>
      <c r="F687" s="7" t="s">
        <v>116</v>
      </c>
      <c r="G687" s="8">
        <v>5</v>
      </c>
      <c r="H687" s="9">
        <v>45</v>
      </c>
      <c r="I687" s="9">
        <v>1.81</v>
      </c>
      <c r="J687" s="9">
        <f t="shared" si="20"/>
        <v>223.19</v>
      </c>
      <c r="K687" s="7" t="s">
        <v>69</v>
      </c>
    </row>
    <row r="688" spans="1:11" x14ac:dyDescent="0.25">
      <c r="A688" s="2" t="s">
        <v>1077</v>
      </c>
      <c r="B688" s="3" t="s">
        <v>95</v>
      </c>
      <c r="C688" s="13" t="s">
        <v>975</v>
      </c>
      <c r="D688" s="3" t="s">
        <v>39</v>
      </c>
      <c r="E688" s="3" t="s">
        <v>23</v>
      </c>
      <c r="F688" s="3" t="s">
        <v>24</v>
      </c>
      <c r="G688" s="4">
        <v>4</v>
      </c>
      <c r="H688" s="5">
        <v>180</v>
      </c>
      <c r="I688" s="5">
        <v>40.5</v>
      </c>
      <c r="J688" s="5">
        <f t="shared" si="20"/>
        <v>679.5</v>
      </c>
      <c r="K688" s="3" t="s">
        <v>69</v>
      </c>
    </row>
    <row r="689" spans="1:11" x14ac:dyDescent="0.25">
      <c r="A689" s="6" t="s">
        <v>1078</v>
      </c>
      <c r="B689" s="7" t="s">
        <v>27</v>
      </c>
      <c r="C689" s="14" t="s">
        <v>51</v>
      </c>
      <c r="D689" s="7" t="s">
        <v>22</v>
      </c>
      <c r="E689" s="7" t="s">
        <v>23</v>
      </c>
      <c r="F689" s="7" t="s">
        <v>48</v>
      </c>
      <c r="G689" s="8">
        <v>4</v>
      </c>
      <c r="H689" s="9">
        <v>450</v>
      </c>
      <c r="I689" s="9">
        <v>123.46</v>
      </c>
      <c r="J689" s="9">
        <f t="shared" si="20"/>
        <v>1676.54</v>
      </c>
      <c r="K689" s="7" t="s">
        <v>89</v>
      </c>
    </row>
    <row r="690" spans="1:11" x14ac:dyDescent="0.25">
      <c r="A690" s="2" t="s">
        <v>1079</v>
      </c>
      <c r="B690" s="3" t="s">
        <v>37</v>
      </c>
      <c r="C690" s="13" t="s">
        <v>111</v>
      </c>
      <c r="D690" s="3" t="s">
        <v>22</v>
      </c>
      <c r="E690" s="3" t="s">
        <v>16</v>
      </c>
      <c r="F690" s="3" t="s">
        <v>17</v>
      </c>
      <c r="G690" s="4">
        <v>4</v>
      </c>
      <c r="H690" s="5">
        <v>39</v>
      </c>
      <c r="I690" s="5">
        <v>6.95</v>
      </c>
      <c r="J690" s="5">
        <f t="shared" si="20"/>
        <v>149.05000000000001</v>
      </c>
      <c r="K690" s="3" t="s">
        <v>25</v>
      </c>
    </row>
    <row r="691" spans="1:11" x14ac:dyDescent="0.25">
      <c r="A691" s="6" t="s">
        <v>1080</v>
      </c>
      <c r="B691" s="7" t="s">
        <v>55</v>
      </c>
      <c r="C691" s="14" t="s">
        <v>1081</v>
      </c>
      <c r="D691" s="7" t="s">
        <v>22</v>
      </c>
      <c r="E691" s="7" t="s">
        <v>16</v>
      </c>
      <c r="F691" s="7" t="s">
        <v>103</v>
      </c>
      <c r="G691" s="8">
        <v>4</v>
      </c>
      <c r="H691" s="9">
        <v>89</v>
      </c>
      <c r="I691" s="9">
        <v>0</v>
      </c>
      <c r="J691" s="9">
        <f t="shared" si="20"/>
        <v>356</v>
      </c>
      <c r="K691" s="7" t="s">
        <v>49</v>
      </c>
    </row>
    <row r="692" spans="1:11" x14ac:dyDescent="0.25">
      <c r="A692" s="2" t="s">
        <v>1082</v>
      </c>
      <c r="B692" s="3" t="s">
        <v>13</v>
      </c>
      <c r="C692" s="13" t="s">
        <v>239</v>
      </c>
      <c r="D692" s="3" t="s">
        <v>22</v>
      </c>
      <c r="E692" s="3" t="s">
        <v>30</v>
      </c>
      <c r="F692" s="3" t="s">
        <v>31</v>
      </c>
      <c r="G692" s="4">
        <v>2</v>
      </c>
      <c r="H692" s="5">
        <v>2500</v>
      </c>
      <c r="I692" s="5">
        <v>0</v>
      </c>
      <c r="J692" s="5">
        <f t="shared" si="20"/>
        <v>5000</v>
      </c>
      <c r="K692" s="3" t="s">
        <v>65</v>
      </c>
    </row>
    <row r="693" spans="1:11" x14ac:dyDescent="0.25">
      <c r="A693" s="6" t="s">
        <v>1083</v>
      </c>
      <c r="B693" s="7" t="s">
        <v>34</v>
      </c>
      <c r="C693" s="14" t="s">
        <v>1084</v>
      </c>
      <c r="D693" s="7" t="s">
        <v>29</v>
      </c>
      <c r="E693" s="7" t="s">
        <v>52</v>
      </c>
      <c r="F693" s="7" t="s">
        <v>75</v>
      </c>
      <c r="G693" s="8">
        <v>3</v>
      </c>
      <c r="H693" s="9">
        <v>249</v>
      </c>
      <c r="I693" s="9">
        <v>0</v>
      </c>
      <c r="J693" s="9">
        <f t="shared" si="20"/>
        <v>747</v>
      </c>
      <c r="K693" s="7" t="s">
        <v>18</v>
      </c>
    </row>
    <row r="694" spans="1:11" x14ac:dyDescent="0.25">
      <c r="A694" s="2" t="s">
        <v>1085</v>
      </c>
      <c r="B694" s="3" t="s">
        <v>37</v>
      </c>
      <c r="C694" s="13" t="s">
        <v>449</v>
      </c>
      <c r="D694" s="3" t="s">
        <v>29</v>
      </c>
      <c r="E694" s="3" t="s">
        <v>52</v>
      </c>
      <c r="F694" s="3" t="s">
        <v>99</v>
      </c>
      <c r="G694" s="4">
        <v>1</v>
      </c>
      <c r="H694" s="5">
        <v>79</v>
      </c>
      <c r="I694" s="5">
        <v>11.23</v>
      </c>
      <c r="J694" s="5">
        <f t="shared" si="20"/>
        <v>67.77</v>
      </c>
      <c r="K694" s="3" t="s">
        <v>18</v>
      </c>
    </row>
    <row r="695" spans="1:11" x14ac:dyDescent="0.25">
      <c r="A695" s="6" t="s">
        <v>1086</v>
      </c>
      <c r="B695" s="7" t="s">
        <v>95</v>
      </c>
      <c r="C695" s="14" t="s">
        <v>752</v>
      </c>
      <c r="D695" s="7" t="s">
        <v>39</v>
      </c>
      <c r="E695" s="7" t="s">
        <v>52</v>
      </c>
      <c r="F695" s="7" t="s">
        <v>53</v>
      </c>
      <c r="G695" s="8">
        <v>4</v>
      </c>
      <c r="H695" s="9">
        <v>149</v>
      </c>
      <c r="I695" s="9">
        <v>0</v>
      </c>
      <c r="J695" s="9">
        <f t="shared" si="20"/>
        <v>596</v>
      </c>
      <c r="K695" s="7" t="s">
        <v>44</v>
      </c>
    </row>
    <row r="696" spans="1:11" x14ac:dyDescent="0.25">
      <c r="A696" s="2" t="s">
        <v>1087</v>
      </c>
      <c r="B696" s="3" t="s">
        <v>41</v>
      </c>
      <c r="C696" s="13" t="s">
        <v>248</v>
      </c>
      <c r="D696" s="3" t="s">
        <v>39</v>
      </c>
      <c r="E696" s="3" t="s">
        <v>30</v>
      </c>
      <c r="F696" s="3" t="s">
        <v>31</v>
      </c>
      <c r="G696" s="4">
        <v>1</v>
      </c>
      <c r="H696" s="5">
        <v>2500</v>
      </c>
      <c r="I696" s="5">
        <v>0</v>
      </c>
      <c r="J696" s="5">
        <f t="shared" si="20"/>
        <v>2500</v>
      </c>
      <c r="K696" s="3" t="s">
        <v>32</v>
      </c>
    </row>
    <row r="697" spans="1:11" x14ac:dyDescent="0.25">
      <c r="A697" s="6" t="s">
        <v>1088</v>
      </c>
      <c r="B697" s="7" t="s">
        <v>55</v>
      </c>
      <c r="C697" s="14" t="s">
        <v>1058</v>
      </c>
      <c r="D697" s="7" t="s">
        <v>29</v>
      </c>
      <c r="E697" s="7" t="s">
        <v>16</v>
      </c>
      <c r="F697" s="7" t="s">
        <v>78</v>
      </c>
      <c r="G697" s="8">
        <v>2</v>
      </c>
      <c r="H697" s="9">
        <v>59</v>
      </c>
      <c r="I697" s="9">
        <v>11.89</v>
      </c>
      <c r="J697" s="9">
        <f t="shared" si="20"/>
        <v>106.11</v>
      </c>
      <c r="K697" s="7" t="s">
        <v>18</v>
      </c>
    </row>
    <row r="698" spans="1:11" x14ac:dyDescent="0.25">
      <c r="A698" s="2" t="s">
        <v>1089</v>
      </c>
      <c r="B698" s="3" t="s">
        <v>27</v>
      </c>
      <c r="C698" s="13" t="s">
        <v>1090</v>
      </c>
      <c r="D698" s="3" t="s">
        <v>47</v>
      </c>
      <c r="E698" s="3" t="s">
        <v>52</v>
      </c>
      <c r="F698" s="3" t="s">
        <v>75</v>
      </c>
      <c r="G698" s="4">
        <v>5</v>
      </c>
      <c r="H698" s="5">
        <v>249</v>
      </c>
      <c r="I698" s="5">
        <v>0</v>
      </c>
      <c r="J698" s="5">
        <f t="shared" si="20"/>
        <v>1245</v>
      </c>
      <c r="K698" s="3" t="s">
        <v>69</v>
      </c>
    </row>
    <row r="699" spans="1:11" x14ac:dyDescent="0.25">
      <c r="A699" s="6" t="s">
        <v>1091</v>
      </c>
      <c r="B699" s="7" t="s">
        <v>95</v>
      </c>
      <c r="C699" s="14" t="s">
        <v>458</v>
      </c>
      <c r="D699" s="7" t="s">
        <v>47</v>
      </c>
      <c r="E699" s="7" t="s">
        <v>16</v>
      </c>
      <c r="F699" s="7" t="s">
        <v>17</v>
      </c>
      <c r="G699" s="8">
        <v>5</v>
      </c>
      <c r="H699" s="9">
        <v>39</v>
      </c>
      <c r="I699" s="9">
        <v>17.899999999999999</v>
      </c>
      <c r="J699" s="9">
        <f t="shared" si="20"/>
        <v>177.1</v>
      </c>
      <c r="K699" s="7" t="s">
        <v>32</v>
      </c>
    </row>
    <row r="700" spans="1:11" x14ac:dyDescent="0.25">
      <c r="A700" s="2" t="s">
        <v>1092</v>
      </c>
      <c r="B700" s="3" t="s">
        <v>20</v>
      </c>
      <c r="C700" s="13" t="s">
        <v>566</v>
      </c>
      <c r="D700" s="3" t="s">
        <v>29</v>
      </c>
      <c r="E700" s="3" t="s">
        <v>23</v>
      </c>
      <c r="F700" s="3" t="s">
        <v>24</v>
      </c>
      <c r="G700" s="4">
        <v>3</v>
      </c>
      <c r="H700" s="5">
        <v>180</v>
      </c>
      <c r="I700" s="5">
        <v>0</v>
      </c>
      <c r="J700" s="5">
        <f t="shared" si="20"/>
        <v>540</v>
      </c>
      <c r="K700" s="3" t="s">
        <v>65</v>
      </c>
    </row>
    <row r="701" spans="1:11" x14ac:dyDescent="0.25">
      <c r="A701" s="6" t="s">
        <v>1093</v>
      </c>
      <c r="B701" s="7" t="s">
        <v>110</v>
      </c>
      <c r="C701" s="14" t="s">
        <v>1094</v>
      </c>
      <c r="D701" s="7" t="s">
        <v>15</v>
      </c>
      <c r="E701" s="7" t="s">
        <v>30</v>
      </c>
      <c r="F701" s="7" t="s">
        <v>106</v>
      </c>
      <c r="G701" s="8">
        <v>3</v>
      </c>
      <c r="H701" s="9">
        <v>299</v>
      </c>
      <c r="I701" s="9">
        <v>111.34</v>
      </c>
      <c r="J701" s="9">
        <f t="shared" si="20"/>
        <v>785.66</v>
      </c>
      <c r="K701" s="7" t="s">
        <v>65</v>
      </c>
    </row>
    <row r="702" spans="1:11" x14ac:dyDescent="0.25">
      <c r="A702" s="2" t="s">
        <v>1095</v>
      </c>
      <c r="B702" s="3" t="s">
        <v>27</v>
      </c>
      <c r="C702" s="13" t="s">
        <v>1029</v>
      </c>
      <c r="D702" s="3" t="s">
        <v>22</v>
      </c>
      <c r="E702" s="3" t="s">
        <v>30</v>
      </c>
      <c r="F702" s="3" t="s">
        <v>152</v>
      </c>
      <c r="G702" s="4">
        <v>4</v>
      </c>
      <c r="H702" s="5">
        <v>4500</v>
      </c>
      <c r="I702" s="5">
        <v>1000.24</v>
      </c>
      <c r="J702" s="5">
        <f t="shared" si="20"/>
        <v>16999.759999999998</v>
      </c>
      <c r="K702" s="3" t="s">
        <v>65</v>
      </c>
    </row>
    <row r="703" spans="1:11" x14ac:dyDescent="0.25">
      <c r="A703" s="6" t="s">
        <v>1096</v>
      </c>
      <c r="B703" s="7" t="s">
        <v>34</v>
      </c>
      <c r="C703" s="14" t="s">
        <v>120</v>
      </c>
      <c r="D703" s="7" t="s">
        <v>39</v>
      </c>
      <c r="E703" s="7" t="s">
        <v>52</v>
      </c>
      <c r="F703" s="7" t="s">
        <v>99</v>
      </c>
      <c r="G703" s="8">
        <v>5</v>
      </c>
      <c r="H703" s="9">
        <v>79</v>
      </c>
      <c r="I703" s="9">
        <v>0</v>
      </c>
      <c r="J703" s="9">
        <f t="shared" si="20"/>
        <v>395</v>
      </c>
      <c r="K703" s="7" t="s">
        <v>89</v>
      </c>
    </row>
    <row r="704" spans="1:11" x14ac:dyDescent="0.25">
      <c r="A704" s="2" t="s">
        <v>1097</v>
      </c>
      <c r="B704" s="3" t="s">
        <v>110</v>
      </c>
      <c r="C704" s="13" t="s">
        <v>346</v>
      </c>
      <c r="D704" s="3" t="s">
        <v>29</v>
      </c>
      <c r="E704" s="3" t="s">
        <v>30</v>
      </c>
      <c r="F704" s="3" t="s">
        <v>68</v>
      </c>
      <c r="G704" s="4">
        <v>1</v>
      </c>
      <c r="H704" s="5">
        <v>799</v>
      </c>
      <c r="I704" s="5">
        <v>40.880000000000003</v>
      </c>
      <c r="J704" s="5">
        <f t="shared" si="20"/>
        <v>758.12</v>
      </c>
      <c r="K704" s="3" t="s">
        <v>25</v>
      </c>
    </row>
    <row r="705" spans="1:11" x14ac:dyDescent="0.25">
      <c r="A705" s="6" t="s">
        <v>1098</v>
      </c>
      <c r="B705" s="7" t="s">
        <v>27</v>
      </c>
      <c r="C705" s="14" t="s">
        <v>789</v>
      </c>
      <c r="D705" s="7" t="s">
        <v>22</v>
      </c>
      <c r="E705" s="7" t="s">
        <v>30</v>
      </c>
      <c r="F705" s="7" t="s">
        <v>152</v>
      </c>
      <c r="G705" s="8">
        <v>2</v>
      </c>
      <c r="H705" s="9">
        <v>4500</v>
      </c>
      <c r="I705" s="9">
        <v>0</v>
      </c>
      <c r="J705" s="9">
        <f t="shared" si="20"/>
        <v>9000</v>
      </c>
      <c r="K705" s="7" t="s">
        <v>18</v>
      </c>
    </row>
    <row r="706" spans="1:11" x14ac:dyDescent="0.25">
      <c r="A706" s="2" t="s">
        <v>1099</v>
      </c>
      <c r="B706" s="3" t="s">
        <v>41</v>
      </c>
      <c r="C706" s="13" t="s">
        <v>220</v>
      </c>
      <c r="D706" s="3" t="s">
        <v>22</v>
      </c>
      <c r="E706" s="3" t="s">
        <v>16</v>
      </c>
      <c r="F706" s="3" t="s">
        <v>116</v>
      </c>
      <c r="G706" s="4">
        <v>2</v>
      </c>
      <c r="H706" s="5">
        <v>45</v>
      </c>
      <c r="I706" s="5">
        <v>0</v>
      </c>
      <c r="J706" s="5">
        <f t="shared" si="20"/>
        <v>90</v>
      </c>
      <c r="K706" s="3" t="s">
        <v>18</v>
      </c>
    </row>
    <row r="707" spans="1:11" x14ac:dyDescent="0.25">
      <c r="A707" s="6" t="s">
        <v>1100</v>
      </c>
      <c r="B707" s="7" t="s">
        <v>34</v>
      </c>
      <c r="C707" s="14" t="s">
        <v>1101</v>
      </c>
      <c r="D707" s="7" t="s">
        <v>39</v>
      </c>
      <c r="E707" s="7" t="s">
        <v>23</v>
      </c>
      <c r="F707" s="7" t="s">
        <v>24</v>
      </c>
      <c r="G707" s="8">
        <v>1</v>
      </c>
      <c r="H707" s="9">
        <v>180</v>
      </c>
      <c r="I707" s="9">
        <v>14.85</v>
      </c>
      <c r="J707" s="9">
        <f t="shared" si="20"/>
        <v>165.15</v>
      </c>
      <c r="K707" s="7" t="s">
        <v>44</v>
      </c>
    </row>
    <row r="708" spans="1:11" x14ac:dyDescent="0.25">
      <c r="A708" s="2" t="s">
        <v>1102</v>
      </c>
      <c r="B708" s="3" t="s">
        <v>277</v>
      </c>
      <c r="C708" s="13" t="s">
        <v>612</v>
      </c>
      <c r="D708" s="3" t="s">
        <v>29</v>
      </c>
      <c r="E708" s="3" t="s">
        <v>23</v>
      </c>
      <c r="F708" s="3" t="s">
        <v>43</v>
      </c>
      <c r="G708" s="4">
        <v>4</v>
      </c>
      <c r="H708" s="5">
        <v>350</v>
      </c>
      <c r="I708" s="5">
        <v>114.27</v>
      </c>
      <c r="J708" s="5">
        <f t="shared" si="20"/>
        <v>1285.73</v>
      </c>
      <c r="K708" s="3" t="s">
        <v>32</v>
      </c>
    </row>
    <row r="709" spans="1:11" x14ac:dyDescent="0.25">
      <c r="A709" s="6" t="s">
        <v>1103</v>
      </c>
      <c r="B709" s="7" t="s">
        <v>110</v>
      </c>
      <c r="C709" s="14" t="s">
        <v>202</v>
      </c>
      <c r="D709" s="7" t="s">
        <v>39</v>
      </c>
      <c r="E709" s="7" t="s">
        <v>52</v>
      </c>
      <c r="F709" s="7" t="s">
        <v>75</v>
      </c>
      <c r="G709" s="8">
        <v>1</v>
      </c>
      <c r="H709" s="9">
        <v>249</v>
      </c>
      <c r="I709" s="9">
        <v>25.57</v>
      </c>
      <c r="J709" s="9">
        <f t="shared" si="20"/>
        <v>223.43</v>
      </c>
      <c r="K709" s="7" t="s">
        <v>49</v>
      </c>
    </row>
    <row r="710" spans="1:11" x14ac:dyDescent="0.25">
      <c r="A710" s="2" t="s">
        <v>1104</v>
      </c>
      <c r="B710" s="3" t="s">
        <v>63</v>
      </c>
      <c r="C710" s="13" t="s">
        <v>105</v>
      </c>
      <c r="D710" s="3" t="s">
        <v>15</v>
      </c>
      <c r="E710" s="3" t="s">
        <v>30</v>
      </c>
      <c r="F710" s="3" t="s">
        <v>31</v>
      </c>
      <c r="G710" s="4">
        <v>2</v>
      </c>
      <c r="H710" s="5">
        <v>2500</v>
      </c>
      <c r="I710" s="5">
        <v>112.23</v>
      </c>
      <c r="J710" s="5">
        <f t="shared" si="20"/>
        <v>4887.7700000000004</v>
      </c>
      <c r="K710" s="3" t="s">
        <v>25</v>
      </c>
    </row>
    <row r="711" spans="1:11" x14ac:dyDescent="0.25">
      <c r="A711" s="6" t="s">
        <v>1105</v>
      </c>
      <c r="B711" s="7" t="s">
        <v>101</v>
      </c>
      <c r="C711" s="14" t="s">
        <v>449</v>
      </c>
      <c r="D711" s="7" t="s">
        <v>47</v>
      </c>
      <c r="E711" s="7" t="s">
        <v>52</v>
      </c>
      <c r="F711" s="7" t="s">
        <v>53</v>
      </c>
      <c r="G711" s="8">
        <v>4</v>
      </c>
      <c r="H711" s="9">
        <v>149</v>
      </c>
      <c r="I711" s="9">
        <v>0</v>
      </c>
      <c r="J711" s="9">
        <f t="shared" si="20"/>
        <v>596</v>
      </c>
      <c r="K711" s="7" t="s">
        <v>49</v>
      </c>
    </row>
    <row r="712" spans="1:11" x14ac:dyDescent="0.25">
      <c r="A712" s="2" t="s">
        <v>1106</v>
      </c>
      <c r="B712" s="3" t="s">
        <v>37</v>
      </c>
      <c r="C712" s="13" t="s">
        <v>446</v>
      </c>
      <c r="D712" s="3" t="s">
        <v>15</v>
      </c>
      <c r="E712" s="3" t="s">
        <v>23</v>
      </c>
      <c r="F712" s="3" t="s">
        <v>48</v>
      </c>
      <c r="G712" s="4">
        <v>2</v>
      </c>
      <c r="H712" s="5">
        <v>450</v>
      </c>
      <c r="I712" s="5">
        <v>9.5500000000000007</v>
      </c>
      <c r="J712" s="5">
        <f t="shared" si="20"/>
        <v>890.45</v>
      </c>
      <c r="K712" s="3" t="s">
        <v>69</v>
      </c>
    </row>
    <row r="713" spans="1:11" x14ac:dyDescent="0.25">
      <c r="A713" s="6" t="s">
        <v>1107</v>
      </c>
      <c r="B713" s="7" t="s">
        <v>34</v>
      </c>
      <c r="C713" s="14" t="s">
        <v>650</v>
      </c>
      <c r="D713" s="7" t="s">
        <v>22</v>
      </c>
      <c r="E713" s="7" t="s">
        <v>30</v>
      </c>
      <c r="F713" s="7" t="s">
        <v>68</v>
      </c>
      <c r="G713" s="8">
        <v>3</v>
      </c>
      <c r="H713" s="9">
        <v>799</v>
      </c>
      <c r="I713" s="9">
        <v>0</v>
      </c>
      <c r="J713" s="9">
        <f t="shared" si="20"/>
        <v>2397</v>
      </c>
      <c r="K713" s="7" t="s">
        <v>65</v>
      </c>
    </row>
    <row r="714" spans="1:11" x14ac:dyDescent="0.25">
      <c r="A714" s="2" t="s">
        <v>1108</v>
      </c>
      <c r="B714" s="3" t="s">
        <v>27</v>
      </c>
      <c r="C714" s="13" t="s">
        <v>280</v>
      </c>
      <c r="D714" s="3" t="s">
        <v>39</v>
      </c>
      <c r="E714" s="3" t="s">
        <v>30</v>
      </c>
      <c r="F714" s="3" t="s">
        <v>68</v>
      </c>
      <c r="G714" s="4">
        <v>5</v>
      </c>
      <c r="H714" s="5">
        <v>799</v>
      </c>
      <c r="I714" s="5">
        <v>0</v>
      </c>
      <c r="J714" s="5">
        <f t="shared" si="20"/>
        <v>3995</v>
      </c>
      <c r="K714" s="3" t="s">
        <v>44</v>
      </c>
    </row>
    <row r="715" spans="1:11" x14ac:dyDescent="0.25">
      <c r="A715" s="6" t="s">
        <v>1109</v>
      </c>
      <c r="B715" s="7" t="s">
        <v>55</v>
      </c>
      <c r="C715" s="14" t="s">
        <v>384</v>
      </c>
      <c r="D715" s="7" t="s">
        <v>29</v>
      </c>
      <c r="E715" s="7" t="s">
        <v>52</v>
      </c>
      <c r="F715" s="7" t="s">
        <v>75</v>
      </c>
      <c r="G715" s="8">
        <v>2</v>
      </c>
      <c r="H715" s="9">
        <v>249</v>
      </c>
      <c r="I715" s="9">
        <v>15.5</v>
      </c>
      <c r="J715" s="9">
        <f t="shared" si="20"/>
        <v>482.5</v>
      </c>
      <c r="K715" s="7" t="s">
        <v>44</v>
      </c>
    </row>
    <row r="716" spans="1:11" x14ac:dyDescent="0.25">
      <c r="A716" s="2" t="s">
        <v>1110</v>
      </c>
      <c r="B716" s="3" t="s">
        <v>71</v>
      </c>
      <c r="C716" s="13" t="s">
        <v>484</v>
      </c>
      <c r="D716" s="3" t="s">
        <v>22</v>
      </c>
      <c r="E716" s="3" t="s">
        <v>16</v>
      </c>
      <c r="F716" s="3" t="s">
        <v>116</v>
      </c>
      <c r="G716" s="4">
        <v>3</v>
      </c>
      <c r="H716" s="5">
        <v>45</v>
      </c>
      <c r="I716" s="5">
        <v>2.96</v>
      </c>
      <c r="J716" s="5">
        <f t="shared" ref="J716:J779" si="21">(G716*H716)-I716</f>
        <v>132.04</v>
      </c>
      <c r="K716" s="3" t="s">
        <v>25</v>
      </c>
    </row>
    <row r="717" spans="1:11" x14ac:dyDescent="0.25">
      <c r="A717" s="6" t="s">
        <v>1111</v>
      </c>
      <c r="B717" s="7" t="s">
        <v>37</v>
      </c>
      <c r="C717" s="14" t="s">
        <v>1112</v>
      </c>
      <c r="D717" s="7" t="s">
        <v>39</v>
      </c>
      <c r="E717" s="7" t="s">
        <v>30</v>
      </c>
      <c r="F717" s="7" t="s">
        <v>106</v>
      </c>
      <c r="G717" s="8">
        <v>3</v>
      </c>
      <c r="H717" s="9">
        <v>299</v>
      </c>
      <c r="I717" s="9">
        <v>99.19</v>
      </c>
      <c r="J717" s="9">
        <f t="shared" si="21"/>
        <v>797.81</v>
      </c>
      <c r="K717" s="7" t="s">
        <v>89</v>
      </c>
    </row>
    <row r="718" spans="1:11" x14ac:dyDescent="0.25">
      <c r="A718" s="2" t="s">
        <v>1113</v>
      </c>
      <c r="B718" s="3" t="s">
        <v>27</v>
      </c>
      <c r="C718" s="13" t="s">
        <v>394</v>
      </c>
      <c r="D718" s="3" t="s">
        <v>15</v>
      </c>
      <c r="E718" s="3" t="s">
        <v>16</v>
      </c>
      <c r="F718" s="3" t="s">
        <v>78</v>
      </c>
      <c r="G718" s="4">
        <v>4</v>
      </c>
      <c r="H718" s="5">
        <v>59</v>
      </c>
      <c r="I718" s="5">
        <v>0</v>
      </c>
      <c r="J718" s="5">
        <f t="shared" si="21"/>
        <v>236</v>
      </c>
      <c r="K718" s="3" t="s">
        <v>49</v>
      </c>
    </row>
    <row r="719" spans="1:11" x14ac:dyDescent="0.25">
      <c r="A719" s="6" t="s">
        <v>1114</v>
      </c>
      <c r="B719" s="7"/>
      <c r="C719" s="14" t="s">
        <v>371</v>
      </c>
      <c r="D719" s="7" t="s">
        <v>22</v>
      </c>
      <c r="E719" s="7" t="s">
        <v>16</v>
      </c>
      <c r="F719" s="7" t="s">
        <v>103</v>
      </c>
      <c r="G719" s="8">
        <v>3</v>
      </c>
      <c r="H719" s="9">
        <v>89</v>
      </c>
      <c r="I719" s="9">
        <v>0</v>
      </c>
      <c r="J719" s="9">
        <f t="shared" si="21"/>
        <v>267</v>
      </c>
      <c r="K719" s="7" t="s">
        <v>25</v>
      </c>
    </row>
    <row r="720" spans="1:11" x14ac:dyDescent="0.25">
      <c r="A720" s="2" t="s">
        <v>1115</v>
      </c>
      <c r="B720" s="3" t="s">
        <v>37</v>
      </c>
      <c r="C720" s="13" t="s">
        <v>1116</v>
      </c>
      <c r="D720" s="3" t="s">
        <v>47</v>
      </c>
      <c r="E720" s="3" t="s">
        <v>30</v>
      </c>
      <c r="F720" s="3" t="s">
        <v>152</v>
      </c>
      <c r="G720" s="4">
        <v>1</v>
      </c>
      <c r="H720" s="5">
        <v>4500</v>
      </c>
      <c r="I720" s="5">
        <v>0</v>
      </c>
      <c r="J720" s="5">
        <f t="shared" si="21"/>
        <v>4500</v>
      </c>
      <c r="K720" s="3" t="s">
        <v>25</v>
      </c>
    </row>
    <row r="721" spans="1:11" x14ac:dyDescent="0.25">
      <c r="A721" s="6" t="s">
        <v>1117</v>
      </c>
      <c r="B721" s="7" t="s">
        <v>55</v>
      </c>
      <c r="C721" s="14" t="s">
        <v>360</v>
      </c>
      <c r="D721" s="7" t="s">
        <v>15</v>
      </c>
      <c r="E721" s="7" t="s">
        <v>52</v>
      </c>
      <c r="F721" s="7" t="s">
        <v>61</v>
      </c>
      <c r="G721" s="8">
        <v>4</v>
      </c>
      <c r="H721" s="9">
        <v>199</v>
      </c>
      <c r="I721" s="9">
        <v>0</v>
      </c>
      <c r="J721" s="9">
        <f t="shared" si="21"/>
        <v>796</v>
      </c>
      <c r="K721" s="7" t="s">
        <v>25</v>
      </c>
    </row>
    <row r="722" spans="1:11" x14ac:dyDescent="0.25">
      <c r="A722" s="2" t="s">
        <v>1118</v>
      </c>
      <c r="B722" s="3" t="s">
        <v>13</v>
      </c>
      <c r="C722" s="13" t="s">
        <v>1119</v>
      </c>
      <c r="D722" s="3" t="s">
        <v>22</v>
      </c>
      <c r="E722" s="3" t="s">
        <v>30</v>
      </c>
      <c r="F722" s="3" t="s">
        <v>106</v>
      </c>
      <c r="G722" s="4">
        <v>5</v>
      </c>
      <c r="H722" s="5">
        <v>299</v>
      </c>
      <c r="I722" s="5">
        <v>0</v>
      </c>
      <c r="J722" s="5">
        <f t="shared" si="21"/>
        <v>1495</v>
      </c>
      <c r="K722" s="3" t="s">
        <v>32</v>
      </c>
    </row>
    <row r="723" spans="1:11" x14ac:dyDescent="0.25">
      <c r="A723" s="6" t="s">
        <v>1120</v>
      </c>
      <c r="B723" s="7" t="s">
        <v>63</v>
      </c>
      <c r="C723" s="14" t="s">
        <v>427</v>
      </c>
      <c r="D723" s="7" t="s">
        <v>39</v>
      </c>
      <c r="E723" s="7" t="s">
        <v>52</v>
      </c>
      <c r="F723" s="7" t="s">
        <v>75</v>
      </c>
      <c r="G723" s="8">
        <v>5</v>
      </c>
      <c r="H723" s="9">
        <v>249</v>
      </c>
      <c r="I723" s="9">
        <v>0</v>
      </c>
      <c r="J723" s="9">
        <f t="shared" si="21"/>
        <v>1245</v>
      </c>
      <c r="K723" s="7" t="s">
        <v>69</v>
      </c>
    </row>
    <row r="724" spans="1:11" x14ac:dyDescent="0.25">
      <c r="A724" s="2" t="s">
        <v>1121</v>
      </c>
      <c r="B724" s="3" t="s">
        <v>71</v>
      </c>
      <c r="C724" s="13" t="s">
        <v>1122</v>
      </c>
      <c r="D724" s="3" t="s">
        <v>15</v>
      </c>
      <c r="E724" s="3" t="s">
        <v>16</v>
      </c>
      <c r="F724" s="3" t="s">
        <v>78</v>
      </c>
      <c r="G724" s="4">
        <v>4</v>
      </c>
      <c r="H724" s="5">
        <v>59</v>
      </c>
      <c r="I724" s="5">
        <v>7.0000000000000007E-2</v>
      </c>
      <c r="J724" s="5">
        <f t="shared" si="21"/>
        <v>235.93</v>
      </c>
      <c r="K724" s="3" t="s">
        <v>32</v>
      </c>
    </row>
    <row r="725" spans="1:11" x14ac:dyDescent="0.25">
      <c r="A725" s="6" t="s">
        <v>1123</v>
      </c>
      <c r="B725" s="7" t="s">
        <v>110</v>
      </c>
      <c r="C725" s="14" t="s">
        <v>501</v>
      </c>
      <c r="D725" s="7" t="s">
        <v>22</v>
      </c>
      <c r="E725" s="7" t="s">
        <v>52</v>
      </c>
      <c r="F725" s="7" t="s">
        <v>75</v>
      </c>
      <c r="G725" s="8">
        <v>5</v>
      </c>
      <c r="H725" s="9">
        <v>249</v>
      </c>
      <c r="I725" s="9">
        <v>0</v>
      </c>
      <c r="J725" s="9">
        <f t="shared" si="21"/>
        <v>1245</v>
      </c>
      <c r="K725" s="7" t="s">
        <v>44</v>
      </c>
    </row>
    <row r="726" spans="1:11" x14ac:dyDescent="0.25">
      <c r="A726" s="2" t="s">
        <v>1124</v>
      </c>
      <c r="B726" s="3" t="s">
        <v>101</v>
      </c>
      <c r="C726" s="13" t="s">
        <v>176</v>
      </c>
      <c r="D726" s="3" t="s">
        <v>15</v>
      </c>
      <c r="E726" s="3" t="s">
        <v>30</v>
      </c>
      <c r="F726" s="3" t="s">
        <v>31</v>
      </c>
      <c r="G726" s="4">
        <v>4</v>
      </c>
      <c r="H726" s="5">
        <v>2500</v>
      </c>
      <c r="I726" s="5">
        <v>1182.82</v>
      </c>
      <c r="J726" s="5">
        <f t="shared" si="21"/>
        <v>8817.18</v>
      </c>
      <c r="K726" s="3" t="s">
        <v>18</v>
      </c>
    </row>
    <row r="727" spans="1:11" x14ac:dyDescent="0.25">
      <c r="A727" s="6" t="s">
        <v>1125</v>
      </c>
      <c r="B727" s="7" t="s">
        <v>71</v>
      </c>
      <c r="C727" s="14" t="s">
        <v>204</v>
      </c>
      <c r="D727" s="7" t="s">
        <v>29</v>
      </c>
      <c r="E727" s="7" t="s">
        <v>52</v>
      </c>
      <c r="F727" s="7" t="s">
        <v>53</v>
      </c>
      <c r="G727" s="8">
        <v>5</v>
      </c>
      <c r="H727" s="9">
        <v>149</v>
      </c>
      <c r="I727" s="9">
        <v>0</v>
      </c>
      <c r="J727" s="9">
        <f t="shared" si="21"/>
        <v>745</v>
      </c>
      <c r="K727" s="7" t="s">
        <v>69</v>
      </c>
    </row>
    <row r="728" spans="1:11" x14ac:dyDescent="0.25">
      <c r="A728" s="2" t="s">
        <v>1126</v>
      </c>
      <c r="B728" s="3" t="s">
        <v>55</v>
      </c>
      <c r="C728" s="13" t="s">
        <v>497</v>
      </c>
      <c r="D728" s="3" t="s">
        <v>22</v>
      </c>
      <c r="E728" s="3" t="s">
        <v>16</v>
      </c>
      <c r="F728" s="3" t="s">
        <v>116</v>
      </c>
      <c r="G728" s="4">
        <v>3</v>
      </c>
      <c r="H728" s="5">
        <v>45</v>
      </c>
      <c r="I728" s="5">
        <v>0</v>
      </c>
      <c r="J728" s="5">
        <f t="shared" si="21"/>
        <v>135</v>
      </c>
      <c r="K728" s="3" t="s">
        <v>49</v>
      </c>
    </row>
    <row r="729" spans="1:11" x14ac:dyDescent="0.25">
      <c r="A729" s="6" t="s">
        <v>1127</v>
      </c>
      <c r="B729" s="7" t="s">
        <v>110</v>
      </c>
      <c r="C729" s="14" t="s">
        <v>346</v>
      </c>
      <c r="D729" s="7" t="s">
        <v>29</v>
      </c>
      <c r="E729" s="7" t="s">
        <v>16</v>
      </c>
      <c r="F729" s="7" t="s">
        <v>78</v>
      </c>
      <c r="G729" s="8">
        <v>1</v>
      </c>
      <c r="H729" s="9">
        <v>59</v>
      </c>
      <c r="I729" s="9">
        <v>0.08</v>
      </c>
      <c r="J729" s="9">
        <f t="shared" si="21"/>
        <v>58.92</v>
      </c>
      <c r="K729" s="7" t="s">
        <v>49</v>
      </c>
    </row>
    <row r="730" spans="1:11" x14ac:dyDescent="0.25">
      <c r="A730" s="2" t="s">
        <v>1128</v>
      </c>
      <c r="B730" s="3" t="s">
        <v>41</v>
      </c>
      <c r="C730" s="13" t="s">
        <v>443</v>
      </c>
      <c r="D730" s="3" t="s">
        <v>15</v>
      </c>
      <c r="E730" s="3" t="s">
        <v>23</v>
      </c>
      <c r="F730" s="3" t="s">
        <v>48</v>
      </c>
      <c r="G730" s="4">
        <v>4</v>
      </c>
      <c r="H730" s="5">
        <v>450</v>
      </c>
      <c r="I730" s="5">
        <v>0</v>
      </c>
      <c r="J730" s="5">
        <f t="shared" si="21"/>
        <v>1800</v>
      </c>
      <c r="K730" s="3" t="s">
        <v>65</v>
      </c>
    </row>
    <row r="731" spans="1:11" x14ac:dyDescent="0.25">
      <c r="A731" s="6" t="s">
        <v>1129</v>
      </c>
      <c r="B731" s="7" t="s">
        <v>101</v>
      </c>
      <c r="C731" s="14" t="s">
        <v>174</v>
      </c>
      <c r="D731" s="7" t="s">
        <v>39</v>
      </c>
      <c r="E731" s="7" t="s">
        <v>52</v>
      </c>
      <c r="F731" s="7" t="s">
        <v>99</v>
      </c>
      <c r="G731" s="8">
        <v>4</v>
      </c>
      <c r="H731" s="9">
        <v>79</v>
      </c>
      <c r="I731" s="9">
        <v>33.67</v>
      </c>
      <c r="J731" s="9">
        <f t="shared" si="21"/>
        <v>282.33</v>
      </c>
      <c r="K731" s="7" t="s">
        <v>32</v>
      </c>
    </row>
    <row r="732" spans="1:11" x14ac:dyDescent="0.25">
      <c r="A732" s="2" t="s">
        <v>1130</v>
      </c>
      <c r="B732" s="3" t="s">
        <v>34</v>
      </c>
      <c r="C732" s="13" t="s">
        <v>1018</v>
      </c>
      <c r="D732" s="3" t="s">
        <v>39</v>
      </c>
      <c r="E732" s="3" t="s">
        <v>30</v>
      </c>
      <c r="F732" s="3" t="s">
        <v>31</v>
      </c>
      <c r="G732" s="4">
        <v>5</v>
      </c>
      <c r="H732" s="5">
        <v>2500</v>
      </c>
      <c r="I732" s="5">
        <v>25.41</v>
      </c>
      <c r="J732" s="5">
        <f t="shared" si="21"/>
        <v>12474.59</v>
      </c>
      <c r="K732" s="3" t="s">
        <v>65</v>
      </c>
    </row>
    <row r="733" spans="1:11" x14ac:dyDescent="0.25">
      <c r="A733" s="6" t="s">
        <v>1131</v>
      </c>
      <c r="B733" s="7" t="s">
        <v>63</v>
      </c>
      <c r="C733" s="14" t="s">
        <v>1132</v>
      </c>
      <c r="D733" s="7" t="s">
        <v>47</v>
      </c>
      <c r="E733" s="7" t="s">
        <v>16</v>
      </c>
      <c r="F733" s="7" t="s">
        <v>78</v>
      </c>
      <c r="G733" s="8">
        <v>2</v>
      </c>
      <c r="H733" s="9">
        <v>59</v>
      </c>
      <c r="I733" s="9">
        <v>8.92</v>
      </c>
      <c r="J733" s="9">
        <f t="shared" si="21"/>
        <v>109.08</v>
      </c>
      <c r="K733" s="7" t="s">
        <v>89</v>
      </c>
    </row>
    <row r="734" spans="1:11" x14ac:dyDescent="0.25">
      <c r="A734" s="2" t="s">
        <v>1133</v>
      </c>
      <c r="B734" s="3" t="s">
        <v>110</v>
      </c>
      <c r="C734" s="13" t="s">
        <v>985</v>
      </c>
      <c r="D734" s="3" t="s">
        <v>22</v>
      </c>
      <c r="E734" s="3" t="s">
        <v>16</v>
      </c>
      <c r="F734" s="3" t="s">
        <v>78</v>
      </c>
      <c r="G734" s="4">
        <v>5</v>
      </c>
      <c r="H734" s="5">
        <v>59</v>
      </c>
      <c r="I734" s="5">
        <v>0</v>
      </c>
      <c r="J734" s="5">
        <f t="shared" si="21"/>
        <v>295</v>
      </c>
      <c r="K734" s="3" t="s">
        <v>65</v>
      </c>
    </row>
    <row r="735" spans="1:11" x14ac:dyDescent="0.25">
      <c r="A735" s="6" t="s">
        <v>1134</v>
      </c>
      <c r="B735" s="7" t="s">
        <v>27</v>
      </c>
      <c r="C735" s="14" t="s">
        <v>35</v>
      </c>
      <c r="D735" s="7" t="s">
        <v>47</v>
      </c>
      <c r="E735" s="7" t="s">
        <v>52</v>
      </c>
      <c r="F735" s="7" t="s">
        <v>75</v>
      </c>
      <c r="G735" s="8">
        <v>4</v>
      </c>
      <c r="H735" s="9">
        <v>249</v>
      </c>
      <c r="I735" s="9">
        <v>55.15</v>
      </c>
      <c r="J735" s="9">
        <f t="shared" si="21"/>
        <v>940.85</v>
      </c>
      <c r="K735" s="7" t="s">
        <v>25</v>
      </c>
    </row>
    <row r="736" spans="1:11" x14ac:dyDescent="0.25">
      <c r="A736" s="2" t="s">
        <v>1135</v>
      </c>
      <c r="B736" s="3" t="s">
        <v>63</v>
      </c>
      <c r="C736" s="13" t="s">
        <v>784</v>
      </c>
      <c r="D736" s="3" t="s">
        <v>22</v>
      </c>
      <c r="E736" s="3" t="s">
        <v>52</v>
      </c>
      <c r="F736" s="3" t="s">
        <v>99</v>
      </c>
      <c r="G736" s="4">
        <v>1</v>
      </c>
      <c r="H736" s="5">
        <v>79</v>
      </c>
      <c r="I736" s="5">
        <v>4.28</v>
      </c>
      <c r="J736" s="5">
        <f t="shared" si="21"/>
        <v>74.72</v>
      </c>
      <c r="K736" s="3" t="s">
        <v>49</v>
      </c>
    </row>
    <row r="737" spans="1:11" x14ac:dyDescent="0.25">
      <c r="A737" s="6" t="s">
        <v>1136</v>
      </c>
      <c r="B737" s="7" t="s">
        <v>27</v>
      </c>
      <c r="C737" s="14" t="s">
        <v>223</v>
      </c>
      <c r="D737" s="7" t="s">
        <v>22</v>
      </c>
      <c r="E737" s="7" t="s">
        <v>52</v>
      </c>
      <c r="F737" s="7" t="s">
        <v>61</v>
      </c>
      <c r="G737" s="8">
        <v>3</v>
      </c>
      <c r="H737" s="9">
        <v>199</v>
      </c>
      <c r="I737" s="9">
        <v>40.07</v>
      </c>
      <c r="J737" s="9">
        <f t="shared" si="21"/>
        <v>556.92999999999995</v>
      </c>
      <c r="K737" s="7" t="s">
        <v>89</v>
      </c>
    </row>
    <row r="738" spans="1:11" x14ac:dyDescent="0.25">
      <c r="A738" s="2" t="s">
        <v>1137</v>
      </c>
      <c r="B738" s="3" t="s">
        <v>55</v>
      </c>
      <c r="C738" s="13" t="s">
        <v>1081</v>
      </c>
      <c r="D738" s="3" t="s">
        <v>29</v>
      </c>
      <c r="E738" s="3" t="s">
        <v>52</v>
      </c>
      <c r="F738" s="3" t="s">
        <v>61</v>
      </c>
      <c r="G738" s="4">
        <v>2</v>
      </c>
      <c r="H738" s="5">
        <v>199</v>
      </c>
      <c r="I738" s="5">
        <v>37.93</v>
      </c>
      <c r="J738" s="5">
        <f t="shared" si="21"/>
        <v>360.07</v>
      </c>
      <c r="K738" s="3" t="s">
        <v>49</v>
      </c>
    </row>
    <row r="739" spans="1:11" x14ac:dyDescent="0.25">
      <c r="A739" s="6" t="s">
        <v>1138</v>
      </c>
      <c r="B739" s="7" t="s">
        <v>27</v>
      </c>
      <c r="C739" s="14" t="s">
        <v>1139</v>
      </c>
      <c r="D739" s="7" t="s">
        <v>15</v>
      </c>
      <c r="E739" s="7" t="s">
        <v>23</v>
      </c>
      <c r="F739" s="7" t="s">
        <v>48</v>
      </c>
      <c r="G739" s="8">
        <v>1</v>
      </c>
      <c r="H739" s="9">
        <v>450</v>
      </c>
      <c r="I739" s="9">
        <v>40.17</v>
      </c>
      <c r="J739" s="9">
        <f t="shared" si="21"/>
        <v>409.83</v>
      </c>
      <c r="K739" s="7" t="s">
        <v>65</v>
      </c>
    </row>
    <row r="740" spans="1:11" x14ac:dyDescent="0.25">
      <c r="A740" s="2" t="s">
        <v>1140</v>
      </c>
      <c r="B740" s="3" t="s">
        <v>13</v>
      </c>
      <c r="C740" s="13" t="s">
        <v>1141</v>
      </c>
      <c r="D740" s="3" t="s">
        <v>22</v>
      </c>
      <c r="E740" s="3" t="s">
        <v>30</v>
      </c>
      <c r="F740" s="3" t="s">
        <v>106</v>
      </c>
      <c r="G740" s="4">
        <v>5</v>
      </c>
      <c r="H740" s="5">
        <v>299</v>
      </c>
      <c r="I740" s="5">
        <v>40.08</v>
      </c>
      <c r="J740" s="5">
        <f t="shared" si="21"/>
        <v>1454.92</v>
      </c>
      <c r="K740" s="3" t="s">
        <v>18</v>
      </c>
    </row>
    <row r="741" spans="1:11" x14ac:dyDescent="0.25">
      <c r="A741" s="6" t="s">
        <v>1142</v>
      </c>
      <c r="B741" s="7" t="s">
        <v>71</v>
      </c>
      <c r="C741" s="14" t="s">
        <v>902</v>
      </c>
      <c r="D741" s="7" t="s">
        <v>22</v>
      </c>
      <c r="E741" s="7" t="s">
        <v>52</v>
      </c>
      <c r="F741" s="7" t="s">
        <v>99</v>
      </c>
      <c r="G741" s="8">
        <v>4</v>
      </c>
      <c r="H741" s="9">
        <v>79</v>
      </c>
      <c r="I741" s="9">
        <v>0</v>
      </c>
      <c r="J741" s="9">
        <f t="shared" si="21"/>
        <v>316</v>
      </c>
      <c r="K741" s="7" t="s">
        <v>89</v>
      </c>
    </row>
    <row r="742" spans="1:11" x14ac:dyDescent="0.25">
      <c r="A742" s="2" t="s">
        <v>1143</v>
      </c>
      <c r="B742" s="3" t="s">
        <v>71</v>
      </c>
      <c r="C742" s="13" t="s">
        <v>1144</v>
      </c>
      <c r="D742" s="3" t="s">
        <v>47</v>
      </c>
      <c r="E742" s="3" t="s">
        <v>23</v>
      </c>
      <c r="F742" s="3" t="s">
        <v>48</v>
      </c>
      <c r="G742" s="4">
        <v>2</v>
      </c>
      <c r="H742" s="5">
        <v>450</v>
      </c>
      <c r="I742" s="5">
        <v>0</v>
      </c>
      <c r="J742" s="5">
        <f t="shared" si="21"/>
        <v>900</v>
      </c>
      <c r="K742" s="3" t="s">
        <v>65</v>
      </c>
    </row>
    <row r="743" spans="1:11" x14ac:dyDescent="0.25">
      <c r="A743" s="6" t="s">
        <v>1145</v>
      </c>
      <c r="B743" s="7" t="s">
        <v>20</v>
      </c>
      <c r="C743" s="14" t="s">
        <v>501</v>
      </c>
      <c r="D743" s="7" t="s">
        <v>15</v>
      </c>
      <c r="E743" s="7" t="s">
        <v>30</v>
      </c>
      <c r="F743" s="7" t="s">
        <v>152</v>
      </c>
      <c r="G743" s="8">
        <v>1</v>
      </c>
      <c r="H743" s="9">
        <v>4500</v>
      </c>
      <c r="I743" s="9">
        <v>0</v>
      </c>
      <c r="J743" s="9">
        <f t="shared" si="21"/>
        <v>4500</v>
      </c>
      <c r="K743" s="7" t="s">
        <v>25</v>
      </c>
    </row>
    <row r="744" spans="1:11" x14ac:dyDescent="0.25">
      <c r="A744" s="2" t="s">
        <v>1146</v>
      </c>
      <c r="B744" s="3" t="s">
        <v>95</v>
      </c>
      <c r="C744" s="13" t="s">
        <v>1147</v>
      </c>
      <c r="D744" s="3" t="s">
        <v>29</v>
      </c>
      <c r="E744" s="3" t="s">
        <v>52</v>
      </c>
      <c r="F744" s="3" t="s">
        <v>75</v>
      </c>
      <c r="G744" s="4">
        <v>1</v>
      </c>
      <c r="H744" s="5">
        <v>249</v>
      </c>
      <c r="I744" s="5">
        <v>0</v>
      </c>
      <c r="J744" s="5">
        <f t="shared" si="21"/>
        <v>249</v>
      </c>
      <c r="K744" s="3" t="s">
        <v>25</v>
      </c>
    </row>
    <row r="745" spans="1:11" x14ac:dyDescent="0.25">
      <c r="A745" s="6" t="s">
        <v>1148</v>
      </c>
      <c r="B745" s="7" t="s">
        <v>13</v>
      </c>
      <c r="C745" s="14" t="s">
        <v>392</v>
      </c>
      <c r="D745" s="7" t="s">
        <v>29</v>
      </c>
      <c r="E745" s="7" t="s">
        <v>16</v>
      </c>
      <c r="F745" s="7" t="s">
        <v>78</v>
      </c>
      <c r="G745" s="8">
        <v>5</v>
      </c>
      <c r="H745" s="9">
        <v>59</v>
      </c>
      <c r="I745" s="9">
        <v>0</v>
      </c>
      <c r="J745" s="9">
        <f t="shared" si="21"/>
        <v>295</v>
      </c>
      <c r="K745" s="7" t="s">
        <v>25</v>
      </c>
    </row>
    <row r="746" spans="1:11" x14ac:dyDescent="0.25">
      <c r="A746" s="2" t="s">
        <v>1149</v>
      </c>
      <c r="B746" s="3" t="s">
        <v>95</v>
      </c>
      <c r="C746" s="13" t="s">
        <v>985</v>
      </c>
      <c r="D746" s="3" t="s">
        <v>29</v>
      </c>
      <c r="E746" s="3" t="s">
        <v>16</v>
      </c>
      <c r="F746" s="3" t="s">
        <v>116</v>
      </c>
      <c r="G746" s="4">
        <v>1</v>
      </c>
      <c r="H746" s="5">
        <v>45</v>
      </c>
      <c r="I746" s="5">
        <v>1.54</v>
      </c>
      <c r="J746" s="5">
        <f t="shared" si="21"/>
        <v>43.46</v>
      </c>
      <c r="K746" s="3" t="s">
        <v>25</v>
      </c>
    </row>
    <row r="747" spans="1:11" x14ac:dyDescent="0.25">
      <c r="A747" s="6" t="s">
        <v>1150</v>
      </c>
      <c r="B747" s="7" t="s">
        <v>20</v>
      </c>
      <c r="C747" s="14" t="s">
        <v>1151</v>
      </c>
      <c r="D747" s="7" t="s">
        <v>15</v>
      </c>
      <c r="E747" s="7" t="s">
        <v>52</v>
      </c>
      <c r="F747" s="7" t="s">
        <v>61</v>
      </c>
      <c r="G747" s="8">
        <v>1</v>
      </c>
      <c r="H747" s="9">
        <v>199</v>
      </c>
      <c r="I747" s="9">
        <v>0</v>
      </c>
      <c r="J747" s="9">
        <f t="shared" si="21"/>
        <v>199</v>
      </c>
      <c r="K747" s="7" t="s">
        <v>32</v>
      </c>
    </row>
    <row r="748" spans="1:11" x14ac:dyDescent="0.25">
      <c r="A748" s="2" t="s">
        <v>1152</v>
      </c>
      <c r="B748" s="3" t="s">
        <v>13</v>
      </c>
      <c r="C748" s="13" t="s">
        <v>1153</v>
      </c>
      <c r="D748" s="3" t="s">
        <v>15</v>
      </c>
      <c r="E748" s="3" t="s">
        <v>52</v>
      </c>
      <c r="F748" s="3" t="s">
        <v>61</v>
      </c>
      <c r="G748" s="4">
        <v>4</v>
      </c>
      <c r="H748" s="5">
        <v>199</v>
      </c>
      <c r="I748" s="5">
        <v>0</v>
      </c>
      <c r="J748" s="5">
        <f t="shared" si="21"/>
        <v>796</v>
      </c>
      <c r="K748" s="3" t="s">
        <v>44</v>
      </c>
    </row>
    <row r="749" spans="1:11" x14ac:dyDescent="0.25">
      <c r="A749" s="6" t="s">
        <v>1154</v>
      </c>
      <c r="B749" s="7" t="s">
        <v>41</v>
      </c>
      <c r="C749" s="14" t="s">
        <v>174</v>
      </c>
      <c r="D749" s="7" t="s">
        <v>22</v>
      </c>
      <c r="E749" s="7" t="s">
        <v>30</v>
      </c>
      <c r="F749" s="7" t="s">
        <v>106</v>
      </c>
      <c r="G749" s="8">
        <v>4</v>
      </c>
      <c r="H749" s="9">
        <v>299</v>
      </c>
      <c r="I749" s="9">
        <v>154.54</v>
      </c>
      <c r="J749" s="9">
        <f t="shared" si="21"/>
        <v>1041.46</v>
      </c>
      <c r="K749" s="7" t="s">
        <v>32</v>
      </c>
    </row>
    <row r="750" spans="1:11" x14ac:dyDescent="0.25">
      <c r="A750" s="2" t="s">
        <v>1155</v>
      </c>
      <c r="B750" s="3" t="s">
        <v>55</v>
      </c>
      <c r="C750" s="13" t="s">
        <v>102</v>
      </c>
      <c r="D750" s="3" t="s">
        <v>15</v>
      </c>
      <c r="E750" s="3" t="s">
        <v>16</v>
      </c>
      <c r="F750" s="3" t="s">
        <v>116</v>
      </c>
      <c r="G750" s="4">
        <v>1</v>
      </c>
      <c r="H750" s="5">
        <v>45</v>
      </c>
      <c r="I750" s="5">
        <v>0</v>
      </c>
      <c r="J750" s="5">
        <f t="shared" si="21"/>
        <v>45</v>
      </c>
      <c r="K750" s="3" t="s">
        <v>18</v>
      </c>
    </row>
    <row r="751" spans="1:11" x14ac:dyDescent="0.25">
      <c r="A751" s="6" t="s">
        <v>1156</v>
      </c>
      <c r="B751" s="7" t="s">
        <v>71</v>
      </c>
      <c r="C751" s="14" t="s">
        <v>206</v>
      </c>
      <c r="D751" s="7" t="s">
        <v>47</v>
      </c>
      <c r="E751" s="7" t="s">
        <v>16</v>
      </c>
      <c r="F751" s="7" t="s">
        <v>17</v>
      </c>
      <c r="G751" s="8">
        <v>3</v>
      </c>
      <c r="H751" s="9">
        <v>39</v>
      </c>
      <c r="I751" s="9">
        <v>0</v>
      </c>
      <c r="J751" s="9">
        <f t="shared" si="21"/>
        <v>117</v>
      </c>
      <c r="K751" s="7" t="s">
        <v>25</v>
      </c>
    </row>
    <row r="752" spans="1:11" x14ac:dyDescent="0.25">
      <c r="A752" s="2" t="s">
        <v>1157</v>
      </c>
      <c r="B752" s="3" t="s">
        <v>13</v>
      </c>
      <c r="C752" s="13" t="s">
        <v>612</v>
      </c>
      <c r="D752" s="3" t="s">
        <v>47</v>
      </c>
      <c r="E752" s="3" t="s">
        <v>16</v>
      </c>
      <c r="F752" s="3" t="s">
        <v>103</v>
      </c>
      <c r="G752" s="4">
        <v>5</v>
      </c>
      <c r="H752" s="5">
        <v>89</v>
      </c>
      <c r="I752" s="5">
        <v>16.420000000000002</v>
      </c>
      <c r="J752" s="5">
        <f t="shared" si="21"/>
        <v>428.58</v>
      </c>
      <c r="K752" s="3" t="s">
        <v>49</v>
      </c>
    </row>
    <row r="753" spans="1:11" x14ac:dyDescent="0.25">
      <c r="A753" s="6" t="s">
        <v>1158</v>
      </c>
      <c r="B753" s="7" t="s">
        <v>27</v>
      </c>
      <c r="C753" s="14" t="s">
        <v>1037</v>
      </c>
      <c r="D753" s="7" t="s">
        <v>29</v>
      </c>
      <c r="E753" s="7" t="s">
        <v>30</v>
      </c>
      <c r="F753" s="7" t="s">
        <v>106</v>
      </c>
      <c r="G753" s="8">
        <v>1</v>
      </c>
      <c r="H753" s="9">
        <v>299</v>
      </c>
      <c r="I753" s="9">
        <v>14.05</v>
      </c>
      <c r="J753" s="9">
        <f t="shared" si="21"/>
        <v>284.95</v>
      </c>
      <c r="K753" s="7" t="s">
        <v>69</v>
      </c>
    </row>
    <row r="754" spans="1:11" x14ac:dyDescent="0.25">
      <c r="A754" s="2" t="s">
        <v>1159</v>
      </c>
      <c r="B754" s="3" t="s">
        <v>34</v>
      </c>
      <c r="C754" s="13" t="s">
        <v>618</v>
      </c>
      <c r="D754" s="3" t="s">
        <v>47</v>
      </c>
      <c r="E754" s="3" t="s">
        <v>23</v>
      </c>
      <c r="F754" s="3" t="s">
        <v>43</v>
      </c>
      <c r="G754" s="4">
        <v>3</v>
      </c>
      <c r="H754" s="5">
        <v>350</v>
      </c>
      <c r="I754" s="5">
        <v>0</v>
      </c>
      <c r="J754" s="5">
        <f t="shared" si="21"/>
        <v>1050</v>
      </c>
      <c r="K754" s="3" t="s">
        <v>69</v>
      </c>
    </row>
    <row r="755" spans="1:11" x14ac:dyDescent="0.25">
      <c r="A755" s="6" t="s">
        <v>1160</v>
      </c>
      <c r="B755" s="7" t="s">
        <v>71</v>
      </c>
      <c r="C755" s="14" t="s">
        <v>157</v>
      </c>
      <c r="D755" s="7" t="s">
        <v>22</v>
      </c>
      <c r="E755" s="7" t="s">
        <v>23</v>
      </c>
      <c r="F755" s="7" t="s">
        <v>24</v>
      </c>
      <c r="G755" s="8">
        <v>4</v>
      </c>
      <c r="H755" s="9">
        <v>180</v>
      </c>
      <c r="I755" s="9">
        <v>0</v>
      </c>
      <c r="J755" s="9">
        <f t="shared" si="21"/>
        <v>720</v>
      </c>
      <c r="K755" s="7" t="s">
        <v>32</v>
      </c>
    </row>
    <row r="756" spans="1:11" x14ac:dyDescent="0.25">
      <c r="A756" s="2" t="s">
        <v>1161</v>
      </c>
      <c r="B756" s="3" t="s">
        <v>110</v>
      </c>
      <c r="C756" s="13" t="s">
        <v>93</v>
      </c>
      <c r="D756" s="3" t="s">
        <v>22</v>
      </c>
      <c r="E756" s="3" t="s">
        <v>30</v>
      </c>
      <c r="F756" s="3" t="s">
        <v>106</v>
      </c>
      <c r="G756" s="4">
        <v>3</v>
      </c>
      <c r="H756" s="5">
        <v>299</v>
      </c>
      <c r="I756" s="5">
        <v>61.02</v>
      </c>
      <c r="J756" s="5">
        <f t="shared" si="21"/>
        <v>835.98</v>
      </c>
      <c r="K756" s="3" t="s">
        <v>18</v>
      </c>
    </row>
    <row r="757" spans="1:11" x14ac:dyDescent="0.25">
      <c r="A757" s="6" t="s">
        <v>1162</v>
      </c>
      <c r="B757" s="7" t="s">
        <v>37</v>
      </c>
      <c r="C757" s="14" t="s">
        <v>1056</v>
      </c>
      <c r="D757" s="7" t="s">
        <v>39</v>
      </c>
      <c r="E757" s="7" t="s">
        <v>52</v>
      </c>
      <c r="F757" s="7" t="s">
        <v>99</v>
      </c>
      <c r="G757" s="8">
        <v>3</v>
      </c>
      <c r="H757" s="9">
        <v>79</v>
      </c>
      <c r="I757" s="9">
        <v>27.37</v>
      </c>
      <c r="J757" s="9">
        <f t="shared" si="21"/>
        <v>209.63</v>
      </c>
      <c r="K757" s="7" t="s">
        <v>32</v>
      </c>
    </row>
    <row r="758" spans="1:11" x14ac:dyDescent="0.25">
      <c r="A758" s="2" t="s">
        <v>1163</v>
      </c>
      <c r="B758" s="3" t="s">
        <v>34</v>
      </c>
      <c r="C758" s="13" t="s">
        <v>377</v>
      </c>
      <c r="D758" s="3" t="s">
        <v>39</v>
      </c>
      <c r="E758" s="3" t="s">
        <v>30</v>
      </c>
      <c r="F758" s="3" t="s">
        <v>68</v>
      </c>
      <c r="G758" s="4">
        <v>2</v>
      </c>
      <c r="H758" s="5">
        <v>799</v>
      </c>
      <c r="I758" s="5">
        <v>0</v>
      </c>
      <c r="J758" s="5">
        <f t="shared" si="21"/>
        <v>1598</v>
      </c>
      <c r="K758" s="3" t="s">
        <v>32</v>
      </c>
    </row>
    <row r="759" spans="1:11" x14ac:dyDescent="0.25">
      <c r="A759" s="6" t="s">
        <v>1164</v>
      </c>
      <c r="B759" s="7" t="s">
        <v>34</v>
      </c>
      <c r="C759" s="14" t="s">
        <v>759</v>
      </c>
      <c r="D759" s="7" t="s">
        <v>47</v>
      </c>
      <c r="E759" s="7" t="s">
        <v>16</v>
      </c>
      <c r="F759" s="7" t="s">
        <v>116</v>
      </c>
      <c r="G759" s="8">
        <v>1</v>
      </c>
      <c r="H759" s="9">
        <v>45</v>
      </c>
      <c r="I759" s="9">
        <v>1.99</v>
      </c>
      <c r="J759" s="9">
        <f t="shared" si="21"/>
        <v>43.01</v>
      </c>
      <c r="K759" s="7" t="s">
        <v>18</v>
      </c>
    </row>
    <row r="760" spans="1:11" x14ac:dyDescent="0.25">
      <c r="A760" s="2" t="s">
        <v>1165</v>
      </c>
      <c r="B760" s="3" t="s">
        <v>34</v>
      </c>
      <c r="C760" s="13" t="s">
        <v>275</v>
      </c>
      <c r="D760" s="3" t="s">
        <v>29</v>
      </c>
      <c r="E760" s="3" t="s">
        <v>23</v>
      </c>
      <c r="F760" s="3" t="s">
        <v>88</v>
      </c>
      <c r="G760" s="4">
        <v>3</v>
      </c>
      <c r="H760" s="5">
        <v>650</v>
      </c>
      <c r="I760" s="5">
        <v>0</v>
      </c>
      <c r="J760" s="5">
        <f t="shared" si="21"/>
        <v>1950</v>
      </c>
      <c r="K760" s="3" t="s">
        <v>32</v>
      </c>
    </row>
    <row r="761" spans="1:11" x14ac:dyDescent="0.25">
      <c r="A761" s="6" t="s">
        <v>1166</v>
      </c>
      <c r="B761" s="7" t="s">
        <v>55</v>
      </c>
      <c r="C761" s="14" t="s">
        <v>296</v>
      </c>
      <c r="D761" s="7" t="s">
        <v>47</v>
      </c>
      <c r="E761" s="7" t="s">
        <v>23</v>
      </c>
      <c r="F761" s="7" t="s">
        <v>48</v>
      </c>
      <c r="G761" s="8">
        <v>5</v>
      </c>
      <c r="H761" s="9">
        <v>450</v>
      </c>
      <c r="I761" s="9">
        <v>0</v>
      </c>
      <c r="J761" s="9">
        <f t="shared" si="21"/>
        <v>2250</v>
      </c>
      <c r="K761" s="7" t="s">
        <v>25</v>
      </c>
    </row>
    <row r="762" spans="1:11" x14ac:dyDescent="0.25">
      <c r="A762" s="2" t="s">
        <v>1167</v>
      </c>
      <c r="B762" s="3" t="s">
        <v>41</v>
      </c>
      <c r="C762" s="13" t="s">
        <v>93</v>
      </c>
      <c r="D762" s="3" t="s">
        <v>47</v>
      </c>
      <c r="E762" s="3" t="s">
        <v>30</v>
      </c>
      <c r="F762" s="3" t="s">
        <v>31</v>
      </c>
      <c r="G762" s="4">
        <v>3</v>
      </c>
      <c r="H762" s="5">
        <v>2500</v>
      </c>
      <c r="I762" s="5">
        <v>314.16000000000003</v>
      </c>
      <c r="J762" s="5">
        <f t="shared" si="21"/>
        <v>7185.84</v>
      </c>
      <c r="K762" s="3" t="s">
        <v>65</v>
      </c>
    </row>
    <row r="763" spans="1:11" x14ac:dyDescent="0.25">
      <c r="A763" s="6" t="s">
        <v>1168</v>
      </c>
      <c r="B763" s="7" t="s">
        <v>34</v>
      </c>
      <c r="C763" s="14" t="s">
        <v>318</v>
      </c>
      <c r="D763" s="7" t="s">
        <v>15</v>
      </c>
      <c r="E763" s="7" t="s">
        <v>16</v>
      </c>
      <c r="F763" s="7" t="s">
        <v>17</v>
      </c>
      <c r="G763" s="8">
        <v>5</v>
      </c>
      <c r="H763" s="9">
        <v>39</v>
      </c>
      <c r="I763" s="9">
        <v>25.57</v>
      </c>
      <c r="J763" s="9">
        <f t="shared" si="21"/>
        <v>169.43</v>
      </c>
      <c r="K763" s="7" t="s">
        <v>69</v>
      </c>
    </row>
    <row r="764" spans="1:11" x14ac:dyDescent="0.25">
      <c r="A764" s="2" t="s">
        <v>1169</v>
      </c>
      <c r="B764" s="3" t="s">
        <v>55</v>
      </c>
      <c r="C764" s="13" t="s">
        <v>1170</v>
      </c>
      <c r="D764" s="3" t="s">
        <v>22</v>
      </c>
      <c r="E764" s="3" t="s">
        <v>23</v>
      </c>
      <c r="F764" s="3" t="s">
        <v>24</v>
      </c>
      <c r="G764" s="4">
        <v>5</v>
      </c>
      <c r="H764" s="5">
        <v>180</v>
      </c>
      <c r="I764" s="10"/>
      <c r="J764" s="5">
        <f t="shared" si="21"/>
        <v>900</v>
      </c>
      <c r="K764" s="3" t="s">
        <v>25</v>
      </c>
    </row>
    <row r="765" spans="1:11" x14ac:dyDescent="0.25">
      <c r="A765" s="6" t="s">
        <v>1171</v>
      </c>
      <c r="B765" s="7" t="s">
        <v>101</v>
      </c>
      <c r="C765" s="14" t="s">
        <v>198</v>
      </c>
      <c r="D765" s="7" t="s">
        <v>15</v>
      </c>
      <c r="E765" s="7" t="s">
        <v>16</v>
      </c>
      <c r="F765" s="7" t="s">
        <v>78</v>
      </c>
      <c r="G765" s="8">
        <v>3</v>
      </c>
      <c r="H765" s="9">
        <v>59</v>
      </c>
      <c r="I765" s="9">
        <v>0</v>
      </c>
      <c r="J765" s="9">
        <f t="shared" si="21"/>
        <v>177</v>
      </c>
      <c r="K765" s="7" t="s">
        <v>25</v>
      </c>
    </row>
    <row r="766" spans="1:11" x14ac:dyDescent="0.25">
      <c r="A766" s="2" t="s">
        <v>1172</v>
      </c>
      <c r="B766" s="3" t="s">
        <v>20</v>
      </c>
      <c r="C766" s="13" t="s">
        <v>825</v>
      </c>
      <c r="D766" s="3" t="s">
        <v>15</v>
      </c>
      <c r="E766" s="3" t="s">
        <v>30</v>
      </c>
      <c r="F766" s="3" t="s">
        <v>152</v>
      </c>
      <c r="G766" s="4">
        <v>1</v>
      </c>
      <c r="H766" s="5">
        <v>4500</v>
      </c>
      <c r="I766" s="5">
        <v>0</v>
      </c>
      <c r="J766" s="5">
        <f t="shared" si="21"/>
        <v>4500</v>
      </c>
      <c r="K766" s="3" t="s">
        <v>69</v>
      </c>
    </row>
    <row r="767" spans="1:11" x14ac:dyDescent="0.25">
      <c r="A767" s="6" t="s">
        <v>1173</v>
      </c>
      <c r="B767" s="7" t="s">
        <v>27</v>
      </c>
      <c r="C767" s="14" t="s">
        <v>1004</v>
      </c>
      <c r="D767" s="7" t="s">
        <v>22</v>
      </c>
      <c r="E767" s="7" t="s">
        <v>23</v>
      </c>
      <c r="F767" s="7" t="s">
        <v>48</v>
      </c>
      <c r="G767" s="8">
        <v>4</v>
      </c>
      <c r="H767" s="9">
        <v>450</v>
      </c>
      <c r="I767" s="9">
        <v>135.16999999999999</v>
      </c>
      <c r="J767" s="9">
        <f t="shared" si="21"/>
        <v>1664.83</v>
      </c>
      <c r="K767" s="7" t="s">
        <v>89</v>
      </c>
    </row>
    <row r="768" spans="1:11" x14ac:dyDescent="0.25">
      <c r="A768" s="2" t="s">
        <v>1174</v>
      </c>
      <c r="B768" s="3" t="s">
        <v>34</v>
      </c>
      <c r="C768" s="13" t="s">
        <v>401</v>
      </c>
      <c r="D768" s="3" t="s">
        <v>47</v>
      </c>
      <c r="E768" s="3" t="s">
        <v>30</v>
      </c>
      <c r="F768" s="3" t="s">
        <v>68</v>
      </c>
      <c r="G768" s="4">
        <v>5</v>
      </c>
      <c r="H768" s="5">
        <v>799</v>
      </c>
      <c r="I768" s="5">
        <v>96.52</v>
      </c>
      <c r="J768" s="5">
        <f t="shared" si="21"/>
        <v>3898.48</v>
      </c>
      <c r="K768" s="3" t="s">
        <v>69</v>
      </c>
    </row>
    <row r="769" spans="1:11" x14ac:dyDescent="0.25">
      <c r="A769" s="6" t="s">
        <v>1175</v>
      </c>
      <c r="B769" s="7" t="s">
        <v>95</v>
      </c>
      <c r="C769" s="14" t="s">
        <v>579</v>
      </c>
      <c r="D769" s="7" t="s">
        <v>29</v>
      </c>
      <c r="E769" s="7" t="s">
        <v>30</v>
      </c>
      <c r="F769" s="7" t="s">
        <v>106</v>
      </c>
      <c r="G769" s="8">
        <v>1</v>
      </c>
      <c r="H769" s="9">
        <v>299</v>
      </c>
      <c r="I769" s="9">
        <v>41.99</v>
      </c>
      <c r="J769" s="9">
        <f t="shared" si="21"/>
        <v>257.01</v>
      </c>
      <c r="K769" s="7" t="s">
        <v>32</v>
      </c>
    </row>
    <row r="770" spans="1:11" x14ac:dyDescent="0.25">
      <c r="A770" s="2" t="s">
        <v>1176</v>
      </c>
      <c r="B770" s="3" t="s">
        <v>110</v>
      </c>
      <c r="C770" s="13" t="s">
        <v>518</v>
      </c>
      <c r="D770" s="3" t="s">
        <v>22</v>
      </c>
      <c r="E770" s="3" t="s">
        <v>23</v>
      </c>
      <c r="F770" s="3" t="s">
        <v>24</v>
      </c>
      <c r="G770" s="4">
        <v>1</v>
      </c>
      <c r="H770" s="5">
        <v>180</v>
      </c>
      <c r="I770" s="5">
        <v>0</v>
      </c>
      <c r="J770" s="5">
        <f t="shared" si="21"/>
        <v>180</v>
      </c>
      <c r="K770" s="3" t="s">
        <v>89</v>
      </c>
    </row>
    <row r="771" spans="1:11" x14ac:dyDescent="0.25">
      <c r="A771" s="6" t="s">
        <v>1177</v>
      </c>
      <c r="B771" s="7" t="s">
        <v>27</v>
      </c>
      <c r="C771" s="14" t="s">
        <v>601</v>
      </c>
      <c r="D771" s="7" t="s">
        <v>15</v>
      </c>
      <c r="E771" s="7" t="s">
        <v>23</v>
      </c>
      <c r="F771" s="7" t="s">
        <v>43</v>
      </c>
      <c r="G771" s="8">
        <v>2</v>
      </c>
      <c r="H771" s="9">
        <v>350</v>
      </c>
      <c r="I771" s="9">
        <v>0</v>
      </c>
      <c r="J771" s="9">
        <f t="shared" si="21"/>
        <v>700</v>
      </c>
      <c r="K771" s="7" t="s">
        <v>25</v>
      </c>
    </row>
    <row r="772" spans="1:11" x14ac:dyDescent="0.25">
      <c r="A772" s="2" t="s">
        <v>1178</v>
      </c>
      <c r="B772" s="3" t="s">
        <v>41</v>
      </c>
      <c r="C772" s="13" t="s">
        <v>505</v>
      </c>
      <c r="D772" s="3" t="s">
        <v>29</v>
      </c>
      <c r="E772" s="3" t="s">
        <v>16</v>
      </c>
      <c r="F772" s="3" t="s">
        <v>17</v>
      </c>
      <c r="G772" s="4">
        <v>5</v>
      </c>
      <c r="H772" s="5">
        <v>39</v>
      </c>
      <c r="I772" s="5">
        <v>22.14</v>
      </c>
      <c r="J772" s="5">
        <f t="shared" si="21"/>
        <v>172.86</v>
      </c>
      <c r="K772" s="3" t="s">
        <v>18</v>
      </c>
    </row>
    <row r="773" spans="1:11" x14ac:dyDescent="0.25">
      <c r="A773" s="6" t="s">
        <v>1179</v>
      </c>
      <c r="B773" s="7" t="s">
        <v>71</v>
      </c>
      <c r="C773" s="14" t="s">
        <v>161</v>
      </c>
      <c r="D773" s="7" t="s">
        <v>39</v>
      </c>
      <c r="E773" s="7" t="s">
        <v>30</v>
      </c>
      <c r="F773" s="7" t="s">
        <v>68</v>
      </c>
      <c r="G773" s="8">
        <v>3</v>
      </c>
      <c r="H773" s="9">
        <v>799</v>
      </c>
      <c r="I773" s="9">
        <v>0</v>
      </c>
      <c r="J773" s="9">
        <f t="shared" si="21"/>
        <v>2397</v>
      </c>
      <c r="K773" s="7" t="s">
        <v>65</v>
      </c>
    </row>
    <row r="774" spans="1:11" x14ac:dyDescent="0.25">
      <c r="A774" s="2" t="s">
        <v>1180</v>
      </c>
      <c r="B774" s="3" t="s">
        <v>63</v>
      </c>
      <c r="C774" s="13" t="s">
        <v>484</v>
      </c>
      <c r="D774" s="3" t="s">
        <v>15</v>
      </c>
      <c r="E774" s="3" t="s">
        <v>23</v>
      </c>
      <c r="F774" s="3" t="s">
        <v>24</v>
      </c>
      <c r="G774" s="4">
        <v>4</v>
      </c>
      <c r="H774" s="5">
        <v>180</v>
      </c>
      <c r="I774" s="5">
        <v>59.67</v>
      </c>
      <c r="J774" s="5">
        <f t="shared" si="21"/>
        <v>660.33</v>
      </c>
      <c r="K774" s="3" t="s">
        <v>44</v>
      </c>
    </row>
    <row r="775" spans="1:11" x14ac:dyDescent="0.25">
      <c r="A775" s="6" t="s">
        <v>1181</v>
      </c>
      <c r="B775" s="7" t="s">
        <v>71</v>
      </c>
      <c r="C775" s="14" t="s">
        <v>115</v>
      </c>
      <c r="D775" s="7" t="s">
        <v>47</v>
      </c>
      <c r="E775" s="7" t="s">
        <v>16</v>
      </c>
      <c r="F775" s="7" t="s">
        <v>78</v>
      </c>
      <c r="G775" s="8">
        <v>2</v>
      </c>
      <c r="H775" s="9">
        <v>59</v>
      </c>
      <c r="I775" s="9">
        <v>0</v>
      </c>
      <c r="J775" s="9">
        <f t="shared" si="21"/>
        <v>118</v>
      </c>
      <c r="K775" s="7" t="s">
        <v>32</v>
      </c>
    </row>
    <row r="776" spans="1:11" x14ac:dyDescent="0.25">
      <c r="A776" s="2" t="s">
        <v>1182</v>
      </c>
      <c r="B776" s="3" t="s">
        <v>63</v>
      </c>
      <c r="C776" s="13" t="s">
        <v>497</v>
      </c>
      <c r="D776" s="3" t="s">
        <v>22</v>
      </c>
      <c r="E776" s="3" t="s">
        <v>52</v>
      </c>
      <c r="F776" s="3" t="s">
        <v>61</v>
      </c>
      <c r="G776" s="4">
        <v>5</v>
      </c>
      <c r="H776" s="5">
        <v>199</v>
      </c>
      <c r="I776" s="5">
        <v>68.03</v>
      </c>
      <c r="J776" s="5">
        <f t="shared" si="21"/>
        <v>926.97</v>
      </c>
      <c r="K776" s="3" t="s">
        <v>25</v>
      </c>
    </row>
    <row r="777" spans="1:11" x14ac:dyDescent="0.25">
      <c r="A777" s="6" t="s">
        <v>1183</v>
      </c>
      <c r="B777" s="7" t="s">
        <v>13</v>
      </c>
      <c r="C777" s="14" t="s">
        <v>200</v>
      </c>
      <c r="D777" s="7" t="s">
        <v>29</v>
      </c>
      <c r="E777" s="7" t="s">
        <v>23</v>
      </c>
      <c r="F777" s="7" t="s">
        <v>43</v>
      </c>
      <c r="G777" s="8">
        <v>5</v>
      </c>
      <c r="H777" s="9">
        <v>350</v>
      </c>
      <c r="I777" s="9">
        <v>114.07</v>
      </c>
      <c r="J777" s="9">
        <f t="shared" si="21"/>
        <v>1635.93</v>
      </c>
      <c r="K777" s="7" t="s">
        <v>89</v>
      </c>
    </row>
    <row r="778" spans="1:11" x14ac:dyDescent="0.25">
      <c r="A778" s="2" t="s">
        <v>1184</v>
      </c>
      <c r="B778" s="3" t="s">
        <v>55</v>
      </c>
      <c r="C778" s="13" t="s">
        <v>405</v>
      </c>
      <c r="D778" s="3" t="s">
        <v>149</v>
      </c>
      <c r="E778" s="3" t="s">
        <v>52</v>
      </c>
      <c r="F778" s="3" t="s">
        <v>61</v>
      </c>
      <c r="G778" s="4">
        <v>3</v>
      </c>
      <c r="H778" s="5">
        <v>199</v>
      </c>
      <c r="I778" s="5">
        <v>0</v>
      </c>
      <c r="J778" s="5">
        <f t="shared" si="21"/>
        <v>597</v>
      </c>
      <c r="K778" s="3" t="s">
        <v>32</v>
      </c>
    </row>
    <row r="779" spans="1:11" x14ac:dyDescent="0.25">
      <c r="A779" s="6" t="s">
        <v>1185</v>
      </c>
      <c r="B779" s="7" t="s">
        <v>101</v>
      </c>
      <c r="C779" s="14" t="s">
        <v>105</v>
      </c>
      <c r="D779" s="7" t="s">
        <v>22</v>
      </c>
      <c r="E779" s="7" t="s">
        <v>23</v>
      </c>
      <c r="F779" s="7" t="s">
        <v>88</v>
      </c>
      <c r="G779" s="8">
        <v>5</v>
      </c>
      <c r="H779" s="9">
        <v>650</v>
      </c>
      <c r="I779" s="9">
        <v>192.77</v>
      </c>
      <c r="J779" s="9">
        <f t="shared" si="21"/>
        <v>3057.23</v>
      </c>
      <c r="K779" s="7" t="s">
        <v>65</v>
      </c>
    </row>
    <row r="780" spans="1:11" x14ac:dyDescent="0.25">
      <c r="A780" s="2" t="s">
        <v>1186</v>
      </c>
      <c r="B780" s="3" t="s">
        <v>101</v>
      </c>
      <c r="C780" s="13" t="s">
        <v>435</v>
      </c>
      <c r="D780" s="3" t="s">
        <v>22</v>
      </c>
      <c r="E780" s="3"/>
      <c r="F780" s="3" t="s">
        <v>88</v>
      </c>
      <c r="G780" s="4">
        <v>2</v>
      </c>
      <c r="H780" s="5">
        <v>650</v>
      </c>
      <c r="I780" s="5">
        <v>0</v>
      </c>
      <c r="J780" s="5">
        <f t="shared" ref="J780:J843" si="22">(G780*H780)-I780</f>
        <v>1300</v>
      </c>
      <c r="K780" s="3" t="s">
        <v>18</v>
      </c>
    </row>
    <row r="781" spans="1:11" x14ac:dyDescent="0.25">
      <c r="A781" s="6" t="s">
        <v>1187</v>
      </c>
      <c r="B781" s="7" t="s">
        <v>27</v>
      </c>
      <c r="C781" s="14" t="s">
        <v>792</v>
      </c>
      <c r="D781" s="7" t="s">
        <v>22</v>
      </c>
      <c r="E781" s="7" t="s">
        <v>16</v>
      </c>
      <c r="F781" s="7" t="s">
        <v>103</v>
      </c>
      <c r="G781" s="8">
        <v>5</v>
      </c>
      <c r="H781" s="9">
        <v>89</v>
      </c>
      <c r="I781" s="9">
        <v>0</v>
      </c>
      <c r="J781" s="9">
        <f t="shared" si="22"/>
        <v>445</v>
      </c>
      <c r="K781" s="7" t="s">
        <v>69</v>
      </c>
    </row>
    <row r="782" spans="1:11" x14ac:dyDescent="0.25">
      <c r="A782" s="2" t="s">
        <v>1188</v>
      </c>
      <c r="B782" s="3" t="s">
        <v>63</v>
      </c>
      <c r="C782" s="13" t="s">
        <v>263</v>
      </c>
      <c r="D782" s="3" t="s">
        <v>39</v>
      </c>
      <c r="E782" s="3" t="s">
        <v>23</v>
      </c>
      <c r="F782" s="3" t="s">
        <v>48</v>
      </c>
      <c r="G782" s="4">
        <v>4</v>
      </c>
      <c r="H782" s="5">
        <v>450</v>
      </c>
      <c r="I782" s="5">
        <v>0</v>
      </c>
      <c r="J782" s="5">
        <f t="shared" si="22"/>
        <v>1800</v>
      </c>
      <c r="K782" s="3" t="s">
        <v>32</v>
      </c>
    </row>
    <row r="783" spans="1:11" x14ac:dyDescent="0.25">
      <c r="A783" s="6" t="s">
        <v>1189</v>
      </c>
      <c r="B783" s="7" t="s">
        <v>110</v>
      </c>
      <c r="C783" s="14" t="s">
        <v>499</v>
      </c>
      <c r="D783" s="7" t="s">
        <v>15</v>
      </c>
      <c r="E783" s="7" t="s">
        <v>23</v>
      </c>
      <c r="F783" s="7" t="s">
        <v>48</v>
      </c>
      <c r="G783" s="8">
        <v>1</v>
      </c>
      <c r="H783" s="9">
        <v>450</v>
      </c>
      <c r="I783" s="9">
        <v>29.51</v>
      </c>
      <c r="J783" s="9">
        <f t="shared" si="22"/>
        <v>420.49</v>
      </c>
      <c r="K783" s="7" t="s">
        <v>49</v>
      </c>
    </row>
    <row r="784" spans="1:11" x14ac:dyDescent="0.25">
      <c r="A784" s="2" t="s">
        <v>1190</v>
      </c>
      <c r="B784" s="3" t="s">
        <v>13</v>
      </c>
      <c r="C784" s="13" t="s">
        <v>196</v>
      </c>
      <c r="D784" s="3" t="s">
        <v>22</v>
      </c>
      <c r="E784" s="3" t="s">
        <v>23</v>
      </c>
      <c r="F784" s="3" t="s">
        <v>43</v>
      </c>
      <c r="G784" s="4">
        <v>3</v>
      </c>
      <c r="H784" s="5">
        <v>350</v>
      </c>
      <c r="I784" s="5">
        <v>0</v>
      </c>
      <c r="J784" s="5">
        <f t="shared" si="22"/>
        <v>1050</v>
      </c>
      <c r="K784" s="3" t="s">
        <v>44</v>
      </c>
    </row>
    <row r="785" spans="1:11" x14ac:dyDescent="0.25">
      <c r="A785" s="6" t="s">
        <v>1191</v>
      </c>
      <c r="B785" s="7" t="s">
        <v>63</v>
      </c>
      <c r="C785" s="14" t="s">
        <v>151</v>
      </c>
      <c r="D785" s="7" t="s">
        <v>29</v>
      </c>
      <c r="E785" s="7" t="s">
        <v>52</v>
      </c>
      <c r="F785" s="7" t="s">
        <v>53</v>
      </c>
      <c r="G785" s="8">
        <v>3</v>
      </c>
      <c r="H785" s="9">
        <v>149</v>
      </c>
      <c r="I785" s="9">
        <v>0</v>
      </c>
      <c r="J785" s="9">
        <f t="shared" si="22"/>
        <v>447</v>
      </c>
      <c r="K785" s="7" t="s">
        <v>89</v>
      </c>
    </row>
    <row r="786" spans="1:11" x14ac:dyDescent="0.25">
      <c r="A786" s="2" t="s">
        <v>1192</v>
      </c>
      <c r="B786" s="3" t="s">
        <v>71</v>
      </c>
      <c r="C786" s="13" t="s">
        <v>349</v>
      </c>
      <c r="D786" s="3" t="s">
        <v>47</v>
      </c>
      <c r="E786" s="3" t="s">
        <v>16</v>
      </c>
      <c r="F786" s="3" t="s">
        <v>103</v>
      </c>
      <c r="G786" s="4">
        <v>3</v>
      </c>
      <c r="H786" s="5">
        <v>89</v>
      </c>
      <c r="I786" s="5">
        <v>0</v>
      </c>
      <c r="J786" s="5">
        <f t="shared" si="22"/>
        <v>267</v>
      </c>
      <c r="K786" s="3" t="s">
        <v>44</v>
      </c>
    </row>
    <row r="787" spans="1:11" x14ac:dyDescent="0.25">
      <c r="A787" s="6" t="s">
        <v>1193</v>
      </c>
      <c r="B787" s="7" t="s">
        <v>110</v>
      </c>
      <c r="C787" s="14" t="s">
        <v>290</v>
      </c>
      <c r="D787" s="7" t="s">
        <v>39</v>
      </c>
      <c r="E787" s="7" t="s">
        <v>23</v>
      </c>
      <c r="F787" s="7" t="s">
        <v>48</v>
      </c>
      <c r="G787" s="8">
        <v>3</v>
      </c>
      <c r="H787" s="9">
        <v>450</v>
      </c>
      <c r="I787" s="9">
        <v>112.36</v>
      </c>
      <c r="J787" s="9">
        <f t="shared" si="22"/>
        <v>1237.6400000000001</v>
      </c>
      <c r="K787" s="7" t="s">
        <v>65</v>
      </c>
    </row>
    <row r="788" spans="1:11" x14ac:dyDescent="0.25">
      <c r="A788" s="2" t="s">
        <v>1194</v>
      </c>
      <c r="B788" s="3" t="s">
        <v>37</v>
      </c>
      <c r="C788" s="13" t="s">
        <v>1147</v>
      </c>
      <c r="D788" s="3" t="s">
        <v>39</v>
      </c>
      <c r="E788" s="3" t="s">
        <v>52</v>
      </c>
      <c r="F788" s="3" t="s">
        <v>53</v>
      </c>
      <c r="G788" s="4">
        <v>5</v>
      </c>
      <c r="H788" s="5">
        <v>149</v>
      </c>
      <c r="I788" s="5">
        <v>0</v>
      </c>
      <c r="J788" s="5">
        <f t="shared" si="22"/>
        <v>745</v>
      </c>
      <c r="K788" s="3" t="s">
        <v>49</v>
      </c>
    </row>
    <row r="789" spans="1:11" x14ac:dyDescent="0.25">
      <c r="A789" s="6" t="s">
        <v>1195</v>
      </c>
      <c r="B789" s="7" t="s">
        <v>101</v>
      </c>
      <c r="C789" s="14" t="s">
        <v>655</v>
      </c>
      <c r="D789" s="7" t="s">
        <v>39</v>
      </c>
      <c r="E789" s="7" t="s">
        <v>16</v>
      </c>
      <c r="F789" s="7" t="s">
        <v>78</v>
      </c>
      <c r="G789" s="8">
        <v>3</v>
      </c>
      <c r="H789" s="9">
        <v>59</v>
      </c>
      <c r="I789" s="9">
        <v>0</v>
      </c>
      <c r="J789" s="9">
        <f t="shared" si="22"/>
        <v>177</v>
      </c>
      <c r="K789" s="7" t="s">
        <v>25</v>
      </c>
    </row>
    <row r="790" spans="1:11" x14ac:dyDescent="0.25">
      <c r="A790" s="2" t="s">
        <v>1196</v>
      </c>
      <c r="B790" s="3" t="s">
        <v>71</v>
      </c>
      <c r="C790" s="13" t="s">
        <v>290</v>
      </c>
      <c r="D790" s="3" t="s">
        <v>39</v>
      </c>
      <c r="E790" s="3" t="s">
        <v>30</v>
      </c>
      <c r="F790" s="3" t="s">
        <v>68</v>
      </c>
      <c r="G790" s="4">
        <v>3</v>
      </c>
      <c r="H790" s="5">
        <v>799</v>
      </c>
      <c r="I790" s="5">
        <v>237.84</v>
      </c>
      <c r="J790" s="5">
        <f t="shared" si="22"/>
        <v>2159.16</v>
      </c>
      <c r="K790" s="3" t="s">
        <v>49</v>
      </c>
    </row>
    <row r="791" spans="1:11" x14ac:dyDescent="0.25">
      <c r="A791" s="6" t="s">
        <v>1197</v>
      </c>
      <c r="B791" s="7" t="s">
        <v>63</v>
      </c>
      <c r="C791" s="14" t="s">
        <v>535</v>
      </c>
      <c r="D791" s="7" t="s">
        <v>47</v>
      </c>
      <c r="E791" s="7" t="s">
        <v>16</v>
      </c>
      <c r="F791" s="7" t="s">
        <v>103</v>
      </c>
      <c r="G791" s="8">
        <v>2</v>
      </c>
      <c r="H791" s="9">
        <v>89</v>
      </c>
      <c r="I791" s="9">
        <v>5.57</v>
      </c>
      <c r="J791" s="9">
        <f t="shared" si="22"/>
        <v>172.43</v>
      </c>
      <c r="K791" s="7" t="s">
        <v>32</v>
      </c>
    </row>
    <row r="792" spans="1:11" x14ac:dyDescent="0.25">
      <c r="A792" s="2" t="s">
        <v>1198</v>
      </c>
      <c r="B792" s="3" t="s">
        <v>101</v>
      </c>
      <c r="C792" s="13" t="s">
        <v>362</v>
      </c>
      <c r="D792" s="3" t="s">
        <v>22</v>
      </c>
      <c r="E792" s="3" t="s">
        <v>23</v>
      </c>
      <c r="F792" s="3" t="s">
        <v>88</v>
      </c>
      <c r="G792" s="4">
        <v>5</v>
      </c>
      <c r="H792" s="5">
        <v>650</v>
      </c>
      <c r="I792" s="5">
        <v>0</v>
      </c>
      <c r="J792" s="5">
        <f t="shared" si="22"/>
        <v>3250</v>
      </c>
      <c r="K792" s="3" t="s">
        <v>49</v>
      </c>
    </row>
    <row r="793" spans="1:11" x14ac:dyDescent="0.25">
      <c r="A793" s="6" t="s">
        <v>1199</v>
      </c>
      <c r="B793" s="7" t="s">
        <v>101</v>
      </c>
      <c r="C793" s="14" t="s">
        <v>180</v>
      </c>
      <c r="D793" s="7" t="s">
        <v>22</v>
      </c>
      <c r="E793" s="7" t="s">
        <v>52</v>
      </c>
      <c r="F793" s="7" t="s">
        <v>99</v>
      </c>
      <c r="G793" s="8">
        <v>4</v>
      </c>
      <c r="H793" s="9">
        <v>79</v>
      </c>
      <c r="I793" s="9">
        <v>39.24</v>
      </c>
      <c r="J793" s="9">
        <f t="shared" si="22"/>
        <v>276.76</v>
      </c>
      <c r="K793" s="7" t="s">
        <v>32</v>
      </c>
    </row>
    <row r="794" spans="1:11" x14ac:dyDescent="0.25">
      <c r="A794" s="2" t="s">
        <v>1200</v>
      </c>
      <c r="B794" s="3" t="s">
        <v>20</v>
      </c>
      <c r="C794" s="13" t="s">
        <v>120</v>
      </c>
      <c r="D794" s="3" t="s">
        <v>15</v>
      </c>
      <c r="E794" s="3" t="s">
        <v>30</v>
      </c>
      <c r="F794" s="3" t="s">
        <v>152</v>
      </c>
      <c r="G794" s="4">
        <v>5</v>
      </c>
      <c r="H794" s="5">
        <v>4500</v>
      </c>
      <c r="I794" s="5">
        <v>0</v>
      </c>
      <c r="J794" s="5">
        <f t="shared" si="22"/>
        <v>22500</v>
      </c>
      <c r="K794" s="3" t="s">
        <v>69</v>
      </c>
    </row>
    <row r="795" spans="1:11" x14ac:dyDescent="0.25">
      <c r="A795" s="6" t="s">
        <v>1201</v>
      </c>
      <c r="B795" s="7" t="s">
        <v>20</v>
      </c>
      <c r="C795" s="14" t="s">
        <v>87</v>
      </c>
      <c r="D795" s="7" t="s">
        <v>22</v>
      </c>
      <c r="E795" s="7" t="s">
        <v>16</v>
      </c>
      <c r="F795" s="7" t="s">
        <v>78</v>
      </c>
      <c r="G795" s="8">
        <v>5</v>
      </c>
      <c r="H795" s="9">
        <v>59</v>
      </c>
      <c r="I795" s="9">
        <v>24.36</v>
      </c>
      <c r="J795" s="9">
        <f t="shared" si="22"/>
        <v>270.64</v>
      </c>
      <c r="K795" s="7" t="s">
        <v>89</v>
      </c>
    </row>
    <row r="796" spans="1:11" x14ac:dyDescent="0.25">
      <c r="A796" s="2" t="s">
        <v>1202</v>
      </c>
      <c r="B796" s="3" t="s">
        <v>34</v>
      </c>
      <c r="C796" s="13" t="s">
        <v>87</v>
      </c>
      <c r="D796" s="3" t="s">
        <v>149</v>
      </c>
      <c r="E796" s="3" t="s">
        <v>52</v>
      </c>
      <c r="F796" s="3" t="s">
        <v>53</v>
      </c>
      <c r="G796" s="4">
        <v>5</v>
      </c>
      <c r="H796" s="5">
        <v>149</v>
      </c>
      <c r="I796" s="5">
        <v>108.92</v>
      </c>
      <c r="J796" s="5">
        <f t="shared" si="22"/>
        <v>636.08000000000004</v>
      </c>
      <c r="K796" s="3" t="s">
        <v>89</v>
      </c>
    </row>
    <row r="797" spans="1:11" x14ac:dyDescent="0.25">
      <c r="A797" s="6" t="s">
        <v>1203</v>
      </c>
      <c r="B797" s="7" t="s">
        <v>71</v>
      </c>
      <c r="C797" s="14" t="s">
        <v>464</v>
      </c>
      <c r="D797" s="7" t="s">
        <v>29</v>
      </c>
      <c r="E797" s="7" t="s">
        <v>52</v>
      </c>
      <c r="F797" s="7" t="s">
        <v>53</v>
      </c>
      <c r="G797" s="8">
        <v>1</v>
      </c>
      <c r="H797" s="9">
        <v>149</v>
      </c>
      <c r="I797" s="9">
        <v>0</v>
      </c>
      <c r="J797" s="9">
        <f t="shared" si="22"/>
        <v>149</v>
      </c>
      <c r="K797" s="7" t="s">
        <v>65</v>
      </c>
    </row>
    <row r="798" spans="1:11" x14ac:dyDescent="0.25">
      <c r="A798" s="2" t="s">
        <v>1204</v>
      </c>
      <c r="B798" s="3" t="s">
        <v>71</v>
      </c>
      <c r="C798" s="13" t="s">
        <v>750</v>
      </c>
      <c r="D798" s="3" t="s">
        <v>22</v>
      </c>
      <c r="E798" s="3" t="s">
        <v>23</v>
      </c>
      <c r="F798" s="3" t="s">
        <v>24</v>
      </c>
      <c r="G798" s="4">
        <v>4</v>
      </c>
      <c r="H798" s="5">
        <v>180</v>
      </c>
      <c r="I798" s="5">
        <v>0</v>
      </c>
      <c r="J798" s="5">
        <f t="shared" si="22"/>
        <v>720</v>
      </c>
      <c r="K798" s="3" t="s">
        <v>69</v>
      </c>
    </row>
    <row r="799" spans="1:11" x14ac:dyDescent="0.25">
      <c r="A799" s="6" t="s">
        <v>1205</v>
      </c>
      <c r="B799" s="7" t="s">
        <v>101</v>
      </c>
      <c r="C799" s="14" t="s">
        <v>72</v>
      </c>
      <c r="D799" s="7" t="s">
        <v>15</v>
      </c>
      <c r="E799" s="7" t="s">
        <v>16</v>
      </c>
      <c r="F799" s="7" t="s">
        <v>17</v>
      </c>
      <c r="G799" s="8">
        <v>3</v>
      </c>
      <c r="H799" s="9">
        <v>39</v>
      </c>
      <c r="I799" s="9">
        <v>0</v>
      </c>
      <c r="J799" s="9">
        <f t="shared" si="22"/>
        <v>117</v>
      </c>
      <c r="K799" s="7" t="s">
        <v>49</v>
      </c>
    </row>
    <row r="800" spans="1:11" x14ac:dyDescent="0.25">
      <c r="A800" s="2" t="s">
        <v>1206</v>
      </c>
      <c r="B800" s="3" t="s">
        <v>41</v>
      </c>
      <c r="C800" s="13" t="s">
        <v>482</v>
      </c>
      <c r="D800" s="3" t="s">
        <v>149</v>
      </c>
      <c r="E800" s="3" t="s">
        <v>52</v>
      </c>
      <c r="F800" s="3" t="s">
        <v>75</v>
      </c>
      <c r="G800" s="4">
        <v>1</v>
      </c>
      <c r="H800" s="5">
        <v>249</v>
      </c>
      <c r="I800" s="5">
        <v>8.74</v>
      </c>
      <c r="J800" s="5">
        <f t="shared" si="22"/>
        <v>240.26</v>
      </c>
      <c r="K800" s="3" t="s">
        <v>89</v>
      </c>
    </row>
    <row r="801" spans="1:11" x14ac:dyDescent="0.25">
      <c r="A801" s="6" t="s">
        <v>1207</v>
      </c>
      <c r="B801" s="7" t="s">
        <v>55</v>
      </c>
      <c r="C801" s="14" t="s">
        <v>975</v>
      </c>
      <c r="D801" s="7" t="s">
        <v>15</v>
      </c>
      <c r="E801" s="7" t="s">
        <v>23</v>
      </c>
      <c r="F801" s="7" t="s">
        <v>88</v>
      </c>
      <c r="G801" s="8">
        <v>1</v>
      </c>
      <c r="H801" s="9">
        <v>650</v>
      </c>
      <c r="I801" s="9">
        <v>13.19</v>
      </c>
      <c r="J801" s="9">
        <f t="shared" si="22"/>
        <v>636.80999999999995</v>
      </c>
      <c r="K801" s="7" t="s">
        <v>18</v>
      </c>
    </row>
    <row r="802" spans="1:11" x14ac:dyDescent="0.25">
      <c r="A802" s="2" t="s">
        <v>1208</v>
      </c>
      <c r="B802" s="3" t="s">
        <v>13</v>
      </c>
      <c r="C802" s="13" t="s">
        <v>784</v>
      </c>
      <c r="D802" s="3" t="s">
        <v>15</v>
      </c>
      <c r="E802" s="3" t="s">
        <v>16</v>
      </c>
      <c r="F802" s="3" t="s">
        <v>17</v>
      </c>
      <c r="G802" s="4">
        <v>5</v>
      </c>
      <c r="H802" s="5">
        <v>39</v>
      </c>
      <c r="I802" s="5">
        <v>0</v>
      </c>
      <c r="J802" s="5">
        <f t="shared" si="22"/>
        <v>195</v>
      </c>
      <c r="K802" s="3" t="s">
        <v>18</v>
      </c>
    </row>
    <row r="803" spans="1:11" x14ac:dyDescent="0.25">
      <c r="A803" s="6" t="s">
        <v>1209</v>
      </c>
      <c r="B803" s="7" t="s">
        <v>55</v>
      </c>
      <c r="C803" s="14" t="s">
        <v>239</v>
      </c>
      <c r="D803" s="7" t="s">
        <v>22</v>
      </c>
      <c r="E803" s="7" t="s">
        <v>52</v>
      </c>
      <c r="F803" s="7" t="s">
        <v>53</v>
      </c>
      <c r="G803" s="8">
        <v>4</v>
      </c>
      <c r="H803" s="9">
        <v>149</v>
      </c>
      <c r="I803" s="9">
        <v>0</v>
      </c>
      <c r="J803" s="9">
        <f t="shared" si="22"/>
        <v>596</v>
      </c>
      <c r="K803" s="7" t="s">
        <v>32</v>
      </c>
    </row>
    <row r="804" spans="1:11" x14ac:dyDescent="0.25">
      <c r="A804" s="2" t="s">
        <v>1210</v>
      </c>
      <c r="B804" s="3" t="s">
        <v>13</v>
      </c>
      <c r="C804" s="13" t="s">
        <v>900</v>
      </c>
      <c r="D804" s="3" t="s">
        <v>47</v>
      </c>
      <c r="E804" s="3" t="s">
        <v>16</v>
      </c>
      <c r="F804" s="3" t="s">
        <v>116</v>
      </c>
      <c r="G804" s="4">
        <v>4</v>
      </c>
      <c r="H804" s="5">
        <v>45</v>
      </c>
      <c r="I804" s="5">
        <v>0</v>
      </c>
      <c r="J804" s="5">
        <f t="shared" si="22"/>
        <v>180</v>
      </c>
      <c r="K804" s="3" t="s">
        <v>25</v>
      </c>
    </row>
    <row r="805" spans="1:11" x14ac:dyDescent="0.25">
      <c r="A805" s="6" t="s">
        <v>1211</v>
      </c>
      <c r="B805" s="7" t="s">
        <v>95</v>
      </c>
      <c r="C805" s="14" t="s">
        <v>449</v>
      </c>
      <c r="D805" s="7" t="s">
        <v>39</v>
      </c>
      <c r="E805" s="7" t="s">
        <v>52</v>
      </c>
      <c r="F805" s="7" t="s">
        <v>99</v>
      </c>
      <c r="G805" s="8">
        <v>5</v>
      </c>
      <c r="H805" s="9">
        <v>79</v>
      </c>
      <c r="I805" s="9">
        <v>0</v>
      </c>
      <c r="J805" s="9">
        <f t="shared" si="22"/>
        <v>395</v>
      </c>
      <c r="K805" s="7" t="s">
        <v>18</v>
      </c>
    </row>
    <row r="806" spans="1:11" x14ac:dyDescent="0.25">
      <c r="A806" s="2" t="s">
        <v>1212</v>
      </c>
      <c r="B806" s="3" t="s">
        <v>20</v>
      </c>
      <c r="C806" s="13" t="s">
        <v>499</v>
      </c>
      <c r="D806" s="3" t="s">
        <v>22</v>
      </c>
      <c r="E806" s="3" t="s">
        <v>52</v>
      </c>
      <c r="F806" s="3" t="s">
        <v>75</v>
      </c>
      <c r="G806" s="4">
        <v>4</v>
      </c>
      <c r="H806" s="5">
        <v>249</v>
      </c>
      <c r="I806" s="5">
        <v>1.98</v>
      </c>
      <c r="J806" s="5">
        <f t="shared" si="22"/>
        <v>994.02</v>
      </c>
      <c r="K806" s="3" t="s">
        <v>18</v>
      </c>
    </row>
    <row r="807" spans="1:11" x14ac:dyDescent="0.25">
      <c r="A807" s="6" t="s">
        <v>1213</v>
      </c>
      <c r="B807" s="7" t="s">
        <v>71</v>
      </c>
      <c r="C807" s="14" t="s">
        <v>331</v>
      </c>
      <c r="D807" s="7" t="s">
        <v>15</v>
      </c>
      <c r="E807" s="7" t="s">
        <v>30</v>
      </c>
      <c r="F807" s="7" t="s">
        <v>106</v>
      </c>
      <c r="G807" s="8">
        <v>1</v>
      </c>
      <c r="H807" s="9">
        <v>299</v>
      </c>
      <c r="I807" s="9">
        <v>12.23</v>
      </c>
      <c r="J807" s="9">
        <f t="shared" si="22"/>
        <v>286.77</v>
      </c>
      <c r="K807" s="7" t="s">
        <v>89</v>
      </c>
    </row>
    <row r="808" spans="1:11" x14ac:dyDescent="0.25">
      <c r="A808" s="2" t="s">
        <v>1214</v>
      </c>
      <c r="B808" s="3" t="s">
        <v>95</v>
      </c>
      <c r="C808" s="13" t="s">
        <v>390</v>
      </c>
      <c r="D808" s="3" t="s">
        <v>47</v>
      </c>
      <c r="E808" s="3" t="s">
        <v>52</v>
      </c>
      <c r="F808" s="3" t="s">
        <v>53</v>
      </c>
      <c r="G808" s="4">
        <v>2</v>
      </c>
      <c r="H808" s="5">
        <v>149</v>
      </c>
      <c r="I808" s="5">
        <v>0</v>
      </c>
      <c r="J808" s="5">
        <f t="shared" si="22"/>
        <v>298</v>
      </c>
      <c r="K808" s="3" t="s">
        <v>32</v>
      </c>
    </row>
    <row r="809" spans="1:11" x14ac:dyDescent="0.25">
      <c r="A809" s="6" t="s">
        <v>1215</v>
      </c>
      <c r="B809" s="7" t="s">
        <v>27</v>
      </c>
      <c r="C809" s="14" t="s">
        <v>280</v>
      </c>
      <c r="D809" s="7" t="s">
        <v>29</v>
      </c>
      <c r="E809" s="7" t="s">
        <v>16</v>
      </c>
      <c r="F809" s="7" t="s">
        <v>78</v>
      </c>
      <c r="G809" s="8">
        <v>3</v>
      </c>
      <c r="H809" s="9">
        <v>59</v>
      </c>
      <c r="I809" s="9">
        <v>9.15</v>
      </c>
      <c r="J809" s="9">
        <f t="shared" si="22"/>
        <v>167.85</v>
      </c>
      <c r="K809" s="7" t="s">
        <v>89</v>
      </c>
    </row>
    <row r="810" spans="1:11" x14ac:dyDescent="0.25">
      <c r="A810" s="2" t="s">
        <v>1216</v>
      </c>
      <c r="B810" s="3" t="s">
        <v>63</v>
      </c>
      <c r="C810" s="13" t="s">
        <v>618</v>
      </c>
      <c r="D810" s="3" t="s">
        <v>39</v>
      </c>
      <c r="E810" s="3" t="s">
        <v>16</v>
      </c>
      <c r="F810" s="3" t="s">
        <v>103</v>
      </c>
      <c r="G810" s="4">
        <v>4</v>
      </c>
      <c r="H810" s="5">
        <v>89</v>
      </c>
      <c r="I810" s="5">
        <v>29.32</v>
      </c>
      <c r="J810" s="5">
        <f t="shared" si="22"/>
        <v>326.68</v>
      </c>
      <c r="K810" s="3" t="s">
        <v>65</v>
      </c>
    </row>
    <row r="811" spans="1:11" x14ac:dyDescent="0.25">
      <c r="A811" s="6" t="s">
        <v>1217</v>
      </c>
      <c r="B811" s="7" t="s">
        <v>34</v>
      </c>
      <c r="C811" s="14" t="s">
        <v>325</v>
      </c>
      <c r="D811" s="7" t="s">
        <v>39</v>
      </c>
      <c r="E811" s="7" t="s">
        <v>52</v>
      </c>
      <c r="F811" s="7" t="s">
        <v>61</v>
      </c>
      <c r="G811" s="8">
        <v>5</v>
      </c>
      <c r="H811" s="9">
        <v>199</v>
      </c>
      <c r="I811" s="9">
        <v>0</v>
      </c>
      <c r="J811" s="9">
        <f t="shared" si="22"/>
        <v>995</v>
      </c>
      <c r="K811" s="7" t="s">
        <v>44</v>
      </c>
    </row>
    <row r="812" spans="1:11" x14ac:dyDescent="0.25">
      <c r="A812" s="2" t="s">
        <v>1218</v>
      </c>
      <c r="B812" s="3" t="s">
        <v>34</v>
      </c>
      <c r="C812" s="13" t="s">
        <v>711</v>
      </c>
      <c r="D812" s="3" t="s">
        <v>47</v>
      </c>
      <c r="E812" s="3" t="s">
        <v>30</v>
      </c>
      <c r="F812" s="3" t="s">
        <v>68</v>
      </c>
      <c r="G812" s="4">
        <v>1</v>
      </c>
      <c r="H812" s="5">
        <v>799</v>
      </c>
      <c r="I812" s="5">
        <v>86.53</v>
      </c>
      <c r="J812" s="5">
        <f t="shared" si="22"/>
        <v>712.47</v>
      </c>
      <c r="K812" s="3" t="s">
        <v>49</v>
      </c>
    </row>
    <row r="813" spans="1:11" x14ac:dyDescent="0.25">
      <c r="A813" s="6" t="s">
        <v>1219</v>
      </c>
      <c r="B813" s="7" t="s">
        <v>27</v>
      </c>
      <c r="C813" s="14" t="s">
        <v>449</v>
      </c>
      <c r="D813" s="7" t="s">
        <v>39</v>
      </c>
      <c r="E813" s="7" t="s">
        <v>52</v>
      </c>
      <c r="F813" s="7" t="s">
        <v>53</v>
      </c>
      <c r="G813" s="8">
        <v>1</v>
      </c>
      <c r="H813" s="9">
        <v>149</v>
      </c>
      <c r="I813" s="9">
        <v>0</v>
      </c>
      <c r="J813" s="9">
        <f t="shared" si="22"/>
        <v>149</v>
      </c>
      <c r="K813" s="7" t="s">
        <v>44</v>
      </c>
    </row>
    <row r="814" spans="1:11" x14ac:dyDescent="0.25">
      <c r="A814" s="2" t="s">
        <v>1220</v>
      </c>
      <c r="B814" s="3" t="s">
        <v>37</v>
      </c>
      <c r="C814" s="13" t="s">
        <v>14</v>
      </c>
      <c r="D814" s="3" t="s">
        <v>47</v>
      </c>
      <c r="E814" s="3" t="s">
        <v>30</v>
      </c>
      <c r="F814" s="3" t="s">
        <v>68</v>
      </c>
      <c r="G814" s="4">
        <v>4</v>
      </c>
      <c r="H814" s="5">
        <v>799</v>
      </c>
      <c r="I814" s="5">
        <v>226.17</v>
      </c>
      <c r="J814" s="5">
        <f t="shared" si="22"/>
        <v>2969.83</v>
      </c>
      <c r="K814" s="3" t="s">
        <v>69</v>
      </c>
    </row>
    <row r="815" spans="1:11" x14ac:dyDescent="0.25">
      <c r="A815" s="6" t="s">
        <v>1221</v>
      </c>
      <c r="B815" s="7" t="s">
        <v>63</v>
      </c>
      <c r="C815" s="14" t="s">
        <v>813</v>
      </c>
      <c r="D815" s="7" t="s">
        <v>22</v>
      </c>
      <c r="E815" s="7" t="s">
        <v>52</v>
      </c>
      <c r="F815" s="7" t="s">
        <v>53</v>
      </c>
      <c r="G815" s="8">
        <v>2</v>
      </c>
      <c r="H815" s="9">
        <v>149</v>
      </c>
      <c r="I815" s="9">
        <v>17.98</v>
      </c>
      <c r="J815" s="9">
        <f t="shared" si="22"/>
        <v>280.02</v>
      </c>
      <c r="K815" s="7" t="s">
        <v>89</v>
      </c>
    </row>
    <row r="816" spans="1:11" x14ac:dyDescent="0.25">
      <c r="A816" s="2" t="s">
        <v>1222</v>
      </c>
      <c r="B816" s="3" t="s">
        <v>63</v>
      </c>
      <c r="C816" s="13" t="s">
        <v>329</v>
      </c>
      <c r="D816" s="3" t="s">
        <v>15</v>
      </c>
      <c r="E816" s="3" t="s">
        <v>16</v>
      </c>
      <c r="F816" s="3" t="s">
        <v>78</v>
      </c>
      <c r="G816" s="4">
        <v>2</v>
      </c>
      <c r="H816" s="5">
        <v>59</v>
      </c>
      <c r="I816" s="5">
        <v>16.559999999999999</v>
      </c>
      <c r="J816" s="5">
        <f t="shared" si="22"/>
        <v>101.44</v>
      </c>
      <c r="K816" s="3" t="s">
        <v>18</v>
      </c>
    </row>
    <row r="817" spans="1:11" x14ac:dyDescent="0.25">
      <c r="A817" s="6" t="s">
        <v>1223</v>
      </c>
      <c r="B817" s="7" t="s">
        <v>34</v>
      </c>
      <c r="C817" s="14" t="s">
        <v>469</v>
      </c>
      <c r="D817" s="7" t="s">
        <v>29</v>
      </c>
      <c r="E817" s="7" t="s">
        <v>16</v>
      </c>
      <c r="F817" s="7" t="s">
        <v>17</v>
      </c>
      <c r="G817" s="8">
        <v>1</v>
      </c>
      <c r="H817" s="9">
        <v>39</v>
      </c>
      <c r="I817" s="9">
        <v>3.82</v>
      </c>
      <c r="J817" s="9">
        <f t="shared" si="22"/>
        <v>35.18</v>
      </c>
      <c r="K817" s="7" t="s">
        <v>18</v>
      </c>
    </row>
    <row r="818" spans="1:11" x14ac:dyDescent="0.25">
      <c r="A818" s="2" t="s">
        <v>1224</v>
      </c>
      <c r="B818" s="3" t="s">
        <v>55</v>
      </c>
      <c r="C818" s="13" t="s">
        <v>1147</v>
      </c>
      <c r="D818" s="3" t="s">
        <v>29</v>
      </c>
      <c r="E818" s="3" t="s">
        <v>23</v>
      </c>
      <c r="F818" s="3" t="s">
        <v>43</v>
      </c>
      <c r="G818" s="4">
        <v>5</v>
      </c>
      <c r="H818" s="5">
        <v>350</v>
      </c>
      <c r="I818" s="5">
        <v>0</v>
      </c>
      <c r="J818" s="5">
        <f t="shared" si="22"/>
        <v>1750</v>
      </c>
      <c r="K818" s="3" t="s">
        <v>65</v>
      </c>
    </row>
    <row r="819" spans="1:11" x14ac:dyDescent="0.25">
      <c r="A819" s="6" t="s">
        <v>1225</v>
      </c>
      <c r="B819" s="7" t="s">
        <v>110</v>
      </c>
      <c r="C819" s="14" t="s">
        <v>454</v>
      </c>
      <c r="D819" s="7" t="s">
        <v>39</v>
      </c>
      <c r="E819" s="7" t="s">
        <v>23</v>
      </c>
      <c r="F819" s="7" t="s">
        <v>43</v>
      </c>
      <c r="G819" s="8">
        <v>3</v>
      </c>
      <c r="H819" s="9">
        <v>350</v>
      </c>
      <c r="I819" s="9">
        <v>0</v>
      </c>
      <c r="J819" s="9">
        <f t="shared" si="22"/>
        <v>1050</v>
      </c>
      <c r="K819" s="7" t="s">
        <v>44</v>
      </c>
    </row>
    <row r="820" spans="1:11" x14ac:dyDescent="0.25">
      <c r="A820" s="2" t="s">
        <v>1226</v>
      </c>
      <c r="B820" s="3" t="s">
        <v>37</v>
      </c>
      <c r="C820" s="13" t="s">
        <v>1119</v>
      </c>
      <c r="D820" s="3" t="s">
        <v>29</v>
      </c>
      <c r="E820" s="3" t="s">
        <v>52</v>
      </c>
      <c r="F820" s="3" t="s">
        <v>53</v>
      </c>
      <c r="G820" s="4">
        <v>5</v>
      </c>
      <c r="H820" s="5">
        <v>149</v>
      </c>
      <c r="I820" s="5">
        <v>85.61</v>
      </c>
      <c r="J820" s="5">
        <f t="shared" si="22"/>
        <v>659.39</v>
      </c>
      <c r="K820" s="3" t="s">
        <v>32</v>
      </c>
    </row>
    <row r="821" spans="1:11" x14ac:dyDescent="0.25">
      <c r="A821" s="6" t="s">
        <v>1227</v>
      </c>
      <c r="B821" s="7" t="s">
        <v>95</v>
      </c>
      <c r="C821" s="14" t="s">
        <v>260</v>
      </c>
      <c r="D821" s="7" t="s">
        <v>39</v>
      </c>
      <c r="E821" s="7" t="s">
        <v>16</v>
      </c>
      <c r="F821" s="7" t="s">
        <v>17</v>
      </c>
      <c r="G821" s="8">
        <v>1</v>
      </c>
      <c r="H821" s="9">
        <v>39</v>
      </c>
      <c r="I821" s="9">
        <v>3.64</v>
      </c>
      <c r="J821" s="9">
        <f t="shared" si="22"/>
        <v>35.36</v>
      </c>
      <c r="K821" s="7" t="s">
        <v>18</v>
      </c>
    </row>
    <row r="822" spans="1:11" x14ac:dyDescent="0.25">
      <c r="A822" s="2" t="s">
        <v>1228</v>
      </c>
      <c r="B822" s="3" t="s">
        <v>13</v>
      </c>
      <c r="C822" s="13" t="s">
        <v>1229</v>
      </c>
      <c r="D822" s="3" t="s">
        <v>47</v>
      </c>
      <c r="E822" s="3" t="s">
        <v>23</v>
      </c>
      <c r="F822" s="3" t="s">
        <v>24</v>
      </c>
      <c r="G822" s="4">
        <v>3</v>
      </c>
      <c r="H822" s="5">
        <v>180</v>
      </c>
      <c r="I822" s="5">
        <v>46.34</v>
      </c>
      <c r="J822" s="5">
        <f t="shared" si="22"/>
        <v>493.65999999999997</v>
      </c>
      <c r="K822" s="3" t="s">
        <v>49</v>
      </c>
    </row>
    <row r="823" spans="1:11" x14ac:dyDescent="0.25">
      <c r="A823" s="6" t="s">
        <v>1230</v>
      </c>
      <c r="B823" s="7" t="s">
        <v>13</v>
      </c>
      <c r="C823" s="14" t="s">
        <v>155</v>
      </c>
      <c r="D823" s="7" t="s">
        <v>15</v>
      </c>
      <c r="E823" s="7" t="s">
        <v>30</v>
      </c>
      <c r="F823" s="7" t="s">
        <v>31</v>
      </c>
      <c r="G823" s="8">
        <v>1</v>
      </c>
      <c r="H823" s="9">
        <v>2500</v>
      </c>
      <c r="I823" s="9">
        <v>0</v>
      </c>
      <c r="J823" s="9">
        <f t="shared" si="22"/>
        <v>2500</v>
      </c>
      <c r="K823" s="7" t="s">
        <v>89</v>
      </c>
    </row>
    <row r="824" spans="1:11" x14ac:dyDescent="0.25">
      <c r="A824" s="2" t="s">
        <v>1231</v>
      </c>
      <c r="B824" s="3" t="s">
        <v>27</v>
      </c>
      <c r="C824" s="13" t="s">
        <v>1112</v>
      </c>
      <c r="D824" s="3" t="s">
        <v>29</v>
      </c>
      <c r="E824" s="3" t="s">
        <v>16</v>
      </c>
      <c r="F824" s="3" t="s">
        <v>103</v>
      </c>
      <c r="G824" s="4">
        <v>2</v>
      </c>
      <c r="H824" s="5">
        <v>89</v>
      </c>
      <c r="I824" s="5">
        <v>4.68</v>
      </c>
      <c r="J824" s="5">
        <f t="shared" si="22"/>
        <v>173.32</v>
      </c>
      <c r="K824" s="3" t="s">
        <v>32</v>
      </c>
    </row>
    <row r="825" spans="1:11" x14ac:dyDescent="0.25">
      <c r="A825" s="6" t="s">
        <v>1232</v>
      </c>
      <c r="B825" s="7" t="s">
        <v>27</v>
      </c>
      <c r="C825" s="14" t="s">
        <v>1144</v>
      </c>
      <c r="D825" s="7" t="s">
        <v>47</v>
      </c>
      <c r="E825" s="7" t="s">
        <v>52</v>
      </c>
      <c r="F825" s="7" t="s">
        <v>99</v>
      </c>
      <c r="G825" s="8">
        <v>4</v>
      </c>
      <c r="H825" s="9">
        <v>79</v>
      </c>
      <c r="I825" s="9">
        <v>0</v>
      </c>
      <c r="J825" s="9">
        <f t="shared" si="22"/>
        <v>316</v>
      </c>
      <c r="K825" s="7" t="s">
        <v>25</v>
      </c>
    </row>
    <row r="826" spans="1:11" x14ac:dyDescent="0.25">
      <c r="A826" s="2" t="s">
        <v>1233</v>
      </c>
      <c r="B826" s="3" t="s">
        <v>37</v>
      </c>
      <c r="C826" s="13" t="s">
        <v>186</v>
      </c>
      <c r="D826" s="3" t="s">
        <v>15</v>
      </c>
      <c r="E826" s="3" t="s">
        <v>52</v>
      </c>
      <c r="F826" s="3" t="s">
        <v>75</v>
      </c>
      <c r="G826" s="4">
        <v>1</v>
      </c>
      <c r="H826" s="5">
        <v>249</v>
      </c>
      <c r="I826" s="5">
        <v>0</v>
      </c>
      <c r="J826" s="5">
        <f t="shared" si="22"/>
        <v>249</v>
      </c>
      <c r="K826" s="3" t="s">
        <v>49</v>
      </c>
    </row>
    <row r="827" spans="1:11" x14ac:dyDescent="0.25">
      <c r="A827" s="6" t="s">
        <v>1234</v>
      </c>
      <c r="B827" s="7" t="s">
        <v>20</v>
      </c>
      <c r="C827" s="14" t="s">
        <v>599</v>
      </c>
      <c r="D827" s="7" t="s">
        <v>47</v>
      </c>
      <c r="E827" s="7" t="s">
        <v>30</v>
      </c>
      <c r="F827" s="7" t="s">
        <v>152</v>
      </c>
      <c r="G827" s="8">
        <v>1</v>
      </c>
      <c r="H827" s="9">
        <v>4500</v>
      </c>
      <c r="I827" s="9">
        <v>484.93</v>
      </c>
      <c r="J827" s="9">
        <f t="shared" si="22"/>
        <v>4015.07</v>
      </c>
      <c r="K827" s="7" t="s">
        <v>49</v>
      </c>
    </row>
    <row r="828" spans="1:11" x14ac:dyDescent="0.25">
      <c r="A828" s="2" t="s">
        <v>1235</v>
      </c>
      <c r="B828" s="3" t="s">
        <v>71</v>
      </c>
      <c r="C828" s="13" t="s">
        <v>373</v>
      </c>
      <c r="D828" s="3" t="s">
        <v>47</v>
      </c>
      <c r="E828" s="3" t="s">
        <v>52</v>
      </c>
      <c r="F828" s="3" t="s">
        <v>99</v>
      </c>
      <c r="G828" s="4">
        <v>1</v>
      </c>
      <c r="H828" s="5">
        <v>79</v>
      </c>
      <c r="I828" s="5">
        <v>0</v>
      </c>
      <c r="J828" s="5">
        <f t="shared" si="22"/>
        <v>79</v>
      </c>
      <c r="K828" s="3" t="s">
        <v>65</v>
      </c>
    </row>
    <row r="829" spans="1:11" x14ac:dyDescent="0.25">
      <c r="A829" s="6" t="s">
        <v>1236</v>
      </c>
      <c r="B829" s="7" t="s">
        <v>71</v>
      </c>
      <c r="C829" s="14" t="s">
        <v>136</v>
      </c>
      <c r="D829" s="7" t="s">
        <v>39</v>
      </c>
      <c r="E829" s="7" t="s">
        <v>23</v>
      </c>
      <c r="F829" s="7" t="s">
        <v>88</v>
      </c>
      <c r="G829" s="8">
        <v>1</v>
      </c>
      <c r="H829" s="9">
        <v>650</v>
      </c>
      <c r="I829" s="9">
        <v>85.71</v>
      </c>
      <c r="J829" s="9">
        <f t="shared" si="22"/>
        <v>564.29</v>
      </c>
      <c r="K829" s="7" t="s">
        <v>25</v>
      </c>
    </row>
    <row r="830" spans="1:11" x14ac:dyDescent="0.25">
      <c r="A830" s="2" t="s">
        <v>1237</v>
      </c>
      <c r="B830" s="3" t="s">
        <v>101</v>
      </c>
      <c r="C830" s="13" t="s">
        <v>1238</v>
      </c>
      <c r="D830" s="3" t="s">
        <v>149</v>
      </c>
      <c r="E830" s="3" t="s">
        <v>52</v>
      </c>
      <c r="F830" s="3" t="s">
        <v>75</v>
      </c>
      <c r="G830" s="4">
        <v>5</v>
      </c>
      <c r="H830" s="5">
        <v>249</v>
      </c>
      <c r="I830" s="5">
        <v>84.31</v>
      </c>
      <c r="J830" s="5">
        <f t="shared" si="22"/>
        <v>1160.69</v>
      </c>
      <c r="K830" s="3" t="s">
        <v>25</v>
      </c>
    </row>
    <row r="831" spans="1:11" x14ac:dyDescent="0.25">
      <c r="A831" s="6" t="s">
        <v>1239</v>
      </c>
      <c r="B831" s="7" t="s">
        <v>41</v>
      </c>
      <c r="C831" s="14" t="s">
        <v>716</v>
      </c>
      <c r="D831" s="7" t="s">
        <v>47</v>
      </c>
      <c r="E831" s="7" t="s">
        <v>52</v>
      </c>
      <c r="F831" s="7" t="s">
        <v>53</v>
      </c>
      <c r="G831" s="8">
        <v>2</v>
      </c>
      <c r="H831" s="9">
        <v>149</v>
      </c>
      <c r="I831" s="9">
        <v>9.01</v>
      </c>
      <c r="J831" s="9">
        <f t="shared" si="22"/>
        <v>288.99</v>
      </c>
      <c r="K831" s="7" t="s">
        <v>18</v>
      </c>
    </row>
    <row r="832" spans="1:11" x14ac:dyDescent="0.25">
      <c r="A832" s="2" t="s">
        <v>1240</v>
      </c>
      <c r="B832" s="3" t="s">
        <v>13</v>
      </c>
      <c r="C832" s="13" t="s">
        <v>501</v>
      </c>
      <c r="D832" s="3" t="s">
        <v>39</v>
      </c>
      <c r="E832" s="3" t="s">
        <v>30</v>
      </c>
      <c r="F832" s="3" t="s">
        <v>152</v>
      </c>
      <c r="G832" s="4">
        <v>3</v>
      </c>
      <c r="H832" s="5">
        <v>4500</v>
      </c>
      <c r="I832" s="5">
        <v>193.51</v>
      </c>
      <c r="J832" s="5">
        <f t="shared" si="22"/>
        <v>13306.49</v>
      </c>
      <c r="K832" s="3" t="s">
        <v>44</v>
      </c>
    </row>
    <row r="833" spans="1:11" x14ac:dyDescent="0.25">
      <c r="A833" s="6" t="s">
        <v>1241</v>
      </c>
      <c r="B833" s="7" t="s">
        <v>95</v>
      </c>
      <c r="C833" s="14" t="s">
        <v>768</v>
      </c>
      <c r="D833" s="7" t="s">
        <v>39</v>
      </c>
      <c r="E833" s="7" t="s">
        <v>30</v>
      </c>
      <c r="F833" s="7" t="s">
        <v>31</v>
      </c>
      <c r="G833" s="8">
        <v>3</v>
      </c>
      <c r="H833" s="9">
        <v>2500</v>
      </c>
      <c r="I833" s="9">
        <v>0</v>
      </c>
      <c r="J833" s="9">
        <f t="shared" si="22"/>
        <v>7500</v>
      </c>
      <c r="K833" s="7" t="s">
        <v>25</v>
      </c>
    </row>
    <row r="834" spans="1:11" x14ac:dyDescent="0.25">
      <c r="A834" s="2" t="s">
        <v>1242</v>
      </c>
      <c r="B834" s="3" t="s">
        <v>63</v>
      </c>
      <c r="C834" s="13" t="s">
        <v>527</v>
      </c>
      <c r="D834" s="3" t="s">
        <v>39</v>
      </c>
      <c r="E834" s="3" t="s">
        <v>23</v>
      </c>
      <c r="F834" s="3" t="s">
        <v>43</v>
      </c>
      <c r="G834" s="4">
        <v>4</v>
      </c>
      <c r="H834" s="5">
        <v>350</v>
      </c>
      <c r="I834" s="5">
        <v>0</v>
      </c>
      <c r="J834" s="5">
        <f t="shared" si="22"/>
        <v>1400</v>
      </c>
      <c r="K834" s="3" t="s">
        <v>44</v>
      </c>
    </row>
    <row r="835" spans="1:11" x14ac:dyDescent="0.25">
      <c r="A835" s="6" t="s">
        <v>1243</v>
      </c>
      <c r="B835" s="7" t="s">
        <v>27</v>
      </c>
      <c r="C835" s="14" t="s">
        <v>386</v>
      </c>
      <c r="D835" s="7" t="s">
        <v>39</v>
      </c>
      <c r="E835" s="7" t="s">
        <v>16</v>
      </c>
      <c r="F835" s="7" t="s">
        <v>103</v>
      </c>
      <c r="G835" s="8">
        <v>2</v>
      </c>
      <c r="H835" s="9">
        <v>89</v>
      </c>
      <c r="I835" s="9">
        <v>3.13</v>
      </c>
      <c r="J835" s="9">
        <f t="shared" si="22"/>
        <v>174.87</v>
      </c>
      <c r="K835" s="7" t="s">
        <v>49</v>
      </c>
    </row>
    <row r="836" spans="1:11" x14ac:dyDescent="0.25">
      <c r="A836" s="2" t="s">
        <v>1244</v>
      </c>
      <c r="B836" s="3" t="s">
        <v>55</v>
      </c>
      <c r="C836" s="13" t="s">
        <v>384</v>
      </c>
      <c r="D836" s="3" t="s">
        <v>47</v>
      </c>
      <c r="E836" s="3" t="s">
        <v>23</v>
      </c>
      <c r="F836" s="3" t="s">
        <v>43</v>
      </c>
      <c r="G836" s="4">
        <v>2</v>
      </c>
      <c r="H836" s="5">
        <v>350</v>
      </c>
      <c r="I836" s="5">
        <v>0</v>
      </c>
      <c r="J836" s="5">
        <f t="shared" si="22"/>
        <v>700</v>
      </c>
      <c r="K836" s="3" t="s">
        <v>32</v>
      </c>
    </row>
    <row r="837" spans="1:11" x14ac:dyDescent="0.25">
      <c r="A837" s="6" t="s">
        <v>1245</v>
      </c>
      <c r="B837" s="7" t="s">
        <v>13</v>
      </c>
      <c r="C837" s="14" t="s">
        <v>697</v>
      </c>
      <c r="D837" s="7" t="s">
        <v>39</v>
      </c>
      <c r="E837" s="7" t="s">
        <v>16</v>
      </c>
      <c r="F837" s="7" t="s">
        <v>116</v>
      </c>
      <c r="G837" s="8">
        <v>3</v>
      </c>
      <c r="H837" s="9">
        <v>45</v>
      </c>
      <c r="I837" s="9">
        <v>0</v>
      </c>
      <c r="J837" s="9">
        <f t="shared" si="22"/>
        <v>135</v>
      </c>
      <c r="K837" s="7" t="s">
        <v>44</v>
      </c>
    </row>
    <row r="838" spans="1:11" x14ac:dyDescent="0.25">
      <c r="A838" s="2" t="s">
        <v>1246</v>
      </c>
      <c r="B838" s="3" t="s">
        <v>27</v>
      </c>
      <c r="C838" s="13" t="s">
        <v>616</v>
      </c>
      <c r="D838" s="3" t="s">
        <v>39</v>
      </c>
      <c r="E838" s="3" t="s">
        <v>16</v>
      </c>
      <c r="F838" s="3" t="s">
        <v>103</v>
      </c>
      <c r="G838" s="4">
        <v>4</v>
      </c>
      <c r="H838" s="5">
        <v>89</v>
      </c>
      <c r="I838" s="5">
        <v>0</v>
      </c>
      <c r="J838" s="5">
        <f t="shared" si="22"/>
        <v>356</v>
      </c>
      <c r="K838" s="3" t="s">
        <v>69</v>
      </c>
    </row>
    <row r="839" spans="1:11" x14ac:dyDescent="0.25">
      <c r="A839" s="6" t="s">
        <v>1247</v>
      </c>
      <c r="B839" s="7" t="s">
        <v>71</v>
      </c>
      <c r="C839" s="14" t="s">
        <v>857</v>
      </c>
      <c r="D839" s="7" t="s">
        <v>47</v>
      </c>
      <c r="E839" s="7" t="s">
        <v>23</v>
      </c>
      <c r="F839" s="7" t="s">
        <v>24</v>
      </c>
      <c r="G839" s="8">
        <v>5</v>
      </c>
      <c r="H839" s="9">
        <v>180</v>
      </c>
      <c r="I839" s="9">
        <v>72.58</v>
      </c>
      <c r="J839" s="9">
        <f t="shared" si="22"/>
        <v>827.42</v>
      </c>
      <c r="K839" s="7" t="s">
        <v>49</v>
      </c>
    </row>
    <row r="840" spans="1:11" x14ac:dyDescent="0.25">
      <c r="A840" s="2" t="s">
        <v>1248</v>
      </c>
      <c r="B840" s="3" t="s">
        <v>63</v>
      </c>
      <c r="C840" s="13" t="s">
        <v>884</v>
      </c>
      <c r="D840" s="3" t="s">
        <v>29</v>
      </c>
      <c r="E840" s="3" t="s">
        <v>23</v>
      </c>
      <c r="F840" s="3" t="s">
        <v>24</v>
      </c>
      <c r="G840" s="4">
        <v>4</v>
      </c>
      <c r="H840" s="5">
        <v>180</v>
      </c>
      <c r="I840" s="5">
        <v>0</v>
      </c>
      <c r="J840" s="5">
        <f t="shared" si="22"/>
        <v>720</v>
      </c>
      <c r="K840" s="3" t="s">
        <v>69</v>
      </c>
    </row>
    <row r="841" spans="1:11" x14ac:dyDescent="0.25">
      <c r="A841" s="6" t="s">
        <v>1249</v>
      </c>
      <c r="B841" s="7" t="s">
        <v>55</v>
      </c>
      <c r="C841" s="14" t="s">
        <v>728</v>
      </c>
      <c r="D841" s="7" t="s">
        <v>29</v>
      </c>
      <c r="E841" s="7" t="s">
        <v>23</v>
      </c>
      <c r="F841" s="7" t="s">
        <v>88</v>
      </c>
      <c r="G841" s="8">
        <v>3</v>
      </c>
      <c r="H841" s="9">
        <v>650</v>
      </c>
      <c r="I841" s="9">
        <v>0</v>
      </c>
      <c r="J841" s="9">
        <f t="shared" si="22"/>
        <v>1950</v>
      </c>
      <c r="K841" s="7" t="s">
        <v>44</v>
      </c>
    </row>
    <row r="842" spans="1:11" x14ac:dyDescent="0.25">
      <c r="A842" s="2" t="s">
        <v>1250</v>
      </c>
      <c r="B842" s="3" t="s">
        <v>71</v>
      </c>
      <c r="C842" s="13" t="s">
        <v>724</v>
      </c>
      <c r="D842" s="3" t="s">
        <v>47</v>
      </c>
      <c r="E842" s="3" t="s">
        <v>30</v>
      </c>
      <c r="F842" s="3" t="s">
        <v>31</v>
      </c>
      <c r="G842" s="4">
        <v>5</v>
      </c>
      <c r="H842" s="5">
        <v>2500</v>
      </c>
      <c r="I842" s="5">
        <v>0</v>
      </c>
      <c r="J842" s="5">
        <f t="shared" si="22"/>
        <v>12500</v>
      </c>
      <c r="K842" s="3" t="s">
        <v>69</v>
      </c>
    </row>
    <row r="843" spans="1:11" x14ac:dyDescent="0.25">
      <c r="A843" s="6" t="s">
        <v>1251</v>
      </c>
      <c r="B843" s="7" t="s">
        <v>13</v>
      </c>
      <c r="C843" s="14" t="s">
        <v>579</v>
      </c>
      <c r="D843" s="7" t="s">
        <v>47</v>
      </c>
      <c r="E843" s="7" t="s">
        <v>30</v>
      </c>
      <c r="F843" s="7" t="s">
        <v>68</v>
      </c>
      <c r="G843" s="8">
        <v>2</v>
      </c>
      <c r="H843" s="9">
        <v>799</v>
      </c>
      <c r="I843" s="9">
        <v>126.95</v>
      </c>
      <c r="J843" s="9">
        <f t="shared" si="22"/>
        <v>1471.05</v>
      </c>
      <c r="K843" s="7" t="s">
        <v>18</v>
      </c>
    </row>
    <row r="844" spans="1:11" x14ac:dyDescent="0.25">
      <c r="A844" s="2" t="s">
        <v>1252</v>
      </c>
      <c r="B844" s="3" t="s">
        <v>34</v>
      </c>
      <c r="C844" s="13" t="s">
        <v>518</v>
      </c>
      <c r="D844" s="3" t="s">
        <v>29</v>
      </c>
      <c r="E844" s="3" t="s">
        <v>23</v>
      </c>
      <c r="F844" s="3" t="s">
        <v>88</v>
      </c>
      <c r="G844" s="4">
        <v>2</v>
      </c>
      <c r="H844" s="5">
        <v>650</v>
      </c>
      <c r="I844" s="5">
        <v>133.1</v>
      </c>
      <c r="J844" s="5">
        <f t="shared" ref="J844:J907" si="23">(G844*H844)-I844</f>
        <v>1166.9000000000001</v>
      </c>
      <c r="K844" s="3" t="s">
        <v>89</v>
      </c>
    </row>
    <row r="845" spans="1:11" x14ac:dyDescent="0.25">
      <c r="A845" s="6" t="s">
        <v>1253</v>
      </c>
      <c r="B845" s="7" t="s">
        <v>63</v>
      </c>
      <c r="C845" s="14" t="s">
        <v>488</v>
      </c>
      <c r="D845" s="7" t="s">
        <v>29</v>
      </c>
      <c r="E845" s="7" t="s">
        <v>23</v>
      </c>
      <c r="F845" s="7" t="s">
        <v>48</v>
      </c>
      <c r="G845" s="8">
        <v>5</v>
      </c>
      <c r="H845" s="9">
        <v>450</v>
      </c>
      <c r="I845" s="9">
        <v>0</v>
      </c>
      <c r="J845" s="9">
        <f t="shared" si="23"/>
        <v>2250</v>
      </c>
      <c r="K845" s="7" t="s">
        <v>65</v>
      </c>
    </row>
    <row r="846" spans="1:11" x14ac:dyDescent="0.25">
      <c r="A846" s="2" t="s">
        <v>1254</v>
      </c>
      <c r="B846" s="3" t="s">
        <v>13</v>
      </c>
      <c r="C846" s="13" t="s">
        <v>381</v>
      </c>
      <c r="D846" s="3" t="s">
        <v>47</v>
      </c>
      <c r="E846" s="3" t="s">
        <v>23</v>
      </c>
      <c r="F846" s="3" t="s">
        <v>24</v>
      </c>
      <c r="G846" s="4">
        <v>2</v>
      </c>
      <c r="H846" s="5">
        <v>180</v>
      </c>
      <c r="I846" s="5">
        <v>12.13</v>
      </c>
      <c r="J846" s="5">
        <f t="shared" si="23"/>
        <v>347.87</v>
      </c>
      <c r="K846" s="3" t="s">
        <v>18</v>
      </c>
    </row>
    <row r="847" spans="1:11" x14ac:dyDescent="0.25">
      <c r="A847" s="6" t="s">
        <v>1255</v>
      </c>
      <c r="B847" s="7" t="s">
        <v>20</v>
      </c>
      <c r="C847" s="14" t="s">
        <v>627</v>
      </c>
      <c r="D847" s="7" t="s">
        <v>15</v>
      </c>
      <c r="E847" s="7" t="s">
        <v>16</v>
      </c>
      <c r="F847" s="7" t="s">
        <v>116</v>
      </c>
      <c r="G847" s="8">
        <v>1</v>
      </c>
      <c r="H847" s="9">
        <v>45</v>
      </c>
      <c r="I847" s="9">
        <v>0.65</v>
      </c>
      <c r="J847" s="9">
        <f t="shared" si="23"/>
        <v>44.35</v>
      </c>
      <c r="K847" s="7" t="s">
        <v>44</v>
      </c>
    </row>
    <row r="848" spans="1:11" x14ac:dyDescent="0.25">
      <c r="A848" s="2" t="s">
        <v>1256</v>
      </c>
      <c r="B848" s="3" t="s">
        <v>110</v>
      </c>
      <c r="C848" s="13" t="s">
        <v>554</v>
      </c>
      <c r="D848" s="3" t="s">
        <v>39</v>
      </c>
      <c r="E848" s="3" t="s">
        <v>23</v>
      </c>
      <c r="F848" s="3" t="s">
        <v>88</v>
      </c>
      <c r="G848" s="4">
        <v>2</v>
      </c>
      <c r="H848" s="5">
        <v>650</v>
      </c>
      <c r="I848" s="5">
        <v>185.2</v>
      </c>
      <c r="J848" s="5">
        <f t="shared" si="23"/>
        <v>1114.8</v>
      </c>
      <c r="K848" s="3" t="s">
        <v>25</v>
      </c>
    </row>
    <row r="849" spans="1:11" x14ac:dyDescent="0.25">
      <c r="A849" s="6" t="s">
        <v>1257</v>
      </c>
      <c r="B849" s="7" t="s">
        <v>71</v>
      </c>
      <c r="C849" s="14" t="s">
        <v>401</v>
      </c>
      <c r="D849" s="7" t="s">
        <v>29</v>
      </c>
      <c r="E849" s="7" t="s">
        <v>23</v>
      </c>
      <c r="F849" s="7" t="s">
        <v>24</v>
      </c>
      <c r="G849" s="8">
        <v>2</v>
      </c>
      <c r="H849" s="9">
        <v>180</v>
      </c>
      <c r="I849" s="11"/>
      <c r="J849" s="9">
        <f t="shared" si="23"/>
        <v>360</v>
      </c>
      <c r="K849" s="7" t="s">
        <v>69</v>
      </c>
    </row>
    <row r="850" spans="1:11" x14ac:dyDescent="0.25">
      <c r="A850" s="2" t="s">
        <v>1258</v>
      </c>
      <c r="B850" s="3" t="s">
        <v>34</v>
      </c>
      <c r="C850" s="13" t="s">
        <v>98</v>
      </c>
      <c r="D850" s="3" t="s">
        <v>39</v>
      </c>
      <c r="E850" s="3" t="s">
        <v>30</v>
      </c>
      <c r="F850" s="3" t="s">
        <v>106</v>
      </c>
      <c r="G850" s="4">
        <v>1</v>
      </c>
      <c r="H850" s="5">
        <v>299</v>
      </c>
      <c r="I850" s="5">
        <v>12.25</v>
      </c>
      <c r="J850" s="5">
        <f t="shared" si="23"/>
        <v>286.75</v>
      </c>
      <c r="K850" s="3" t="s">
        <v>89</v>
      </c>
    </row>
    <row r="851" spans="1:11" x14ac:dyDescent="0.25">
      <c r="A851" s="6" t="s">
        <v>1259</v>
      </c>
      <c r="B851" s="7" t="s">
        <v>71</v>
      </c>
      <c r="C851" s="14" t="s">
        <v>627</v>
      </c>
      <c r="D851" s="7" t="s">
        <v>39</v>
      </c>
      <c r="E851" s="7" t="s">
        <v>16</v>
      </c>
      <c r="F851" s="7" t="s">
        <v>17</v>
      </c>
      <c r="G851" s="8">
        <v>4</v>
      </c>
      <c r="H851" s="9">
        <v>39</v>
      </c>
      <c r="I851" s="9">
        <v>2.85</v>
      </c>
      <c r="J851" s="9">
        <f t="shared" si="23"/>
        <v>153.15</v>
      </c>
      <c r="K851" s="7" t="s">
        <v>44</v>
      </c>
    </row>
    <row r="852" spans="1:11" x14ac:dyDescent="0.25">
      <c r="A852" s="2" t="s">
        <v>1260</v>
      </c>
      <c r="B852" s="3" t="s">
        <v>20</v>
      </c>
      <c r="C852" s="13" t="s">
        <v>1261</v>
      </c>
      <c r="D852" s="3" t="s">
        <v>22</v>
      </c>
      <c r="E852" s="3" t="s">
        <v>23</v>
      </c>
      <c r="F852" s="3" t="s">
        <v>43</v>
      </c>
      <c r="G852" s="4">
        <v>1</v>
      </c>
      <c r="H852" s="5">
        <v>350</v>
      </c>
      <c r="I852" s="5">
        <v>48.09</v>
      </c>
      <c r="J852" s="5">
        <f t="shared" si="23"/>
        <v>301.90999999999997</v>
      </c>
      <c r="K852" s="3" t="s">
        <v>49</v>
      </c>
    </row>
    <row r="853" spans="1:11" x14ac:dyDescent="0.25">
      <c r="A853" s="6" t="s">
        <v>1262</v>
      </c>
      <c r="B853" s="7" t="s">
        <v>71</v>
      </c>
      <c r="C853" s="14" t="s">
        <v>1263</v>
      </c>
      <c r="D853" s="7" t="s">
        <v>39</v>
      </c>
      <c r="E853" s="7" t="s">
        <v>52</v>
      </c>
      <c r="F853" s="7" t="s">
        <v>75</v>
      </c>
      <c r="G853" s="8">
        <v>1</v>
      </c>
      <c r="H853" s="9">
        <v>249</v>
      </c>
      <c r="I853" s="9">
        <v>30.87</v>
      </c>
      <c r="J853" s="9">
        <f t="shared" si="23"/>
        <v>218.13</v>
      </c>
      <c r="K853" s="7" t="s">
        <v>25</v>
      </c>
    </row>
    <row r="854" spans="1:11" x14ac:dyDescent="0.25">
      <c r="A854" s="2" t="s">
        <v>1264</v>
      </c>
      <c r="B854" s="3" t="s">
        <v>55</v>
      </c>
      <c r="C854" s="13" t="s">
        <v>1265</v>
      </c>
      <c r="D854" s="3" t="s">
        <v>39</v>
      </c>
      <c r="E854" s="3" t="s">
        <v>23</v>
      </c>
      <c r="F854" s="3" t="s">
        <v>88</v>
      </c>
      <c r="G854" s="4">
        <v>1</v>
      </c>
      <c r="H854" s="5">
        <v>650</v>
      </c>
      <c r="I854" s="5">
        <v>60.23</v>
      </c>
      <c r="J854" s="5">
        <f t="shared" si="23"/>
        <v>589.77</v>
      </c>
      <c r="K854" s="3" t="s">
        <v>18</v>
      </c>
    </row>
    <row r="855" spans="1:11" x14ac:dyDescent="0.25">
      <c r="A855" s="6" t="s">
        <v>1266</v>
      </c>
      <c r="B855" s="7" t="s">
        <v>20</v>
      </c>
      <c r="C855" s="14" t="s">
        <v>83</v>
      </c>
      <c r="D855" s="7" t="s">
        <v>47</v>
      </c>
      <c r="E855" s="7" t="s">
        <v>52</v>
      </c>
      <c r="F855" s="7" t="s">
        <v>99</v>
      </c>
      <c r="G855" s="8">
        <v>3</v>
      </c>
      <c r="H855" s="9">
        <v>79</v>
      </c>
      <c r="I855" s="9">
        <v>19.510000000000002</v>
      </c>
      <c r="J855" s="9">
        <f t="shared" si="23"/>
        <v>217.49</v>
      </c>
      <c r="K855" s="7" t="s">
        <v>18</v>
      </c>
    </row>
    <row r="856" spans="1:11" x14ac:dyDescent="0.25">
      <c r="A856" s="2" t="s">
        <v>1267</v>
      </c>
      <c r="B856" s="3" t="s">
        <v>37</v>
      </c>
      <c r="C856" s="13" t="s">
        <v>564</v>
      </c>
      <c r="D856" s="3" t="s">
        <v>149</v>
      </c>
      <c r="E856" s="3" t="s">
        <v>16</v>
      </c>
      <c r="F856" s="3" t="s">
        <v>116</v>
      </c>
      <c r="G856" s="4">
        <v>4</v>
      </c>
      <c r="H856" s="5">
        <v>45</v>
      </c>
      <c r="I856" s="5">
        <v>0</v>
      </c>
      <c r="J856" s="5">
        <f t="shared" si="23"/>
        <v>180</v>
      </c>
      <c r="K856" s="3" t="s">
        <v>89</v>
      </c>
    </row>
    <row r="857" spans="1:11" x14ac:dyDescent="0.25">
      <c r="A857" s="6" t="s">
        <v>1268</v>
      </c>
      <c r="B857" s="7" t="s">
        <v>20</v>
      </c>
      <c r="C857" s="14" t="s">
        <v>634</v>
      </c>
      <c r="D857" s="7" t="s">
        <v>39</v>
      </c>
      <c r="E857" s="7" t="s">
        <v>23</v>
      </c>
      <c r="F857" s="7" t="s">
        <v>88</v>
      </c>
      <c r="G857" s="8">
        <v>3</v>
      </c>
      <c r="H857" s="9">
        <v>650</v>
      </c>
      <c r="I857" s="9">
        <v>258.26</v>
      </c>
      <c r="J857" s="9">
        <f t="shared" si="23"/>
        <v>1691.74</v>
      </c>
      <c r="K857" s="7" t="s">
        <v>69</v>
      </c>
    </row>
    <row r="858" spans="1:11" x14ac:dyDescent="0.25">
      <c r="A858" s="2" t="s">
        <v>1269</v>
      </c>
      <c r="B858" s="3" t="s">
        <v>55</v>
      </c>
      <c r="C858" s="13" t="s">
        <v>752</v>
      </c>
      <c r="D858" s="3" t="s">
        <v>15</v>
      </c>
      <c r="E858" s="3" t="s">
        <v>23</v>
      </c>
      <c r="F858" s="3" t="s">
        <v>88</v>
      </c>
      <c r="G858" s="4">
        <v>5</v>
      </c>
      <c r="H858" s="5">
        <v>650</v>
      </c>
      <c r="I858" s="5">
        <v>227.52</v>
      </c>
      <c r="J858" s="5">
        <f t="shared" si="23"/>
        <v>3022.48</v>
      </c>
      <c r="K858" s="3" t="s">
        <v>32</v>
      </c>
    </row>
    <row r="859" spans="1:11" x14ac:dyDescent="0.25">
      <c r="A859" s="6" t="s">
        <v>1270</v>
      </c>
      <c r="B859" s="7" t="s">
        <v>63</v>
      </c>
      <c r="C859" s="14" t="s">
        <v>527</v>
      </c>
      <c r="D859" s="7" t="s">
        <v>47</v>
      </c>
      <c r="E859" s="7" t="s">
        <v>23</v>
      </c>
      <c r="F859" s="7" t="s">
        <v>43</v>
      </c>
      <c r="G859" s="8">
        <v>4</v>
      </c>
      <c r="H859" s="9">
        <v>350</v>
      </c>
      <c r="I859" s="9">
        <v>201.95</v>
      </c>
      <c r="J859" s="9">
        <f t="shared" si="23"/>
        <v>1198.05</v>
      </c>
      <c r="K859" s="7" t="s">
        <v>89</v>
      </c>
    </row>
    <row r="860" spans="1:11" x14ac:dyDescent="0.25">
      <c r="A860" s="2" t="s">
        <v>1271</v>
      </c>
      <c r="B860" s="3" t="s">
        <v>55</v>
      </c>
      <c r="C860" s="13" t="s">
        <v>996</v>
      </c>
      <c r="D860" s="3" t="s">
        <v>39</v>
      </c>
      <c r="E860" s="3" t="s">
        <v>30</v>
      </c>
      <c r="F860" s="3" t="s">
        <v>106</v>
      </c>
      <c r="G860" s="4">
        <v>2</v>
      </c>
      <c r="H860" s="5">
        <v>299</v>
      </c>
      <c r="I860" s="5">
        <v>0</v>
      </c>
      <c r="J860" s="5">
        <f t="shared" si="23"/>
        <v>598</v>
      </c>
      <c r="K860" s="3" t="s">
        <v>65</v>
      </c>
    </row>
    <row r="861" spans="1:11" x14ac:dyDescent="0.25">
      <c r="A861" s="6" t="s">
        <v>1272</v>
      </c>
      <c r="B861" s="7" t="s">
        <v>71</v>
      </c>
      <c r="C861" s="14" t="s">
        <v>614</v>
      </c>
      <c r="D861" s="7" t="s">
        <v>22</v>
      </c>
      <c r="E861" s="7" t="s">
        <v>16</v>
      </c>
      <c r="F861" s="7" t="s">
        <v>116</v>
      </c>
      <c r="G861" s="8">
        <v>1</v>
      </c>
      <c r="H861" s="9">
        <v>45</v>
      </c>
      <c r="I861" s="9">
        <v>0</v>
      </c>
      <c r="J861" s="9">
        <f t="shared" si="23"/>
        <v>45</v>
      </c>
      <c r="K861" s="7" t="s">
        <v>25</v>
      </c>
    </row>
    <row r="862" spans="1:11" x14ac:dyDescent="0.25">
      <c r="A862" s="2" t="s">
        <v>1273</v>
      </c>
      <c r="B862" s="3" t="s">
        <v>20</v>
      </c>
      <c r="C862" s="13" t="s">
        <v>531</v>
      </c>
      <c r="D862" s="3" t="s">
        <v>22</v>
      </c>
      <c r="E862" s="3" t="s">
        <v>52</v>
      </c>
      <c r="F862" s="3" t="s">
        <v>75</v>
      </c>
      <c r="G862" s="4">
        <v>2</v>
      </c>
      <c r="H862" s="5">
        <v>249</v>
      </c>
      <c r="I862" s="5">
        <v>0</v>
      </c>
      <c r="J862" s="5">
        <f t="shared" si="23"/>
        <v>498</v>
      </c>
      <c r="K862" s="3" t="s">
        <v>18</v>
      </c>
    </row>
    <row r="863" spans="1:11" x14ac:dyDescent="0.25">
      <c r="A863" s="6" t="s">
        <v>1274</v>
      </c>
      <c r="B863" s="7" t="s">
        <v>37</v>
      </c>
      <c r="C863" s="14" t="s">
        <v>759</v>
      </c>
      <c r="D863" s="7" t="s">
        <v>47</v>
      </c>
      <c r="E863" s="7" t="s">
        <v>30</v>
      </c>
      <c r="F863" s="7" t="s">
        <v>152</v>
      </c>
      <c r="G863" s="8">
        <v>3</v>
      </c>
      <c r="H863" s="9">
        <v>4500</v>
      </c>
      <c r="I863" s="9">
        <v>80.239999999999995</v>
      </c>
      <c r="J863" s="9">
        <f t="shared" si="23"/>
        <v>13419.76</v>
      </c>
      <c r="K863" s="7" t="s">
        <v>25</v>
      </c>
    </row>
    <row r="864" spans="1:11" x14ac:dyDescent="0.25">
      <c r="A864" s="2" t="s">
        <v>1275</v>
      </c>
      <c r="B864" s="3" t="s">
        <v>110</v>
      </c>
      <c r="C864" s="13" t="s">
        <v>320</v>
      </c>
      <c r="D864" s="3" t="s">
        <v>29</v>
      </c>
      <c r="E864" s="3" t="s">
        <v>16</v>
      </c>
      <c r="F864" s="3" t="s">
        <v>17</v>
      </c>
      <c r="G864" s="4">
        <v>1</v>
      </c>
      <c r="H864" s="5">
        <v>39</v>
      </c>
      <c r="I864" s="5">
        <v>4.03</v>
      </c>
      <c r="J864" s="5">
        <f t="shared" si="23"/>
        <v>34.97</v>
      </c>
      <c r="K864" s="3" t="s">
        <v>49</v>
      </c>
    </row>
    <row r="865" spans="1:11" x14ac:dyDescent="0.25">
      <c r="A865" s="6" t="s">
        <v>1276</v>
      </c>
      <c r="B865" s="7" t="s">
        <v>20</v>
      </c>
      <c r="C865" s="14" t="s">
        <v>286</v>
      </c>
      <c r="D865" s="7" t="s">
        <v>47</v>
      </c>
      <c r="E865" s="7" t="s">
        <v>52</v>
      </c>
      <c r="F865" s="7" t="s">
        <v>99</v>
      </c>
      <c r="G865" s="8">
        <v>3</v>
      </c>
      <c r="H865" s="9">
        <v>79</v>
      </c>
      <c r="I865" s="9">
        <v>0</v>
      </c>
      <c r="J865" s="9">
        <f t="shared" si="23"/>
        <v>237</v>
      </c>
      <c r="K865" s="7" t="s">
        <v>49</v>
      </c>
    </row>
    <row r="866" spans="1:11" x14ac:dyDescent="0.25">
      <c r="A866" s="2" t="s">
        <v>1277</v>
      </c>
      <c r="B866" s="3" t="s">
        <v>55</v>
      </c>
      <c r="C866" s="13" t="s">
        <v>985</v>
      </c>
      <c r="D866" s="3" t="s">
        <v>29</v>
      </c>
      <c r="E866" s="3" t="s">
        <v>23</v>
      </c>
      <c r="F866" s="3" t="s">
        <v>48</v>
      </c>
      <c r="G866" s="4">
        <v>5</v>
      </c>
      <c r="H866" s="5">
        <v>450</v>
      </c>
      <c r="I866" s="5">
        <v>5.2</v>
      </c>
      <c r="J866" s="5">
        <f t="shared" si="23"/>
        <v>2244.8000000000002</v>
      </c>
      <c r="K866" s="3" t="s">
        <v>32</v>
      </c>
    </row>
    <row r="867" spans="1:11" x14ac:dyDescent="0.25">
      <c r="A867" s="6" t="s">
        <v>1278</v>
      </c>
      <c r="B867" s="7" t="s">
        <v>110</v>
      </c>
      <c r="C867" s="14" t="s">
        <v>1101</v>
      </c>
      <c r="D867" s="7" t="s">
        <v>22</v>
      </c>
      <c r="E867" s="7" t="s">
        <v>52</v>
      </c>
      <c r="F867" s="7" t="s">
        <v>99</v>
      </c>
      <c r="G867" s="8">
        <v>3</v>
      </c>
      <c r="H867" s="9">
        <v>79</v>
      </c>
      <c r="I867" s="9">
        <v>0</v>
      </c>
      <c r="J867" s="9">
        <f t="shared" si="23"/>
        <v>237</v>
      </c>
      <c r="K867" s="7" t="s">
        <v>89</v>
      </c>
    </row>
    <row r="868" spans="1:11" x14ac:dyDescent="0.25">
      <c r="A868" s="2" t="s">
        <v>1279</v>
      </c>
      <c r="B868" s="3" t="s">
        <v>71</v>
      </c>
      <c r="C868" s="13" t="s">
        <v>194</v>
      </c>
      <c r="D868" s="3" t="s">
        <v>29</v>
      </c>
      <c r="E868" s="3" t="s">
        <v>23</v>
      </c>
      <c r="F868" s="3"/>
      <c r="G868" s="4">
        <v>2</v>
      </c>
      <c r="H868" s="5">
        <v>450</v>
      </c>
      <c r="I868" s="5">
        <v>0</v>
      </c>
      <c r="J868" s="5">
        <f t="shared" si="23"/>
        <v>900</v>
      </c>
      <c r="K868" s="3" t="s">
        <v>89</v>
      </c>
    </row>
    <row r="869" spans="1:11" x14ac:dyDescent="0.25">
      <c r="A869" s="6" t="s">
        <v>1280</v>
      </c>
      <c r="B869" s="7" t="s">
        <v>101</v>
      </c>
      <c r="C869" s="14" t="s">
        <v>1281</v>
      </c>
      <c r="D869" s="7" t="s">
        <v>47</v>
      </c>
      <c r="E869" s="7" t="s">
        <v>30</v>
      </c>
      <c r="F869" s="7" t="s">
        <v>106</v>
      </c>
      <c r="G869" s="8">
        <v>1</v>
      </c>
      <c r="H869" s="9">
        <v>299</v>
      </c>
      <c r="I869" s="9">
        <v>0</v>
      </c>
      <c r="J869" s="9">
        <f t="shared" si="23"/>
        <v>299</v>
      </c>
      <c r="K869" s="7" t="s">
        <v>18</v>
      </c>
    </row>
    <row r="870" spans="1:11" x14ac:dyDescent="0.25">
      <c r="A870" s="2" t="s">
        <v>1282</v>
      </c>
      <c r="B870" s="3" t="s">
        <v>95</v>
      </c>
      <c r="C870" s="13" t="s">
        <v>533</v>
      </c>
      <c r="D870" s="3" t="s">
        <v>22</v>
      </c>
      <c r="E870" s="3" t="s">
        <v>52</v>
      </c>
      <c r="F870" s="3" t="s">
        <v>99</v>
      </c>
      <c r="G870" s="4">
        <v>2</v>
      </c>
      <c r="H870" s="5">
        <v>79</v>
      </c>
      <c r="I870" s="5">
        <v>0</v>
      </c>
      <c r="J870" s="5">
        <f t="shared" si="23"/>
        <v>158</v>
      </c>
      <c r="K870" s="3" t="s">
        <v>49</v>
      </c>
    </row>
    <row r="871" spans="1:11" x14ac:dyDescent="0.25">
      <c r="A871" s="6" t="s">
        <v>1283</v>
      </c>
      <c r="B871" s="7" t="s">
        <v>110</v>
      </c>
      <c r="C871" s="14" t="s">
        <v>223</v>
      </c>
      <c r="D871" s="7" t="s">
        <v>39</v>
      </c>
      <c r="E871" s="7" t="s">
        <v>16</v>
      </c>
      <c r="F871" s="7" t="s">
        <v>17</v>
      </c>
      <c r="G871" s="8">
        <v>2</v>
      </c>
      <c r="H871" s="9">
        <v>39</v>
      </c>
      <c r="I871" s="9">
        <v>3.37</v>
      </c>
      <c r="J871" s="9">
        <f t="shared" si="23"/>
        <v>74.63</v>
      </c>
      <c r="K871" s="7" t="s">
        <v>49</v>
      </c>
    </row>
    <row r="872" spans="1:11" x14ac:dyDescent="0.25">
      <c r="A872" s="2" t="s">
        <v>1284</v>
      </c>
      <c r="B872" s="3" t="s">
        <v>37</v>
      </c>
      <c r="C872" s="13" t="s">
        <v>1285</v>
      </c>
      <c r="D872" s="3" t="s">
        <v>47</v>
      </c>
      <c r="E872" s="3" t="s">
        <v>30</v>
      </c>
      <c r="F872" s="3" t="s">
        <v>31</v>
      </c>
      <c r="G872" s="4">
        <v>3</v>
      </c>
      <c r="H872" s="5">
        <v>2500</v>
      </c>
      <c r="I872" s="5">
        <v>0</v>
      </c>
      <c r="J872" s="5">
        <f t="shared" si="23"/>
        <v>7500</v>
      </c>
      <c r="K872" s="3" t="s">
        <v>89</v>
      </c>
    </row>
    <row r="873" spans="1:11" x14ac:dyDescent="0.25">
      <c r="A873" s="6" t="s">
        <v>1286</v>
      </c>
      <c r="B873" s="7" t="s">
        <v>34</v>
      </c>
      <c r="C873" s="14" t="s">
        <v>549</v>
      </c>
      <c r="D873" s="7" t="s">
        <v>22</v>
      </c>
      <c r="E873" s="7" t="s">
        <v>16</v>
      </c>
      <c r="F873" s="7" t="s">
        <v>103</v>
      </c>
      <c r="G873" s="8">
        <v>2</v>
      </c>
      <c r="H873" s="9">
        <v>89</v>
      </c>
      <c r="I873" s="9">
        <v>0.5</v>
      </c>
      <c r="J873" s="9">
        <f t="shared" si="23"/>
        <v>177.5</v>
      </c>
      <c r="K873" s="7" t="s">
        <v>89</v>
      </c>
    </row>
    <row r="874" spans="1:11" x14ac:dyDescent="0.25">
      <c r="A874" s="2" t="s">
        <v>1287</v>
      </c>
      <c r="B874" s="3" t="s">
        <v>20</v>
      </c>
      <c r="C874" s="13" t="s">
        <v>738</v>
      </c>
      <c r="D874" s="3" t="s">
        <v>29</v>
      </c>
      <c r="E874" s="3" t="s">
        <v>30</v>
      </c>
      <c r="F874" s="3" t="s">
        <v>152</v>
      </c>
      <c r="G874" s="4">
        <v>1</v>
      </c>
      <c r="H874" s="5">
        <v>4500</v>
      </c>
      <c r="I874" s="5">
        <v>36.81</v>
      </c>
      <c r="J874" s="5">
        <f t="shared" si="23"/>
        <v>4463.1899999999996</v>
      </c>
      <c r="K874" s="3" t="s">
        <v>49</v>
      </c>
    </row>
    <row r="875" spans="1:11" x14ac:dyDescent="0.25">
      <c r="A875" s="6" t="s">
        <v>1288</v>
      </c>
      <c r="B875" s="7" t="s">
        <v>13</v>
      </c>
      <c r="C875" s="14" t="s">
        <v>618</v>
      </c>
      <c r="D875" s="7" t="s">
        <v>47</v>
      </c>
      <c r="E875" s="7" t="s">
        <v>23</v>
      </c>
      <c r="F875" s="7" t="s">
        <v>88</v>
      </c>
      <c r="G875" s="8">
        <v>4</v>
      </c>
      <c r="H875" s="9">
        <v>650</v>
      </c>
      <c r="I875" s="9">
        <v>0</v>
      </c>
      <c r="J875" s="9">
        <f t="shared" si="23"/>
        <v>2600</v>
      </c>
      <c r="K875" s="7" t="s">
        <v>69</v>
      </c>
    </row>
    <row r="876" spans="1:11" x14ac:dyDescent="0.25">
      <c r="A876" s="2" t="s">
        <v>1289</v>
      </c>
      <c r="B876" s="3" t="s">
        <v>41</v>
      </c>
      <c r="C876" s="13" t="s">
        <v>917</v>
      </c>
      <c r="D876" s="3" t="s">
        <v>15</v>
      </c>
      <c r="E876" s="3" t="s">
        <v>23</v>
      </c>
      <c r="F876" s="3"/>
      <c r="G876" s="4">
        <v>2</v>
      </c>
      <c r="H876" s="5">
        <v>650</v>
      </c>
      <c r="I876" s="5">
        <v>0</v>
      </c>
      <c r="J876" s="5">
        <f t="shared" si="23"/>
        <v>1300</v>
      </c>
      <c r="K876" s="3" t="s">
        <v>65</v>
      </c>
    </row>
    <row r="877" spans="1:11" x14ac:dyDescent="0.25">
      <c r="A877" s="6" t="s">
        <v>1290</v>
      </c>
      <c r="B877" s="7" t="s">
        <v>63</v>
      </c>
      <c r="C877" s="14" t="s">
        <v>938</v>
      </c>
      <c r="D877" s="7" t="s">
        <v>15</v>
      </c>
      <c r="E877" s="7" t="s">
        <v>30</v>
      </c>
      <c r="F877" s="7" t="s">
        <v>106</v>
      </c>
      <c r="G877" s="8">
        <v>1</v>
      </c>
      <c r="H877" s="9">
        <v>299</v>
      </c>
      <c r="I877" s="9">
        <v>0</v>
      </c>
      <c r="J877" s="9">
        <f t="shared" si="23"/>
        <v>299</v>
      </c>
      <c r="K877" s="7" t="s">
        <v>44</v>
      </c>
    </row>
    <row r="878" spans="1:11" x14ac:dyDescent="0.25">
      <c r="A878" s="2" t="s">
        <v>1291</v>
      </c>
      <c r="B878" s="3" t="s">
        <v>27</v>
      </c>
      <c r="C878" s="13" t="s">
        <v>452</v>
      </c>
      <c r="D878" s="3" t="s">
        <v>15</v>
      </c>
      <c r="E878" s="3" t="s">
        <v>23</v>
      </c>
      <c r="F878" s="3" t="s">
        <v>43</v>
      </c>
      <c r="G878" s="4">
        <v>4</v>
      </c>
      <c r="H878" s="5">
        <v>350</v>
      </c>
      <c r="I878" s="5">
        <v>54.94</v>
      </c>
      <c r="J878" s="5">
        <f t="shared" si="23"/>
        <v>1345.06</v>
      </c>
      <c r="K878" s="3" t="s">
        <v>89</v>
      </c>
    </row>
    <row r="879" spans="1:11" x14ac:dyDescent="0.25">
      <c r="A879" s="6" t="s">
        <v>1292</v>
      </c>
      <c r="B879" s="7" t="s">
        <v>37</v>
      </c>
      <c r="C879" s="14" t="s">
        <v>394</v>
      </c>
      <c r="D879" s="7" t="s">
        <v>39</v>
      </c>
      <c r="E879" s="7" t="s">
        <v>30</v>
      </c>
      <c r="F879" s="7" t="s">
        <v>152</v>
      </c>
      <c r="G879" s="8">
        <v>4</v>
      </c>
      <c r="H879" s="9">
        <v>4500</v>
      </c>
      <c r="I879" s="9">
        <v>0</v>
      </c>
      <c r="J879" s="9">
        <f t="shared" si="23"/>
        <v>18000</v>
      </c>
      <c r="K879" s="7" t="s">
        <v>44</v>
      </c>
    </row>
    <row r="880" spans="1:11" x14ac:dyDescent="0.25">
      <c r="A880" s="2" t="s">
        <v>1293</v>
      </c>
      <c r="B880" s="3" t="s">
        <v>55</v>
      </c>
      <c r="C880" s="13" t="s">
        <v>124</v>
      </c>
      <c r="D880" s="3" t="s">
        <v>39</v>
      </c>
      <c r="E880" s="3" t="s">
        <v>52</v>
      </c>
      <c r="F880" s="3" t="s">
        <v>99</v>
      </c>
      <c r="G880" s="4">
        <v>4</v>
      </c>
      <c r="H880" s="5">
        <v>79</v>
      </c>
      <c r="I880" s="5">
        <v>0</v>
      </c>
      <c r="J880" s="5">
        <f t="shared" si="23"/>
        <v>316</v>
      </c>
      <c r="K880" s="3" t="s">
        <v>18</v>
      </c>
    </row>
    <row r="881" spans="1:11" x14ac:dyDescent="0.25">
      <c r="A881" s="6" t="s">
        <v>1294</v>
      </c>
      <c r="B881" s="7" t="s">
        <v>34</v>
      </c>
      <c r="C881" s="14" t="s">
        <v>368</v>
      </c>
      <c r="D881" s="7" t="s">
        <v>29</v>
      </c>
      <c r="E881" s="7" t="s">
        <v>16</v>
      </c>
      <c r="F881" s="7" t="s">
        <v>103</v>
      </c>
      <c r="G881" s="8">
        <v>3</v>
      </c>
      <c r="H881" s="9">
        <v>89</v>
      </c>
      <c r="I881" s="9">
        <v>0</v>
      </c>
      <c r="J881" s="9">
        <f t="shared" si="23"/>
        <v>267</v>
      </c>
      <c r="K881" s="7" t="s">
        <v>89</v>
      </c>
    </row>
    <row r="882" spans="1:11" x14ac:dyDescent="0.25">
      <c r="A882" s="2" t="s">
        <v>1295</v>
      </c>
      <c r="B882" s="3" t="s">
        <v>13</v>
      </c>
      <c r="C882" s="13" t="s">
        <v>405</v>
      </c>
      <c r="D882" s="3" t="s">
        <v>47</v>
      </c>
      <c r="E882" s="3" t="s">
        <v>52</v>
      </c>
      <c r="F882" s="3" t="s">
        <v>53</v>
      </c>
      <c r="G882" s="4">
        <v>4</v>
      </c>
      <c r="H882" s="5">
        <v>149</v>
      </c>
      <c r="I882" s="5">
        <v>0</v>
      </c>
      <c r="J882" s="5">
        <f t="shared" si="23"/>
        <v>596</v>
      </c>
      <c r="K882" s="3" t="s">
        <v>25</v>
      </c>
    </row>
    <row r="883" spans="1:11" x14ac:dyDescent="0.25">
      <c r="A883" s="6" t="s">
        <v>1296</v>
      </c>
      <c r="B883" s="7" t="s">
        <v>110</v>
      </c>
      <c r="C883" s="14" t="s">
        <v>327</v>
      </c>
      <c r="D883" s="7" t="s">
        <v>39</v>
      </c>
      <c r="E883" s="7" t="s">
        <v>30</v>
      </c>
      <c r="F883" s="7" t="s">
        <v>106</v>
      </c>
      <c r="G883" s="8">
        <v>4</v>
      </c>
      <c r="H883" s="9">
        <v>299</v>
      </c>
      <c r="I883" s="9">
        <v>0</v>
      </c>
      <c r="J883" s="9">
        <f t="shared" si="23"/>
        <v>1196</v>
      </c>
      <c r="K883" s="7" t="s">
        <v>89</v>
      </c>
    </row>
    <row r="884" spans="1:11" x14ac:dyDescent="0.25">
      <c r="A884" s="2" t="s">
        <v>1297</v>
      </c>
      <c r="B884" s="3" t="s">
        <v>110</v>
      </c>
      <c r="C884" s="13" t="s">
        <v>761</v>
      </c>
      <c r="D884" s="3" t="s">
        <v>15</v>
      </c>
      <c r="E884" s="3" t="s">
        <v>30</v>
      </c>
      <c r="F884" s="3" t="s">
        <v>31</v>
      </c>
      <c r="G884" s="4">
        <v>2</v>
      </c>
      <c r="H884" s="5">
        <v>2500</v>
      </c>
      <c r="I884" s="5">
        <v>0</v>
      </c>
      <c r="J884" s="5">
        <f t="shared" si="23"/>
        <v>5000</v>
      </c>
      <c r="K884" s="3" t="s">
        <v>65</v>
      </c>
    </row>
    <row r="885" spans="1:11" x14ac:dyDescent="0.25">
      <c r="A885" s="6" t="s">
        <v>1298</v>
      </c>
      <c r="B885" s="7" t="s">
        <v>63</v>
      </c>
      <c r="C885" s="14" t="s">
        <v>813</v>
      </c>
      <c r="D885" s="7" t="s">
        <v>47</v>
      </c>
      <c r="E885" s="7" t="s">
        <v>52</v>
      </c>
      <c r="F885" s="7" t="s">
        <v>75</v>
      </c>
      <c r="G885" s="8">
        <v>4</v>
      </c>
      <c r="H885" s="9">
        <v>249</v>
      </c>
      <c r="I885" s="9">
        <v>148.77000000000001</v>
      </c>
      <c r="J885" s="9">
        <f t="shared" si="23"/>
        <v>847.23</v>
      </c>
      <c r="K885" s="7" t="s">
        <v>18</v>
      </c>
    </row>
    <row r="886" spans="1:11" x14ac:dyDescent="0.25">
      <c r="A886" s="2" t="s">
        <v>1299</v>
      </c>
      <c r="B886" s="3" t="s">
        <v>101</v>
      </c>
      <c r="C886" s="13" t="s">
        <v>1300</v>
      </c>
      <c r="D886" s="3" t="s">
        <v>47</v>
      </c>
      <c r="E886" s="3" t="s">
        <v>16</v>
      </c>
      <c r="F886" s="3" t="s">
        <v>17</v>
      </c>
      <c r="G886" s="4">
        <v>4</v>
      </c>
      <c r="H886" s="5">
        <v>39</v>
      </c>
      <c r="I886" s="5">
        <v>0</v>
      </c>
      <c r="J886" s="5">
        <f t="shared" si="23"/>
        <v>156</v>
      </c>
      <c r="K886" s="3" t="s">
        <v>32</v>
      </c>
    </row>
    <row r="887" spans="1:11" x14ac:dyDescent="0.25">
      <c r="A887" s="6" t="s">
        <v>1301</v>
      </c>
      <c r="B887" s="7" t="s">
        <v>95</v>
      </c>
      <c r="C887" s="14" t="s">
        <v>1004</v>
      </c>
      <c r="D887" s="7" t="s">
        <v>29</v>
      </c>
      <c r="E887" s="7" t="s">
        <v>16</v>
      </c>
      <c r="F887" s="7" t="s">
        <v>103</v>
      </c>
      <c r="G887" s="8">
        <v>1</v>
      </c>
      <c r="H887" s="9">
        <v>89</v>
      </c>
      <c r="I887" s="9">
        <v>0</v>
      </c>
      <c r="J887" s="9">
        <f t="shared" si="23"/>
        <v>89</v>
      </c>
      <c r="K887" s="7" t="s">
        <v>65</v>
      </c>
    </row>
    <row r="888" spans="1:11" x14ac:dyDescent="0.25">
      <c r="A888" s="2" t="s">
        <v>1302</v>
      </c>
      <c r="B888" s="3" t="s">
        <v>27</v>
      </c>
      <c r="C888" s="13" t="s">
        <v>1008</v>
      </c>
      <c r="D888" s="3" t="s">
        <v>29</v>
      </c>
      <c r="E888" s="3" t="s">
        <v>16</v>
      </c>
      <c r="F888" s="3" t="s">
        <v>103</v>
      </c>
      <c r="G888" s="4">
        <v>1</v>
      </c>
      <c r="H888" s="5">
        <v>89</v>
      </c>
      <c r="I888" s="5">
        <v>0</v>
      </c>
      <c r="J888" s="5">
        <f t="shared" si="23"/>
        <v>89</v>
      </c>
      <c r="K888" s="3" t="s">
        <v>89</v>
      </c>
    </row>
    <row r="889" spans="1:11" x14ac:dyDescent="0.25">
      <c r="A889" s="6" t="s">
        <v>1303</v>
      </c>
      <c r="B889" s="7" t="s">
        <v>63</v>
      </c>
      <c r="C889" s="14" t="s">
        <v>632</v>
      </c>
      <c r="D889" s="7" t="s">
        <v>15</v>
      </c>
      <c r="E889" s="7" t="s">
        <v>30</v>
      </c>
      <c r="F889" s="7" t="s">
        <v>31</v>
      </c>
      <c r="G889" s="8">
        <v>2</v>
      </c>
      <c r="H889" s="9">
        <v>2500</v>
      </c>
      <c r="I889" s="9">
        <v>0</v>
      </c>
      <c r="J889" s="9">
        <f t="shared" si="23"/>
        <v>5000</v>
      </c>
      <c r="K889" s="7" t="s">
        <v>18</v>
      </c>
    </row>
    <row r="890" spans="1:11" x14ac:dyDescent="0.25">
      <c r="A890" s="2" t="s">
        <v>1304</v>
      </c>
      <c r="B890" s="3" t="s">
        <v>71</v>
      </c>
      <c r="C890" s="13" t="s">
        <v>340</v>
      </c>
      <c r="D890" s="3" t="s">
        <v>15</v>
      </c>
      <c r="E890" s="3" t="s">
        <v>52</v>
      </c>
      <c r="F890" s="3" t="s">
        <v>99</v>
      </c>
      <c r="G890" s="4">
        <v>3</v>
      </c>
      <c r="H890" s="5">
        <v>79</v>
      </c>
      <c r="I890" s="5">
        <v>18.45</v>
      </c>
      <c r="J890" s="5">
        <f t="shared" si="23"/>
        <v>218.55</v>
      </c>
      <c r="K890" s="3" t="s">
        <v>69</v>
      </c>
    </row>
    <row r="891" spans="1:11" x14ac:dyDescent="0.25">
      <c r="A891" s="6" t="s">
        <v>1305</v>
      </c>
      <c r="B891" s="7" t="s">
        <v>34</v>
      </c>
      <c r="C891" s="14" t="s">
        <v>269</v>
      </c>
      <c r="D891" s="7" t="s">
        <v>22</v>
      </c>
      <c r="E891" s="7" t="s">
        <v>30</v>
      </c>
      <c r="F891" s="7" t="s">
        <v>152</v>
      </c>
      <c r="G891" s="8">
        <v>1</v>
      </c>
      <c r="H891" s="9">
        <v>4500</v>
      </c>
      <c r="I891" s="9">
        <v>0</v>
      </c>
      <c r="J891" s="9">
        <f t="shared" si="23"/>
        <v>4500</v>
      </c>
      <c r="K891" s="7" t="s">
        <v>18</v>
      </c>
    </row>
    <row r="892" spans="1:11" x14ac:dyDescent="0.25">
      <c r="A892" s="2" t="s">
        <v>1306</v>
      </c>
      <c r="B892" s="3" t="s">
        <v>63</v>
      </c>
      <c r="C892" s="13" t="s">
        <v>148</v>
      </c>
      <c r="D892" s="3" t="s">
        <v>39</v>
      </c>
      <c r="E892" s="3" t="s">
        <v>16</v>
      </c>
      <c r="F892" s="3" t="s">
        <v>103</v>
      </c>
      <c r="G892" s="4">
        <v>4</v>
      </c>
      <c r="H892" s="5">
        <v>89</v>
      </c>
      <c r="I892" s="10"/>
      <c r="J892" s="5">
        <f t="shared" si="23"/>
        <v>356</v>
      </c>
      <c r="K892" s="3" t="s">
        <v>89</v>
      </c>
    </row>
    <row r="893" spans="1:11" x14ac:dyDescent="0.25">
      <c r="A893" s="6" t="s">
        <v>1307</v>
      </c>
      <c r="B893" s="7" t="s">
        <v>71</v>
      </c>
      <c r="C893" s="14" t="s">
        <v>209</v>
      </c>
      <c r="D893" s="7" t="s">
        <v>29</v>
      </c>
      <c r="E893" s="7" t="s">
        <v>52</v>
      </c>
      <c r="F893" s="7" t="s">
        <v>61</v>
      </c>
      <c r="G893" s="8">
        <v>5</v>
      </c>
      <c r="H893" s="9">
        <v>199</v>
      </c>
      <c r="I893" s="9">
        <v>0</v>
      </c>
      <c r="J893" s="9">
        <f t="shared" si="23"/>
        <v>995</v>
      </c>
      <c r="K893" s="7" t="s">
        <v>32</v>
      </c>
    </row>
    <row r="894" spans="1:11" x14ac:dyDescent="0.25">
      <c r="A894" s="2" t="s">
        <v>1308</v>
      </c>
      <c r="B894" s="3" t="s">
        <v>101</v>
      </c>
      <c r="C894" s="13" t="s">
        <v>246</v>
      </c>
      <c r="D894" s="3" t="s">
        <v>29</v>
      </c>
      <c r="E894" s="3" t="s">
        <v>52</v>
      </c>
      <c r="F894" s="3" t="s">
        <v>75</v>
      </c>
      <c r="G894" s="4">
        <v>3</v>
      </c>
      <c r="H894" s="5">
        <v>249</v>
      </c>
      <c r="I894" s="5">
        <v>0</v>
      </c>
      <c r="J894" s="5">
        <f t="shared" si="23"/>
        <v>747</v>
      </c>
      <c r="K894" s="3" t="s">
        <v>32</v>
      </c>
    </row>
    <row r="895" spans="1:11" x14ac:dyDescent="0.25">
      <c r="A895" s="6" t="s">
        <v>1309</v>
      </c>
      <c r="B895" s="7" t="s">
        <v>37</v>
      </c>
      <c r="C895" s="14" t="s">
        <v>93</v>
      </c>
      <c r="D895" s="7" t="s">
        <v>29</v>
      </c>
      <c r="E895" s="7" t="s">
        <v>52</v>
      </c>
      <c r="F895" s="7" t="s">
        <v>99</v>
      </c>
      <c r="G895" s="8">
        <v>2</v>
      </c>
      <c r="H895" s="9">
        <v>79</v>
      </c>
      <c r="I895" s="9">
        <v>0</v>
      </c>
      <c r="J895" s="9">
        <f t="shared" si="23"/>
        <v>158</v>
      </c>
      <c r="K895" s="7" t="s">
        <v>69</v>
      </c>
    </row>
    <row r="896" spans="1:11" x14ac:dyDescent="0.25">
      <c r="A896" s="2" t="s">
        <v>1310</v>
      </c>
      <c r="B896" s="3" t="s">
        <v>95</v>
      </c>
      <c r="C896" s="13" t="s">
        <v>269</v>
      </c>
      <c r="D896" s="3" t="s">
        <v>29</v>
      </c>
      <c r="E896" s="3" t="s">
        <v>52</v>
      </c>
      <c r="F896" s="3" t="s">
        <v>61</v>
      </c>
      <c r="G896" s="4">
        <v>4</v>
      </c>
      <c r="H896" s="5">
        <v>199</v>
      </c>
      <c r="I896" s="5">
        <v>85.71</v>
      </c>
      <c r="J896" s="5">
        <f t="shared" si="23"/>
        <v>710.29</v>
      </c>
      <c r="K896" s="3" t="s">
        <v>32</v>
      </c>
    </row>
    <row r="897" spans="1:11" x14ac:dyDescent="0.25">
      <c r="A897" s="6" t="s">
        <v>1311</v>
      </c>
      <c r="B897" s="7" t="s">
        <v>63</v>
      </c>
      <c r="C897" s="14" t="s">
        <v>85</v>
      </c>
      <c r="D897" s="7" t="s">
        <v>47</v>
      </c>
      <c r="E897" s="7" t="s">
        <v>16</v>
      </c>
      <c r="F897" s="7" t="s">
        <v>103</v>
      </c>
      <c r="G897" s="8">
        <v>4</v>
      </c>
      <c r="H897" s="9">
        <v>89</v>
      </c>
      <c r="I897" s="9">
        <v>0</v>
      </c>
      <c r="J897" s="9">
        <f t="shared" si="23"/>
        <v>356</v>
      </c>
      <c r="K897" s="7" t="s">
        <v>18</v>
      </c>
    </row>
    <row r="898" spans="1:11" x14ac:dyDescent="0.25">
      <c r="A898" s="2" t="s">
        <v>1312</v>
      </c>
      <c r="B898" s="3" t="s">
        <v>95</v>
      </c>
      <c r="C898" s="13" t="s">
        <v>473</v>
      </c>
      <c r="D898" s="3" t="s">
        <v>15</v>
      </c>
      <c r="E898" s="3" t="s">
        <v>23</v>
      </c>
      <c r="F898" s="3" t="s">
        <v>24</v>
      </c>
      <c r="G898" s="4">
        <v>5</v>
      </c>
      <c r="H898" s="5">
        <v>180</v>
      </c>
      <c r="I898" s="5">
        <v>109.92</v>
      </c>
      <c r="J898" s="5">
        <f t="shared" si="23"/>
        <v>790.08</v>
      </c>
      <c r="K898" s="3" t="s">
        <v>44</v>
      </c>
    </row>
    <row r="899" spans="1:11" x14ac:dyDescent="0.25">
      <c r="A899" s="6" t="s">
        <v>1313</v>
      </c>
      <c r="B899" s="7" t="s">
        <v>27</v>
      </c>
      <c r="C899" s="14" t="s">
        <v>809</v>
      </c>
      <c r="D899" s="7" t="s">
        <v>22</v>
      </c>
      <c r="E899" s="7" t="s">
        <v>16</v>
      </c>
      <c r="F899" s="7" t="s">
        <v>116</v>
      </c>
      <c r="G899" s="8">
        <v>3</v>
      </c>
      <c r="H899" s="9">
        <v>45</v>
      </c>
      <c r="I899" s="9">
        <v>0</v>
      </c>
      <c r="J899" s="9">
        <f t="shared" si="23"/>
        <v>135</v>
      </c>
      <c r="K899" s="7" t="s">
        <v>44</v>
      </c>
    </row>
    <row r="900" spans="1:11" x14ac:dyDescent="0.25">
      <c r="A900" s="2" t="s">
        <v>1314</v>
      </c>
      <c r="B900" s="3" t="s">
        <v>13</v>
      </c>
      <c r="C900" s="13" t="s">
        <v>773</v>
      </c>
      <c r="D900" s="3" t="s">
        <v>29</v>
      </c>
      <c r="E900" s="3" t="s">
        <v>30</v>
      </c>
      <c r="F900" s="3" t="s">
        <v>106</v>
      </c>
      <c r="G900" s="4">
        <v>1</v>
      </c>
      <c r="H900" s="5">
        <v>299</v>
      </c>
      <c r="I900" s="5">
        <v>0</v>
      </c>
      <c r="J900" s="5">
        <f t="shared" si="23"/>
        <v>299</v>
      </c>
      <c r="K900" s="3" t="s">
        <v>69</v>
      </c>
    </row>
    <row r="901" spans="1:11" x14ac:dyDescent="0.25">
      <c r="A901" s="6" t="s">
        <v>1315</v>
      </c>
      <c r="B901" s="7" t="s">
        <v>71</v>
      </c>
      <c r="C901" s="14" t="s">
        <v>288</v>
      </c>
      <c r="D901" s="7" t="s">
        <v>29</v>
      </c>
      <c r="E901" s="7" t="s">
        <v>52</v>
      </c>
      <c r="F901" s="7" t="s">
        <v>53</v>
      </c>
      <c r="G901" s="8">
        <v>3</v>
      </c>
      <c r="H901" s="9">
        <v>149</v>
      </c>
      <c r="I901" s="9">
        <v>10.95</v>
      </c>
      <c r="J901" s="9">
        <f t="shared" si="23"/>
        <v>436.05</v>
      </c>
      <c r="K901" s="7" t="s">
        <v>44</v>
      </c>
    </row>
    <row r="902" spans="1:11" x14ac:dyDescent="0.25">
      <c r="A902" s="2" t="s">
        <v>1316</v>
      </c>
      <c r="B902" s="3" t="s">
        <v>41</v>
      </c>
      <c r="C902" s="13" t="s">
        <v>155</v>
      </c>
      <c r="D902" s="3" t="s">
        <v>15</v>
      </c>
      <c r="E902" s="3" t="s">
        <v>16</v>
      </c>
      <c r="F902" s="3" t="s">
        <v>78</v>
      </c>
      <c r="G902" s="4">
        <v>2</v>
      </c>
      <c r="H902" s="5">
        <v>59</v>
      </c>
      <c r="I902" s="5">
        <v>0</v>
      </c>
      <c r="J902" s="5">
        <f t="shared" si="23"/>
        <v>118</v>
      </c>
      <c r="K902" s="3" t="s">
        <v>65</v>
      </c>
    </row>
    <row r="903" spans="1:11" x14ac:dyDescent="0.25">
      <c r="A903" s="6" t="s">
        <v>1317</v>
      </c>
      <c r="B903" s="7" t="s">
        <v>63</v>
      </c>
      <c r="C903" s="14" t="s">
        <v>1318</v>
      </c>
      <c r="D903" s="7" t="s">
        <v>29</v>
      </c>
      <c r="E903" s="7" t="s">
        <v>52</v>
      </c>
      <c r="F903" s="7" t="s">
        <v>53</v>
      </c>
      <c r="G903" s="8">
        <v>1</v>
      </c>
      <c r="H903" s="9">
        <v>149</v>
      </c>
      <c r="I903" s="9">
        <v>13.57</v>
      </c>
      <c r="J903" s="9">
        <f t="shared" si="23"/>
        <v>135.43</v>
      </c>
      <c r="K903" s="7" t="s">
        <v>18</v>
      </c>
    </row>
    <row r="904" spans="1:11" x14ac:dyDescent="0.25">
      <c r="A904" s="2" t="s">
        <v>1319</v>
      </c>
      <c r="B904" s="3" t="s">
        <v>71</v>
      </c>
      <c r="C904" s="13" t="s">
        <v>255</v>
      </c>
      <c r="D904" s="3" t="s">
        <v>29</v>
      </c>
      <c r="E904" s="3" t="s">
        <v>52</v>
      </c>
      <c r="F904" s="3" t="s">
        <v>53</v>
      </c>
      <c r="G904" s="4">
        <v>3</v>
      </c>
      <c r="H904" s="5">
        <v>149</v>
      </c>
      <c r="I904" s="5">
        <v>2.79</v>
      </c>
      <c r="J904" s="5">
        <f t="shared" si="23"/>
        <v>444.21</v>
      </c>
      <c r="K904" s="3" t="s">
        <v>49</v>
      </c>
    </row>
    <row r="905" spans="1:11" x14ac:dyDescent="0.25">
      <c r="A905" s="6" t="s">
        <v>1320</v>
      </c>
      <c r="B905" s="7" t="s">
        <v>20</v>
      </c>
      <c r="C905" s="14" t="s">
        <v>1054</v>
      </c>
      <c r="D905" s="7" t="s">
        <v>29</v>
      </c>
      <c r="E905" s="7" t="s">
        <v>52</v>
      </c>
      <c r="F905" s="7" t="s">
        <v>53</v>
      </c>
      <c r="G905" s="8">
        <v>5</v>
      </c>
      <c r="H905" s="9">
        <v>149</v>
      </c>
      <c r="I905" s="9">
        <v>11.26</v>
      </c>
      <c r="J905" s="9">
        <f t="shared" si="23"/>
        <v>733.74</v>
      </c>
      <c r="K905" s="7" t="s">
        <v>44</v>
      </c>
    </row>
    <row r="906" spans="1:11" x14ac:dyDescent="0.25">
      <c r="A906" s="2" t="s">
        <v>1321</v>
      </c>
      <c r="B906" s="3" t="s">
        <v>55</v>
      </c>
      <c r="C906" s="13" t="s">
        <v>1004</v>
      </c>
      <c r="D906" s="3" t="s">
        <v>47</v>
      </c>
      <c r="E906" s="3" t="s">
        <v>23</v>
      </c>
      <c r="F906" s="3" t="s">
        <v>88</v>
      </c>
      <c r="G906" s="4">
        <v>1</v>
      </c>
      <c r="H906" s="5">
        <v>650</v>
      </c>
      <c r="I906" s="5">
        <v>0</v>
      </c>
      <c r="J906" s="5">
        <f t="shared" si="23"/>
        <v>650</v>
      </c>
      <c r="K906" s="3" t="s">
        <v>49</v>
      </c>
    </row>
    <row r="907" spans="1:11" x14ac:dyDescent="0.25">
      <c r="A907" s="6" t="s">
        <v>1322</v>
      </c>
      <c r="B907" s="7" t="s">
        <v>41</v>
      </c>
      <c r="C907" s="14" t="s">
        <v>938</v>
      </c>
      <c r="D907" s="7" t="s">
        <v>39</v>
      </c>
      <c r="E907" s="7" t="s">
        <v>52</v>
      </c>
      <c r="F907" s="7" t="s">
        <v>99</v>
      </c>
      <c r="G907" s="8">
        <v>5</v>
      </c>
      <c r="H907" s="9">
        <v>79</v>
      </c>
      <c r="I907" s="9">
        <v>0</v>
      </c>
      <c r="J907" s="9">
        <f t="shared" si="23"/>
        <v>395</v>
      </c>
      <c r="K907" s="7" t="s">
        <v>89</v>
      </c>
    </row>
    <row r="908" spans="1:11" x14ac:dyDescent="0.25">
      <c r="A908" s="2" t="s">
        <v>1323</v>
      </c>
      <c r="B908" s="3" t="s">
        <v>63</v>
      </c>
      <c r="C908" s="13" t="s">
        <v>243</v>
      </c>
      <c r="D908" s="3" t="s">
        <v>47</v>
      </c>
      <c r="E908" s="3" t="s">
        <v>23</v>
      </c>
      <c r="F908" s="3" t="s">
        <v>48</v>
      </c>
      <c r="G908" s="10"/>
      <c r="H908" s="5">
        <v>450</v>
      </c>
      <c r="I908" s="5">
        <v>0</v>
      </c>
      <c r="J908" s="5"/>
      <c r="K908" s="3" t="s">
        <v>18</v>
      </c>
    </row>
    <row r="909" spans="1:11" x14ac:dyDescent="0.25">
      <c r="A909" s="6" t="s">
        <v>1324</v>
      </c>
      <c r="B909" s="7" t="s">
        <v>37</v>
      </c>
      <c r="C909" s="14" t="s">
        <v>954</v>
      </c>
      <c r="D909" s="7" t="s">
        <v>29</v>
      </c>
      <c r="E909" s="7" t="s">
        <v>23</v>
      </c>
      <c r="F909" s="7" t="s">
        <v>24</v>
      </c>
      <c r="G909" s="8">
        <v>5</v>
      </c>
      <c r="H909" s="9">
        <v>180</v>
      </c>
      <c r="I909" s="9">
        <v>36.590000000000003</v>
      </c>
      <c r="J909" s="9">
        <f t="shared" ref="J909:J940" si="24">(G909*H909)-I909</f>
        <v>863.41</v>
      </c>
      <c r="K909" s="7" t="s">
        <v>32</v>
      </c>
    </row>
    <row r="910" spans="1:11" x14ac:dyDescent="0.25">
      <c r="A910" s="2" t="s">
        <v>1325</v>
      </c>
      <c r="B910" s="3" t="s">
        <v>95</v>
      </c>
      <c r="C910" s="13" t="s">
        <v>684</v>
      </c>
      <c r="D910" s="3" t="s">
        <v>29</v>
      </c>
      <c r="E910" s="3" t="s">
        <v>52</v>
      </c>
      <c r="F910" s="3" t="s">
        <v>99</v>
      </c>
      <c r="G910" s="4">
        <v>3</v>
      </c>
      <c r="H910" s="5">
        <v>79</v>
      </c>
      <c r="I910" s="5">
        <v>0</v>
      </c>
      <c r="J910" s="5">
        <f t="shared" si="24"/>
        <v>237</v>
      </c>
      <c r="K910" s="3" t="s">
        <v>44</v>
      </c>
    </row>
    <row r="911" spans="1:11" x14ac:dyDescent="0.25">
      <c r="A911" s="6" t="s">
        <v>1326</v>
      </c>
      <c r="B911" s="7" t="s">
        <v>71</v>
      </c>
      <c r="C911" s="14" t="s">
        <v>435</v>
      </c>
      <c r="D911" s="7" t="s">
        <v>29</v>
      </c>
      <c r="E911" s="7" t="s">
        <v>30</v>
      </c>
      <c r="F911" s="7" t="s">
        <v>31</v>
      </c>
      <c r="G911" s="8">
        <v>2</v>
      </c>
      <c r="H911" s="9">
        <v>2500</v>
      </c>
      <c r="I911" s="9">
        <v>0</v>
      </c>
      <c r="J911" s="9">
        <f t="shared" si="24"/>
        <v>5000</v>
      </c>
      <c r="K911" s="7" t="s">
        <v>44</v>
      </c>
    </row>
    <row r="912" spans="1:11" x14ac:dyDescent="0.25">
      <c r="A912" s="2" t="s">
        <v>1327</v>
      </c>
      <c r="B912" s="3" t="s">
        <v>63</v>
      </c>
      <c r="C912" s="13" t="s">
        <v>401</v>
      </c>
      <c r="D912" s="3" t="s">
        <v>47</v>
      </c>
      <c r="E912" s="3" t="s">
        <v>23</v>
      </c>
      <c r="F912" s="3" t="s">
        <v>88</v>
      </c>
      <c r="G912" s="4">
        <v>1</v>
      </c>
      <c r="H912" s="5">
        <v>650</v>
      </c>
      <c r="I912" s="5">
        <v>0</v>
      </c>
      <c r="J912" s="5">
        <f t="shared" si="24"/>
        <v>650</v>
      </c>
      <c r="K912" s="3" t="s">
        <v>32</v>
      </c>
    </row>
    <row r="913" spans="1:11" x14ac:dyDescent="0.25">
      <c r="A913" s="6" t="s">
        <v>1328</v>
      </c>
      <c r="B913" s="7" t="s">
        <v>55</v>
      </c>
      <c r="C913" s="14" t="s">
        <v>401</v>
      </c>
      <c r="D913" s="7" t="s">
        <v>39</v>
      </c>
      <c r="E913" s="7" t="s">
        <v>30</v>
      </c>
      <c r="F913" s="7" t="s">
        <v>31</v>
      </c>
      <c r="G913" s="8">
        <v>4</v>
      </c>
      <c r="H913" s="9">
        <v>2500</v>
      </c>
      <c r="I913" s="9">
        <v>162.63999999999999</v>
      </c>
      <c r="J913" s="9">
        <f t="shared" si="24"/>
        <v>9837.36</v>
      </c>
      <c r="K913" s="7" t="s">
        <v>89</v>
      </c>
    </row>
    <row r="914" spans="1:11" x14ac:dyDescent="0.25">
      <c r="A914" s="2" t="s">
        <v>1329</v>
      </c>
      <c r="B914" s="3" t="s">
        <v>34</v>
      </c>
      <c r="C914" s="13" t="s">
        <v>828</v>
      </c>
      <c r="D914" s="3" t="s">
        <v>47</v>
      </c>
      <c r="E914" s="3" t="s">
        <v>52</v>
      </c>
      <c r="F914" s="3" t="s">
        <v>53</v>
      </c>
      <c r="G914" s="4">
        <v>5</v>
      </c>
      <c r="H914" s="5">
        <v>149</v>
      </c>
      <c r="I914" s="5">
        <v>40.950000000000003</v>
      </c>
      <c r="J914" s="5">
        <f t="shared" si="24"/>
        <v>704.05</v>
      </c>
      <c r="K914" s="3" t="s">
        <v>44</v>
      </c>
    </row>
    <row r="915" spans="1:11" x14ac:dyDescent="0.25">
      <c r="A915" s="6" t="s">
        <v>1330</v>
      </c>
      <c r="B915" s="7" t="s">
        <v>41</v>
      </c>
      <c r="C915" s="14" t="s">
        <v>1331</v>
      </c>
      <c r="D915" s="7" t="s">
        <v>29</v>
      </c>
      <c r="E915" s="7" t="s">
        <v>16</v>
      </c>
      <c r="F915" s="7" t="s">
        <v>17</v>
      </c>
      <c r="G915" s="8">
        <v>1</v>
      </c>
      <c r="H915" s="9">
        <v>39</v>
      </c>
      <c r="I915" s="9">
        <v>0</v>
      </c>
      <c r="J915" s="9">
        <f t="shared" si="24"/>
        <v>39</v>
      </c>
      <c r="K915" s="7" t="s">
        <v>65</v>
      </c>
    </row>
    <row r="916" spans="1:11" x14ac:dyDescent="0.25">
      <c r="A916" s="2" t="s">
        <v>1332</v>
      </c>
      <c r="B916" s="3" t="s">
        <v>13</v>
      </c>
      <c r="C916" s="13" t="s">
        <v>148</v>
      </c>
      <c r="D916" s="3" t="s">
        <v>47</v>
      </c>
      <c r="E916" s="3" t="s">
        <v>23</v>
      </c>
      <c r="F916" s="3" t="s">
        <v>43</v>
      </c>
      <c r="G916" s="4">
        <v>2</v>
      </c>
      <c r="H916" s="5">
        <v>350</v>
      </c>
      <c r="I916" s="5">
        <v>45.7</v>
      </c>
      <c r="J916" s="5">
        <f t="shared" si="24"/>
        <v>654.29999999999995</v>
      </c>
      <c r="K916" s="3" t="s">
        <v>49</v>
      </c>
    </row>
    <row r="917" spans="1:11" x14ac:dyDescent="0.25">
      <c r="A917" s="6" t="s">
        <v>1333</v>
      </c>
      <c r="B917" s="7" t="s">
        <v>13</v>
      </c>
      <c r="C917" s="14" t="s">
        <v>523</v>
      </c>
      <c r="D917" s="7" t="s">
        <v>15</v>
      </c>
      <c r="E917" s="7" t="s">
        <v>23</v>
      </c>
      <c r="F917" s="7" t="s">
        <v>88</v>
      </c>
      <c r="G917" s="8">
        <v>3</v>
      </c>
      <c r="H917" s="9">
        <v>650</v>
      </c>
      <c r="I917" s="9">
        <v>0</v>
      </c>
      <c r="J917" s="9">
        <f t="shared" si="24"/>
        <v>1950</v>
      </c>
      <c r="K917" s="7" t="s">
        <v>89</v>
      </c>
    </row>
    <row r="918" spans="1:11" x14ac:dyDescent="0.25">
      <c r="A918" s="2" t="s">
        <v>1334</v>
      </c>
      <c r="B918" s="3" t="s">
        <v>95</v>
      </c>
      <c r="C918" s="13" t="s">
        <v>388</v>
      </c>
      <c r="D918" s="3" t="s">
        <v>29</v>
      </c>
      <c r="E918" s="3" t="s">
        <v>52</v>
      </c>
      <c r="F918" s="3" t="s">
        <v>99</v>
      </c>
      <c r="G918" s="4">
        <v>2</v>
      </c>
      <c r="H918" s="5">
        <v>79</v>
      </c>
      <c r="I918" s="5">
        <v>6.51</v>
      </c>
      <c r="J918" s="5">
        <f t="shared" si="24"/>
        <v>151.49</v>
      </c>
      <c r="K918" s="3" t="s">
        <v>25</v>
      </c>
    </row>
    <row r="919" spans="1:11" x14ac:dyDescent="0.25">
      <c r="A919" s="6" t="s">
        <v>1335</v>
      </c>
      <c r="B919" s="7" t="s">
        <v>55</v>
      </c>
      <c r="C919" s="14" t="s">
        <v>726</v>
      </c>
      <c r="D919" s="7" t="s">
        <v>22</v>
      </c>
      <c r="E919" s="7" t="s">
        <v>30</v>
      </c>
      <c r="F919" s="7" t="s">
        <v>68</v>
      </c>
      <c r="G919" s="8">
        <v>2</v>
      </c>
      <c r="H919" s="9">
        <v>799</v>
      </c>
      <c r="I919" s="9">
        <v>0</v>
      </c>
      <c r="J919" s="9">
        <f t="shared" si="24"/>
        <v>1598</v>
      </c>
      <c r="K919" s="7" t="s">
        <v>18</v>
      </c>
    </row>
    <row r="920" spans="1:11" x14ac:dyDescent="0.25">
      <c r="A920" s="2" t="s">
        <v>1336</v>
      </c>
      <c r="B920" s="3" t="s">
        <v>13</v>
      </c>
      <c r="C920" s="13" t="s">
        <v>473</v>
      </c>
      <c r="D920" s="3" t="s">
        <v>47</v>
      </c>
      <c r="E920" s="3" t="s">
        <v>52</v>
      </c>
      <c r="F920" s="3" t="s">
        <v>61</v>
      </c>
      <c r="G920" s="4">
        <v>3</v>
      </c>
      <c r="H920" s="5">
        <v>199</v>
      </c>
      <c r="I920" s="5">
        <v>0</v>
      </c>
      <c r="J920" s="5">
        <f t="shared" si="24"/>
        <v>597</v>
      </c>
      <c r="K920" s="3" t="s">
        <v>32</v>
      </c>
    </row>
    <row r="921" spans="1:11" x14ac:dyDescent="0.25">
      <c r="A921" s="6" t="s">
        <v>1337</v>
      </c>
      <c r="B921" s="7" t="s">
        <v>101</v>
      </c>
      <c r="C921" s="14" t="s">
        <v>443</v>
      </c>
      <c r="D921" s="7" t="s">
        <v>22</v>
      </c>
      <c r="E921" s="7" t="s">
        <v>16</v>
      </c>
      <c r="F921" s="7" t="s">
        <v>17</v>
      </c>
      <c r="G921" s="8">
        <v>4</v>
      </c>
      <c r="H921" s="9">
        <v>39</v>
      </c>
      <c r="I921" s="11"/>
      <c r="J921" s="9">
        <f t="shared" si="24"/>
        <v>156</v>
      </c>
      <c r="K921" s="7" t="s">
        <v>44</v>
      </c>
    </row>
    <row r="922" spans="1:11" x14ac:dyDescent="0.25">
      <c r="A922" s="2" t="s">
        <v>1338</v>
      </c>
      <c r="B922" s="3" t="s">
        <v>20</v>
      </c>
      <c r="C922" s="13" t="s">
        <v>409</v>
      </c>
      <c r="D922" s="3" t="s">
        <v>22</v>
      </c>
      <c r="E922" s="3" t="s">
        <v>52</v>
      </c>
      <c r="F922" s="3" t="s">
        <v>75</v>
      </c>
      <c r="G922" s="4">
        <v>3</v>
      </c>
      <c r="H922" s="5">
        <v>249</v>
      </c>
      <c r="I922" s="5">
        <v>0</v>
      </c>
      <c r="J922" s="5">
        <f t="shared" si="24"/>
        <v>747</v>
      </c>
      <c r="K922" s="3" t="s">
        <v>69</v>
      </c>
    </row>
    <row r="923" spans="1:11" x14ac:dyDescent="0.25">
      <c r="A923" s="6" t="s">
        <v>1339</v>
      </c>
      <c r="B923" s="7" t="s">
        <v>63</v>
      </c>
      <c r="C923" s="14" t="s">
        <v>1340</v>
      </c>
      <c r="D923" s="7" t="s">
        <v>47</v>
      </c>
      <c r="E923" s="7" t="s">
        <v>52</v>
      </c>
      <c r="F923" s="7" t="s">
        <v>75</v>
      </c>
      <c r="G923" s="8">
        <v>5</v>
      </c>
      <c r="H923" s="9">
        <v>249</v>
      </c>
      <c r="I923" s="9">
        <v>0</v>
      </c>
      <c r="J923" s="9">
        <f t="shared" si="24"/>
        <v>1245</v>
      </c>
      <c r="K923" s="7" t="s">
        <v>32</v>
      </c>
    </row>
    <row r="924" spans="1:11" x14ac:dyDescent="0.25">
      <c r="A924" s="2" t="s">
        <v>1341</v>
      </c>
      <c r="B924" s="3" t="s">
        <v>37</v>
      </c>
      <c r="C924" s="13" t="s">
        <v>792</v>
      </c>
      <c r="D924" s="3" t="s">
        <v>15</v>
      </c>
      <c r="E924" s="3" t="s">
        <v>52</v>
      </c>
      <c r="F924" s="3" t="s">
        <v>61</v>
      </c>
      <c r="G924" s="4">
        <v>4</v>
      </c>
      <c r="H924" s="5">
        <v>199</v>
      </c>
      <c r="I924" s="5">
        <v>0</v>
      </c>
      <c r="J924" s="5">
        <f t="shared" si="24"/>
        <v>796</v>
      </c>
      <c r="K924" s="3" t="s">
        <v>25</v>
      </c>
    </row>
    <row r="925" spans="1:11" x14ac:dyDescent="0.25">
      <c r="A925" s="6" t="s">
        <v>1342</v>
      </c>
      <c r="B925" s="7" t="s">
        <v>20</v>
      </c>
      <c r="C925" s="14" t="s">
        <v>144</v>
      </c>
      <c r="D925" s="7" t="s">
        <v>47</v>
      </c>
      <c r="E925" s="7" t="s">
        <v>30</v>
      </c>
      <c r="F925" s="7" t="s">
        <v>106</v>
      </c>
      <c r="G925" s="8">
        <v>5</v>
      </c>
      <c r="H925" s="9">
        <v>299</v>
      </c>
      <c r="I925" s="9">
        <v>0</v>
      </c>
      <c r="J925" s="9">
        <f t="shared" si="24"/>
        <v>1495</v>
      </c>
      <c r="K925" s="7" t="s">
        <v>49</v>
      </c>
    </row>
    <row r="926" spans="1:11" x14ac:dyDescent="0.25">
      <c r="A926" s="2" t="s">
        <v>1343</v>
      </c>
      <c r="B926" s="3" t="s">
        <v>55</v>
      </c>
      <c r="C926" s="13" t="s">
        <v>601</v>
      </c>
      <c r="D926" s="3" t="s">
        <v>39</v>
      </c>
      <c r="E926" s="3" t="s">
        <v>23</v>
      </c>
      <c r="F926" s="3" t="s">
        <v>48</v>
      </c>
      <c r="G926" s="4">
        <v>1</v>
      </c>
      <c r="H926" s="5">
        <v>450</v>
      </c>
      <c r="I926" s="5">
        <v>0</v>
      </c>
      <c r="J926" s="5">
        <f t="shared" si="24"/>
        <v>450</v>
      </c>
      <c r="K926" s="3" t="s">
        <v>65</v>
      </c>
    </row>
    <row r="927" spans="1:11" x14ac:dyDescent="0.25">
      <c r="A927" s="6" t="s">
        <v>1344</v>
      </c>
      <c r="B927" s="7" t="s">
        <v>34</v>
      </c>
      <c r="C927" s="14" t="s">
        <v>280</v>
      </c>
      <c r="D927" s="7" t="s">
        <v>47</v>
      </c>
      <c r="E927" s="7" t="s">
        <v>23</v>
      </c>
      <c r="F927" s="7" t="s">
        <v>88</v>
      </c>
      <c r="G927" s="8">
        <v>1</v>
      </c>
      <c r="H927" s="9">
        <v>650</v>
      </c>
      <c r="I927" s="9">
        <v>0</v>
      </c>
      <c r="J927" s="9">
        <f t="shared" si="24"/>
        <v>650</v>
      </c>
      <c r="K927" s="7" t="s">
        <v>69</v>
      </c>
    </row>
    <row r="928" spans="1:11" x14ac:dyDescent="0.25">
      <c r="A928" s="2" t="s">
        <v>1345</v>
      </c>
      <c r="B928" s="3" t="s">
        <v>55</v>
      </c>
      <c r="C928" s="13" t="s">
        <v>1238</v>
      </c>
      <c r="D928" s="3" t="s">
        <v>39</v>
      </c>
      <c r="E928" s="3" t="s">
        <v>16</v>
      </c>
      <c r="F928" s="3" t="s">
        <v>78</v>
      </c>
      <c r="G928" s="4">
        <v>3</v>
      </c>
      <c r="H928" s="5">
        <v>59</v>
      </c>
      <c r="I928" s="5">
        <v>19.829999999999998</v>
      </c>
      <c r="J928" s="5">
        <f t="shared" si="24"/>
        <v>157.17000000000002</v>
      </c>
      <c r="K928" s="3" t="s">
        <v>65</v>
      </c>
    </row>
    <row r="929" spans="1:11" x14ac:dyDescent="0.25">
      <c r="A929" s="6" t="s">
        <v>1346</v>
      </c>
      <c r="B929" s="7" t="s">
        <v>101</v>
      </c>
      <c r="C929" s="14" t="s">
        <v>14</v>
      </c>
      <c r="D929" s="7" t="s">
        <v>47</v>
      </c>
      <c r="E929" s="7" t="s">
        <v>23</v>
      </c>
      <c r="F929" s="7" t="s">
        <v>48</v>
      </c>
      <c r="G929" s="8">
        <v>3</v>
      </c>
      <c r="H929" s="9">
        <v>450</v>
      </c>
      <c r="I929" s="9">
        <v>0</v>
      </c>
      <c r="J929" s="9">
        <f t="shared" si="24"/>
        <v>1350</v>
      </c>
      <c r="K929" s="7" t="s">
        <v>44</v>
      </c>
    </row>
    <row r="930" spans="1:11" x14ac:dyDescent="0.25">
      <c r="A930" s="2" t="s">
        <v>1347</v>
      </c>
      <c r="B930" s="3" t="s">
        <v>71</v>
      </c>
      <c r="C930" s="13" t="s">
        <v>998</v>
      </c>
      <c r="D930" s="3" t="s">
        <v>39</v>
      </c>
      <c r="E930" s="3" t="s">
        <v>52</v>
      </c>
      <c r="F930" s="3" t="s">
        <v>75</v>
      </c>
      <c r="G930" s="4">
        <v>4</v>
      </c>
      <c r="H930" s="5">
        <v>249</v>
      </c>
      <c r="I930" s="5">
        <v>0</v>
      </c>
      <c r="J930" s="5">
        <f t="shared" si="24"/>
        <v>996</v>
      </c>
      <c r="K930" s="3" t="s">
        <v>49</v>
      </c>
    </row>
    <row r="931" spans="1:11" x14ac:dyDescent="0.25">
      <c r="A931" s="6" t="s">
        <v>1348</v>
      </c>
      <c r="B931" s="7" t="s">
        <v>34</v>
      </c>
      <c r="C931" s="14" t="s">
        <v>768</v>
      </c>
      <c r="D931" s="7" t="s">
        <v>29</v>
      </c>
      <c r="E931" s="7" t="s">
        <v>52</v>
      </c>
      <c r="F931" s="7" t="s">
        <v>61</v>
      </c>
      <c r="G931" s="8">
        <v>3</v>
      </c>
      <c r="H931" s="9">
        <v>199</v>
      </c>
      <c r="I931" s="9">
        <v>6.15</v>
      </c>
      <c r="J931" s="9">
        <f t="shared" si="24"/>
        <v>590.85</v>
      </c>
      <c r="K931" s="7" t="s">
        <v>44</v>
      </c>
    </row>
    <row r="932" spans="1:11" x14ac:dyDescent="0.25">
      <c r="A932" s="2" t="s">
        <v>1349</v>
      </c>
      <c r="B932" s="3" t="s">
        <v>55</v>
      </c>
      <c r="C932" s="13" t="s">
        <v>1350</v>
      </c>
      <c r="D932" s="3" t="s">
        <v>29</v>
      </c>
      <c r="E932" s="3" t="s">
        <v>52</v>
      </c>
      <c r="F932" s="3" t="s">
        <v>75</v>
      </c>
      <c r="G932" s="4">
        <v>5</v>
      </c>
      <c r="H932" s="5">
        <v>249</v>
      </c>
      <c r="I932" s="5">
        <v>0</v>
      </c>
      <c r="J932" s="5">
        <f t="shared" si="24"/>
        <v>1245</v>
      </c>
      <c r="K932" s="3" t="s">
        <v>32</v>
      </c>
    </row>
    <row r="933" spans="1:11" x14ac:dyDescent="0.25">
      <c r="A933" s="6" t="s">
        <v>1351</v>
      </c>
      <c r="B933" s="7" t="s">
        <v>20</v>
      </c>
      <c r="C933" s="14" t="s">
        <v>1352</v>
      </c>
      <c r="D933" s="7" t="s">
        <v>15</v>
      </c>
      <c r="E933" s="7" t="s">
        <v>23</v>
      </c>
      <c r="F933" s="7" t="s">
        <v>43</v>
      </c>
      <c r="G933" s="8">
        <v>2</v>
      </c>
      <c r="H933" s="9">
        <v>350</v>
      </c>
      <c r="I933" s="9">
        <v>13.93</v>
      </c>
      <c r="J933" s="9">
        <f t="shared" si="24"/>
        <v>686.07</v>
      </c>
      <c r="K933" s="7" t="s">
        <v>25</v>
      </c>
    </row>
    <row r="934" spans="1:11" x14ac:dyDescent="0.25">
      <c r="A934" s="2" t="s">
        <v>1353</v>
      </c>
      <c r="B934" s="3" t="s">
        <v>110</v>
      </c>
      <c r="C934" s="13" t="s">
        <v>342</v>
      </c>
      <c r="D934" s="3" t="s">
        <v>15</v>
      </c>
      <c r="E934" s="3" t="s">
        <v>30</v>
      </c>
      <c r="F934" s="3" t="s">
        <v>152</v>
      </c>
      <c r="G934" s="4">
        <v>2</v>
      </c>
      <c r="H934" s="5">
        <v>4500</v>
      </c>
      <c r="I934" s="5">
        <v>808.38</v>
      </c>
      <c r="J934" s="5">
        <f t="shared" si="24"/>
        <v>8191.62</v>
      </c>
      <c r="K934" s="3" t="s">
        <v>44</v>
      </c>
    </row>
    <row r="935" spans="1:11" x14ac:dyDescent="0.25">
      <c r="A935" s="6" t="s">
        <v>1354</v>
      </c>
      <c r="B935" s="7" t="s">
        <v>37</v>
      </c>
      <c r="C935" s="14" t="s">
        <v>527</v>
      </c>
      <c r="D935" s="7" t="s">
        <v>29</v>
      </c>
      <c r="E935" s="7" t="s">
        <v>30</v>
      </c>
      <c r="F935" s="7" t="s">
        <v>106</v>
      </c>
      <c r="G935" s="8">
        <v>3</v>
      </c>
      <c r="H935" s="9">
        <v>299</v>
      </c>
      <c r="I935" s="9">
        <v>0</v>
      </c>
      <c r="J935" s="9">
        <f t="shared" si="24"/>
        <v>897</v>
      </c>
      <c r="K935" s="7" t="s">
        <v>89</v>
      </c>
    </row>
    <row r="936" spans="1:11" x14ac:dyDescent="0.25">
      <c r="A936" s="2" t="s">
        <v>1355</v>
      </c>
      <c r="B936" s="3" t="s">
        <v>134</v>
      </c>
      <c r="C936" s="13" t="s">
        <v>280</v>
      </c>
      <c r="D936" s="3" t="s">
        <v>29</v>
      </c>
      <c r="E936" s="3" t="s">
        <v>30</v>
      </c>
      <c r="F936" s="3" t="s">
        <v>68</v>
      </c>
      <c r="G936" s="4">
        <v>1</v>
      </c>
      <c r="H936" s="5">
        <v>799</v>
      </c>
      <c r="I936" s="5">
        <v>0</v>
      </c>
      <c r="J936" s="5">
        <f t="shared" si="24"/>
        <v>799</v>
      </c>
      <c r="K936" s="3" t="s">
        <v>44</v>
      </c>
    </row>
    <row r="937" spans="1:11" x14ac:dyDescent="0.25">
      <c r="A937" s="6" t="s">
        <v>1356</v>
      </c>
      <c r="B937" s="7" t="s">
        <v>101</v>
      </c>
      <c r="C937" s="14" t="s">
        <v>697</v>
      </c>
      <c r="D937" s="7" t="s">
        <v>22</v>
      </c>
      <c r="E937" s="7" t="s">
        <v>52</v>
      </c>
      <c r="F937" s="7" t="s">
        <v>53</v>
      </c>
      <c r="G937" s="8">
        <v>4</v>
      </c>
      <c r="H937" s="9">
        <v>149</v>
      </c>
      <c r="I937" s="9">
        <v>0</v>
      </c>
      <c r="J937" s="9">
        <f t="shared" si="24"/>
        <v>596</v>
      </c>
      <c r="K937" s="7" t="s">
        <v>18</v>
      </c>
    </row>
    <row r="938" spans="1:11" x14ac:dyDescent="0.25">
      <c r="A938" s="2" t="s">
        <v>1357</v>
      </c>
      <c r="B938" s="3" t="s">
        <v>95</v>
      </c>
      <c r="C938" s="13" t="s">
        <v>531</v>
      </c>
      <c r="D938" s="3" t="s">
        <v>47</v>
      </c>
      <c r="E938" s="3" t="s">
        <v>30</v>
      </c>
      <c r="F938" s="3" t="s">
        <v>68</v>
      </c>
      <c r="G938" s="4">
        <v>4</v>
      </c>
      <c r="H938" s="5">
        <v>799</v>
      </c>
      <c r="I938" s="5">
        <v>0</v>
      </c>
      <c r="J938" s="5">
        <f t="shared" si="24"/>
        <v>3196</v>
      </c>
      <c r="K938" s="3" t="s">
        <v>25</v>
      </c>
    </row>
    <row r="939" spans="1:11" x14ac:dyDescent="0.25">
      <c r="A939" s="6" t="s">
        <v>1358</v>
      </c>
      <c r="B939" s="7" t="s">
        <v>277</v>
      </c>
      <c r="C939" s="14" t="s">
        <v>74</v>
      </c>
      <c r="D939" s="7" t="s">
        <v>29</v>
      </c>
      <c r="E939" s="7" t="s">
        <v>30</v>
      </c>
      <c r="F939" s="7" t="s">
        <v>106</v>
      </c>
      <c r="G939" s="8">
        <v>5</v>
      </c>
      <c r="H939" s="9">
        <v>299</v>
      </c>
      <c r="I939" s="9">
        <v>0</v>
      </c>
      <c r="J939" s="9">
        <f t="shared" si="24"/>
        <v>1495</v>
      </c>
      <c r="K939" s="7" t="s">
        <v>69</v>
      </c>
    </row>
    <row r="940" spans="1:11" x14ac:dyDescent="0.25">
      <c r="A940" s="2" t="s">
        <v>1359</v>
      </c>
      <c r="B940" s="3" t="s">
        <v>41</v>
      </c>
      <c r="C940" s="13" t="s">
        <v>186</v>
      </c>
      <c r="D940" s="3" t="s">
        <v>39</v>
      </c>
      <c r="E940" s="3" t="s">
        <v>52</v>
      </c>
      <c r="F940" s="3" t="s">
        <v>61</v>
      </c>
      <c r="G940" s="4">
        <v>1</v>
      </c>
      <c r="H940" s="5">
        <v>199</v>
      </c>
      <c r="I940" s="5">
        <v>21.62</v>
      </c>
      <c r="J940" s="5">
        <f t="shared" si="24"/>
        <v>177.38</v>
      </c>
      <c r="K940" s="3" t="s">
        <v>65</v>
      </c>
    </row>
    <row r="941" spans="1:11" x14ac:dyDescent="0.25">
      <c r="A941" s="6" t="s">
        <v>1360</v>
      </c>
      <c r="B941" s="7" t="s">
        <v>41</v>
      </c>
      <c r="C941" s="14" t="s">
        <v>246</v>
      </c>
      <c r="D941" s="7" t="s">
        <v>15</v>
      </c>
      <c r="E941" s="7" t="s">
        <v>30</v>
      </c>
      <c r="F941" s="7" t="s">
        <v>68</v>
      </c>
      <c r="G941" s="8">
        <v>2</v>
      </c>
      <c r="H941" s="9">
        <v>799</v>
      </c>
      <c r="I941" s="9">
        <v>0</v>
      </c>
      <c r="J941" s="9">
        <f t="shared" ref="J941:J957" si="25">(G941*H941)-I941</f>
        <v>1598</v>
      </c>
      <c r="K941" s="7" t="s">
        <v>25</v>
      </c>
    </row>
    <row r="942" spans="1:11" x14ac:dyDescent="0.25">
      <c r="A942" s="2" t="s">
        <v>1361</v>
      </c>
      <c r="B942" s="3" t="s">
        <v>41</v>
      </c>
      <c r="C942" s="13" t="s">
        <v>325</v>
      </c>
      <c r="D942" s="3" t="s">
        <v>47</v>
      </c>
      <c r="E942" s="3" t="s">
        <v>16</v>
      </c>
      <c r="F942" s="3" t="s">
        <v>103</v>
      </c>
      <c r="G942" s="4">
        <v>3</v>
      </c>
      <c r="H942" s="5">
        <v>89</v>
      </c>
      <c r="I942" s="5">
        <v>6.23</v>
      </c>
      <c r="J942" s="5">
        <f t="shared" si="25"/>
        <v>260.77</v>
      </c>
      <c r="K942" s="3" t="s">
        <v>49</v>
      </c>
    </row>
    <row r="943" spans="1:11" x14ac:dyDescent="0.25">
      <c r="A943" s="6" t="s">
        <v>1362</v>
      </c>
      <c r="B943" s="7" t="s">
        <v>110</v>
      </c>
      <c r="C943" s="14" t="s">
        <v>260</v>
      </c>
      <c r="D943" s="7" t="s">
        <v>39</v>
      </c>
      <c r="E943" s="7" t="s">
        <v>16</v>
      </c>
      <c r="F943" s="7" t="s">
        <v>103</v>
      </c>
      <c r="G943" s="8">
        <v>2</v>
      </c>
      <c r="H943" s="9">
        <v>89</v>
      </c>
      <c r="I943" s="9">
        <v>0</v>
      </c>
      <c r="J943" s="9">
        <f t="shared" si="25"/>
        <v>178</v>
      </c>
      <c r="K943" s="7" t="s">
        <v>69</v>
      </c>
    </row>
    <row r="944" spans="1:11" x14ac:dyDescent="0.25">
      <c r="A944" s="2" t="s">
        <v>1363</v>
      </c>
      <c r="B944" s="3" t="s">
        <v>55</v>
      </c>
      <c r="C944" s="13" t="s">
        <v>371</v>
      </c>
      <c r="D944" s="3" t="s">
        <v>39</v>
      </c>
      <c r="E944" s="3" t="s">
        <v>52</v>
      </c>
      <c r="F944" s="3" t="s">
        <v>53</v>
      </c>
      <c r="G944" s="4">
        <v>3</v>
      </c>
      <c r="H944" s="5">
        <v>149</v>
      </c>
      <c r="I944" s="5">
        <v>1.96</v>
      </c>
      <c r="J944" s="5">
        <f t="shared" si="25"/>
        <v>445.04</v>
      </c>
      <c r="K944" s="3" t="s">
        <v>65</v>
      </c>
    </row>
    <row r="945" spans="1:11" x14ac:dyDescent="0.25">
      <c r="A945" s="6" t="s">
        <v>1364</v>
      </c>
      <c r="B945" s="7" t="s">
        <v>13</v>
      </c>
      <c r="C945" s="14" t="s">
        <v>1365</v>
      </c>
      <c r="D945" s="7" t="s">
        <v>22</v>
      </c>
      <c r="E945" s="7" t="s">
        <v>16</v>
      </c>
      <c r="F945" s="7" t="s">
        <v>17</v>
      </c>
      <c r="G945" s="8">
        <v>1</v>
      </c>
      <c r="H945" s="9">
        <v>39</v>
      </c>
      <c r="I945" s="9">
        <v>0</v>
      </c>
      <c r="J945" s="9">
        <f t="shared" si="25"/>
        <v>39</v>
      </c>
      <c r="K945" s="7" t="s">
        <v>18</v>
      </c>
    </row>
    <row r="946" spans="1:11" x14ac:dyDescent="0.25">
      <c r="A946" s="2" t="s">
        <v>1366</v>
      </c>
      <c r="B946" s="3" t="s">
        <v>37</v>
      </c>
      <c r="C946" s="13" t="s">
        <v>136</v>
      </c>
      <c r="D946" s="3" t="s">
        <v>15</v>
      </c>
      <c r="E946" s="3" t="s">
        <v>52</v>
      </c>
      <c r="F946" s="3" t="s">
        <v>53</v>
      </c>
      <c r="G946" s="4">
        <v>4</v>
      </c>
      <c r="H946" s="5">
        <v>149</v>
      </c>
      <c r="I946" s="5">
        <v>77.180000000000007</v>
      </c>
      <c r="J946" s="5">
        <f t="shared" si="25"/>
        <v>518.81999999999994</v>
      </c>
      <c r="K946" s="3" t="s">
        <v>49</v>
      </c>
    </row>
    <row r="947" spans="1:11" x14ac:dyDescent="0.25">
      <c r="A947" s="6" t="s">
        <v>1367</v>
      </c>
      <c r="B947" s="7" t="s">
        <v>110</v>
      </c>
      <c r="C947" s="14" t="s">
        <v>405</v>
      </c>
      <c r="D947" s="7" t="s">
        <v>15</v>
      </c>
      <c r="E947" s="7" t="s">
        <v>30</v>
      </c>
      <c r="F947" s="7" t="s">
        <v>31</v>
      </c>
      <c r="G947" s="8">
        <v>5</v>
      </c>
      <c r="H947" s="9">
        <v>2500</v>
      </c>
      <c r="I947" s="9">
        <v>0</v>
      </c>
      <c r="J947" s="9">
        <f t="shared" si="25"/>
        <v>12500</v>
      </c>
      <c r="K947" s="7" t="s">
        <v>65</v>
      </c>
    </row>
    <row r="948" spans="1:11" x14ac:dyDescent="0.25">
      <c r="A948" s="2" t="s">
        <v>1368</v>
      </c>
      <c r="B948" s="3" t="s">
        <v>37</v>
      </c>
      <c r="C948" s="13" t="s">
        <v>1369</v>
      </c>
      <c r="D948" s="3" t="s">
        <v>39</v>
      </c>
      <c r="E948" s="3" t="s">
        <v>23</v>
      </c>
      <c r="F948" s="3" t="s">
        <v>43</v>
      </c>
      <c r="G948" s="4">
        <v>5</v>
      </c>
      <c r="H948" s="5">
        <v>350</v>
      </c>
      <c r="I948" s="5">
        <v>0</v>
      </c>
      <c r="J948" s="5">
        <f t="shared" si="25"/>
        <v>1750</v>
      </c>
      <c r="K948" s="3" t="s">
        <v>18</v>
      </c>
    </row>
    <row r="949" spans="1:11" x14ac:dyDescent="0.25">
      <c r="A949" s="6" t="s">
        <v>1370</v>
      </c>
      <c r="B949" s="7" t="s">
        <v>101</v>
      </c>
      <c r="C949" s="14" t="s">
        <v>1371</v>
      </c>
      <c r="D949" s="7" t="s">
        <v>47</v>
      </c>
      <c r="E949" s="7" t="s">
        <v>23</v>
      </c>
      <c r="F949" s="7" t="s">
        <v>48</v>
      </c>
      <c r="G949" s="8">
        <v>1</v>
      </c>
      <c r="H949" s="9">
        <v>450</v>
      </c>
      <c r="I949" s="9">
        <v>0</v>
      </c>
      <c r="J949" s="9">
        <f t="shared" si="25"/>
        <v>450</v>
      </c>
      <c r="K949" s="7" t="s">
        <v>69</v>
      </c>
    </row>
    <row r="950" spans="1:11" x14ac:dyDescent="0.25">
      <c r="A950" s="2" t="s">
        <v>1372</v>
      </c>
      <c r="B950" s="3" t="s">
        <v>55</v>
      </c>
      <c r="C950" s="13" t="s">
        <v>813</v>
      </c>
      <c r="D950" s="3" t="s">
        <v>29</v>
      </c>
      <c r="E950" s="3" t="s">
        <v>52</v>
      </c>
      <c r="F950" s="3" t="s">
        <v>53</v>
      </c>
      <c r="G950" s="4">
        <v>1</v>
      </c>
      <c r="H950" s="5">
        <v>149</v>
      </c>
      <c r="I950" s="5">
        <v>0</v>
      </c>
      <c r="J950" s="5">
        <f t="shared" si="25"/>
        <v>149</v>
      </c>
      <c r="K950" s="3" t="s">
        <v>49</v>
      </c>
    </row>
    <row r="951" spans="1:11" x14ac:dyDescent="0.25">
      <c r="A951" s="6" t="s">
        <v>1373</v>
      </c>
      <c r="B951" s="7" t="s">
        <v>20</v>
      </c>
      <c r="C951" s="14" t="s">
        <v>1010</v>
      </c>
      <c r="D951" s="7" t="s">
        <v>22</v>
      </c>
      <c r="E951" s="7" t="s">
        <v>23</v>
      </c>
      <c r="F951" s="7" t="s">
        <v>88</v>
      </c>
      <c r="G951" s="8">
        <v>3</v>
      </c>
      <c r="H951" s="9">
        <v>650</v>
      </c>
      <c r="I951" s="9">
        <v>0</v>
      </c>
      <c r="J951" s="9">
        <f t="shared" si="25"/>
        <v>1950</v>
      </c>
      <c r="K951" s="7" t="s">
        <v>25</v>
      </c>
    </row>
    <row r="952" spans="1:11" x14ac:dyDescent="0.25">
      <c r="A952" s="2" t="s">
        <v>1374</v>
      </c>
      <c r="B952" s="3" t="s">
        <v>55</v>
      </c>
      <c r="C952" s="13" t="s">
        <v>1066</v>
      </c>
      <c r="D952" s="3" t="s">
        <v>22</v>
      </c>
      <c r="E952" s="3" t="s">
        <v>52</v>
      </c>
      <c r="F952" s="3" t="s">
        <v>53</v>
      </c>
      <c r="G952" s="4">
        <v>5</v>
      </c>
      <c r="H952" s="5">
        <v>149</v>
      </c>
      <c r="I952" s="5">
        <v>0</v>
      </c>
      <c r="J952" s="5">
        <f t="shared" si="25"/>
        <v>745</v>
      </c>
      <c r="K952" s="3" t="s">
        <v>69</v>
      </c>
    </row>
    <row r="953" spans="1:11" x14ac:dyDescent="0.25">
      <c r="A953" s="6" t="s">
        <v>1375</v>
      </c>
      <c r="B953" s="7" t="s">
        <v>13</v>
      </c>
      <c r="C953" s="14" t="s">
        <v>720</v>
      </c>
      <c r="D953" s="7" t="s">
        <v>29</v>
      </c>
      <c r="E953" s="7" t="s">
        <v>30</v>
      </c>
      <c r="F953" s="7" t="s">
        <v>31</v>
      </c>
      <c r="G953" s="8">
        <v>5</v>
      </c>
      <c r="H953" s="9">
        <v>2500</v>
      </c>
      <c r="I953" s="9">
        <v>211.93</v>
      </c>
      <c r="J953" s="9">
        <f t="shared" si="25"/>
        <v>12288.07</v>
      </c>
      <c r="K953" s="7" t="s">
        <v>18</v>
      </c>
    </row>
    <row r="954" spans="1:11" x14ac:dyDescent="0.25">
      <c r="A954" s="2" t="s">
        <v>1376</v>
      </c>
      <c r="B954" s="3" t="s">
        <v>34</v>
      </c>
      <c r="C954" s="13" t="s">
        <v>415</v>
      </c>
      <c r="D954" s="3" t="s">
        <v>15</v>
      </c>
      <c r="E954" s="3" t="s">
        <v>23</v>
      </c>
      <c r="F954" s="3" t="s">
        <v>43</v>
      </c>
      <c r="G954" s="4">
        <v>4</v>
      </c>
      <c r="H954" s="5">
        <v>350</v>
      </c>
      <c r="I954" s="5">
        <v>0</v>
      </c>
      <c r="J954" s="5">
        <f t="shared" si="25"/>
        <v>1400</v>
      </c>
      <c r="K954" s="3" t="s">
        <v>25</v>
      </c>
    </row>
    <row r="955" spans="1:11" x14ac:dyDescent="0.25">
      <c r="A955" s="6" t="s">
        <v>1377</v>
      </c>
      <c r="B955" s="7" t="s">
        <v>110</v>
      </c>
      <c r="C955" s="14" t="s">
        <v>471</v>
      </c>
      <c r="D955" s="7" t="s">
        <v>22</v>
      </c>
      <c r="E955" s="7" t="s">
        <v>30</v>
      </c>
      <c r="F955" s="7" t="s">
        <v>68</v>
      </c>
      <c r="G955" s="8">
        <v>1</v>
      </c>
      <c r="H955" s="9">
        <v>799</v>
      </c>
      <c r="I955" s="9">
        <v>44.87</v>
      </c>
      <c r="J955" s="9">
        <f t="shared" si="25"/>
        <v>754.13</v>
      </c>
      <c r="K955" s="7" t="s">
        <v>32</v>
      </c>
    </row>
    <row r="956" spans="1:11" x14ac:dyDescent="0.25">
      <c r="A956" s="2" t="s">
        <v>1378</v>
      </c>
      <c r="B956" s="3" t="s">
        <v>110</v>
      </c>
      <c r="C956" s="13" t="s">
        <v>488</v>
      </c>
      <c r="D956" s="3" t="s">
        <v>15</v>
      </c>
      <c r="E956" s="3" t="s">
        <v>16</v>
      </c>
      <c r="F956" s="3" t="s">
        <v>116</v>
      </c>
      <c r="G956" s="4">
        <v>5</v>
      </c>
      <c r="H956" s="5">
        <v>45</v>
      </c>
      <c r="I956" s="5">
        <v>0</v>
      </c>
      <c r="J956" s="5">
        <f t="shared" si="25"/>
        <v>225</v>
      </c>
      <c r="K956" s="3" t="s">
        <v>32</v>
      </c>
    </row>
    <row r="957" spans="1:11" x14ac:dyDescent="0.25">
      <c r="A957" s="6" t="s">
        <v>1379</v>
      </c>
      <c r="B957" s="7" t="s">
        <v>37</v>
      </c>
      <c r="C957" s="14" t="s">
        <v>705</v>
      </c>
      <c r="D957" s="7" t="s">
        <v>22</v>
      </c>
      <c r="E957" s="7" t="s">
        <v>23</v>
      </c>
      <c r="F957" s="7" t="s">
        <v>43</v>
      </c>
      <c r="G957" s="8">
        <v>4</v>
      </c>
      <c r="H957" s="9">
        <v>350</v>
      </c>
      <c r="I957" s="9">
        <v>165.15</v>
      </c>
      <c r="J957" s="9">
        <f t="shared" si="25"/>
        <v>1234.8499999999999</v>
      </c>
      <c r="K957" s="7" t="s">
        <v>89</v>
      </c>
    </row>
    <row r="958" spans="1:11" x14ac:dyDescent="0.25">
      <c r="A958" s="2" t="s">
        <v>1380</v>
      </c>
      <c r="B958" s="3" t="s">
        <v>110</v>
      </c>
      <c r="C958" s="13" t="s">
        <v>1141</v>
      </c>
      <c r="D958" s="3" t="s">
        <v>39</v>
      </c>
      <c r="E958" s="3" t="s">
        <v>23</v>
      </c>
      <c r="F958" s="3" t="s">
        <v>24</v>
      </c>
      <c r="G958" s="4">
        <v>1</v>
      </c>
      <c r="H958" s="10"/>
      <c r="I958" s="5">
        <v>10</v>
      </c>
      <c r="J958" s="5"/>
      <c r="K958" s="3" t="s">
        <v>44</v>
      </c>
    </row>
    <row r="959" spans="1:11" x14ac:dyDescent="0.25">
      <c r="A959" s="6" t="s">
        <v>1381</v>
      </c>
      <c r="B959" s="7" t="s">
        <v>95</v>
      </c>
      <c r="C959" s="14" t="s">
        <v>435</v>
      </c>
      <c r="D959" s="7" t="s">
        <v>39</v>
      </c>
      <c r="E959" s="7" t="s">
        <v>52</v>
      </c>
      <c r="F959" s="7" t="s">
        <v>61</v>
      </c>
      <c r="G959" s="8">
        <v>3</v>
      </c>
      <c r="H959" s="9">
        <v>199</v>
      </c>
      <c r="I959" s="9">
        <v>42.97</v>
      </c>
      <c r="J959" s="9">
        <f t="shared" ref="J959:J1022" si="26">(G959*H959)-I959</f>
        <v>554.03</v>
      </c>
      <c r="K959" s="7" t="s">
        <v>89</v>
      </c>
    </row>
    <row r="960" spans="1:11" x14ac:dyDescent="0.25">
      <c r="A960" s="2" t="s">
        <v>1382</v>
      </c>
      <c r="B960" s="3" t="s">
        <v>27</v>
      </c>
      <c r="C960" s="13" t="s">
        <v>51</v>
      </c>
      <c r="D960" s="3" t="s">
        <v>22</v>
      </c>
      <c r="E960" s="3" t="s">
        <v>23</v>
      </c>
      <c r="F960" s="3" t="s">
        <v>24</v>
      </c>
      <c r="G960" s="4">
        <v>1</v>
      </c>
      <c r="H960" s="5">
        <v>180</v>
      </c>
      <c r="I960" s="5">
        <v>26.01</v>
      </c>
      <c r="J960" s="5">
        <f t="shared" si="26"/>
        <v>153.99</v>
      </c>
      <c r="K960" s="3" t="s">
        <v>18</v>
      </c>
    </row>
    <row r="961" spans="1:11" x14ac:dyDescent="0.25">
      <c r="A961" s="6" t="s">
        <v>1383</v>
      </c>
      <c r="B961" s="7" t="s">
        <v>20</v>
      </c>
      <c r="C961" s="14" t="s">
        <v>85</v>
      </c>
      <c r="D961" s="7" t="s">
        <v>22</v>
      </c>
      <c r="E961" s="7" t="s">
        <v>23</v>
      </c>
      <c r="F961" s="7" t="s">
        <v>43</v>
      </c>
      <c r="G961" s="8">
        <v>5</v>
      </c>
      <c r="H961" s="9">
        <v>350</v>
      </c>
      <c r="I961" s="9">
        <v>0</v>
      </c>
      <c r="J961" s="9">
        <f t="shared" si="26"/>
        <v>1750</v>
      </c>
      <c r="K961" s="7" t="s">
        <v>49</v>
      </c>
    </row>
    <row r="962" spans="1:11" x14ac:dyDescent="0.25">
      <c r="A962" s="2" t="s">
        <v>1384</v>
      </c>
      <c r="B962" s="3" t="s">
        <v>55</v>
      </c>
      <c r="C962" s="13" t="s">
        <v>349</v>
      </c>
      <c r="D962" s="3" t="s">
        <v>15</v>
      </c>
      <c r="E962" s="3" t="s">
        <v>16</v>
      </c>
      <c r="F962" s="3" t="s">
        <v>103</v>
      </c>
      <c r="G962" s="4">
        <v>4</v>
      </c>
      <c r="H962" s="5">
        <v>89</v>
      </c>
      <c r="I962" s="5">
        <v>0</v>
      </c>
      <c r="J962" s="5">
        <f t="shared" si="26"/>
        <v>356</v>
      </c>
      <c r="K962" s="3" t="s">
        <v>44</v>
      </c>
    </row>
    <row r="963" spans="1:11" x14ac:dyDescent="0.25">
      <c r="A963" s="6" t="s">
        <v>1385</v>
      </c>
      <c r="B963" s="7" t="s">
        <v>34</v>
      </c>
      <c r="C963" s="14" t="s">
        <v>464</v>
      </c>
      <c r="D963" s="7" t="s">
        <v>15</v>
      </c>
      <c r="E963" s="7" t="s">
        <v>30</v>
      </c>
      <c r="F963" s="7" t="s">
        <v>31</v>
      </c>
      <c r="G963" s="8">
        <v>4</v>
      </c>
      <c r="H963" s="9">
        <v>2500</v>
      </c>
      <c r="I963" s="9">
        <v>0</v>
      </c>
      <c r="J963" s="9">
        <f t="shared" si="26"/>
        <v>10000</v>
      </c>
      <c r="K963" s="7" t="s">
        <v>65</v>
      </c>
    </row>
    <row r="964" spans="1:11" x14ac:dyDescent="0.25">
      <c r="A964" s="2" t="s">
        <v>1386</v>
      </c>
      <c r="B964" s="3" t="s">
        <v>95</v>
      </c>
      <c r="C964" s="13" t="s">
        <v>835</v>
      </c>
      <c r="D964" s="3" t="s">
        <v>39</v>
      </c>
      <c r="E964" s="3" t="s">
        <v>23</v>
      </c>
      <c r="F964" s="3" t="s">
        <v>48</v>
      </c>
      <c r="G964" s="4">
        <v>1</v>
      </c>
      <c r="H964" s="5">
        <v>450</v>
      </c>
      <c r="I964" s="5">
        <v>0</v>
      </c>
      <c r="J964" s="5">
        <f t="shared" si="26"/>
        <v>450</v>
      </c>
      <c r="K964" s="3" t="s">
        <v>25</v>
      </c>
    </row>
    <row r="965" spans="1:11" x14ac:dyDescent="0.25">
      <c r="A965" s="6" t="s">
        <v>1387</v>
      </c>
      <c r="B965" s="7" t="s">
        <v>134</v>
      </c>
      <c r="C965" s="14" t="s">
        <v>286</v>
      </c>
      <c r="D965" s="7" t="s">
        <v>29</v>
      </c>
      <c r="E965" s="7" t="s">
        <v>23</v>
      </c>
      <c r="F965" s="7" t="s">
        <v>43</v>
      </c>
      <c r="G965" s="8">
        <v>1</v>
      </c>
      <c r="H965" s="9">
        <v>350</v>
      </c>
      <c r="I965" s="9">
        <v>6.23</v>
      </c>
      <c r="J965" s="9">
        <f t="shared" si="26"/>
        <v>343.77</v>
      </c>
      <c r="K965" s="7" t="s">
        <v>44</v>
      </c>
    </row>
    <row r="966" spans="1:11" x14ac:dyDescent="0.25">
      <c r="A966" s="2" t="s">
        <v>1388</v>
      </c>
      <c r="B966" s="3" t="s">
        <v>63</v>
      </c>
      <c r="C966" s="13" t="s">
        <v>742</v>
      </c>
      <c r="D966" s="3" t="s">
        <v>29</v>
      </c>
      <c r="E966" s="3" t="s">
        <v>16</v>
      </c>
      <c r="F966" s="3" t="s">
        <v>103</v>
      </c>
      <c r="G966" s="4">
        <v>1</v>
      </c>
      <c r="H966" s="5">
        <v>89</v>
      </c>
      <c r="I966" s="5">
        <v>0.31</v>
      </c>
      <c r="J966" s="5">
        <f t="shared" si="26"/>
        <v>88.69</v>
      </c>
      <c r="K966" s="3" t="s">
        <v>32</v>
      </c>
    </row>
    <row r="967" spans="1:11" x14ac:dyDescent="0.25">
      <c r="A967" s="6" t="s">
        <v>1389</v>
      </c>
      <c r="B967" s="7" t="s">
        <v>101</v>
      </c>
      <c r="C967" s="14" t="s">
        <v>42</v>
      </c>
      <c r="D967" s="7" t="s">
        <v>22</v>
      </c>
      <c r="E967" s="7" t="s">
        <v>30</v>
      </c>
      <c r="F967" s="7" t="s">
        <v>106</v>
      </c>
      <c r="G967" s="8">
        <v>2</v>
      </c>
      <c r="H967" s="9">
        <v>299</v>
      </c>
      <c r="I967" s="9">
        <v>20.399999999999999</v>
      </c>
      <c r="J967" s="9">
        <f t="shared" si="26"/>
        <v>577.6</v>
      </c>
      <c r="K967" s="7" t="s">
        <v>69</v>
      </c>
    </row>
    <row r="968" spans="1:11" x14ac:dyDescent="0.25">
      <c r="A968" s="2" t="s">
        <v>1390</v>
      </c>
      <c r="B968" s="3" t="s">
        <v>95</v>
      </c>
      <c r="C968" s="13" t="s">
        <v>503</v>
      </c>
      <c r="D968" s="3" t="s">
        <v>47</v>
      </c>
      <c r="E968" s="3" t="s">
        <v>23</v>
      </c>
      <c r="F968" s="3" t="s">
        <v>24</v>
      </c>
      <c r="G968" s="4">
        <v>1</v>
      </c>
      <c r="H968" s="5">
        <v>180</v>
      </c>
      <c r="I968" s="5">
        <v>24.59</v>
      </c>
      <c r="J968" s="5">
        <f t="shared" si="26"/>
        <v>155.41</v>
      </c>
      <c r="K968" s="3" t="s">
        <v>18</v>
      </c>
    </row>
    <row r="969" spans="1:11" x14ac:dyDescent="0.25">
      <c r="A969" s="6" t="s">
        <v>1391</v>
      </c>
      <c r="B969" s="7" t="s">
        <v>101</v>
      </c>
      <c r="C969" s="14" t="s">
        <v>700</v>
      </c>
      <c r="D969" s="7" t="s">
        <v>39</v>
      </c>
      <c r="E969" s="7" t="s">
        <v>16</v>
      </c>
      <c r="F969" s="7" t="s">
        <v>116</v>
      </c>
      <c r="G969" s="8">
        <v>3</v>
      </c>
      <c r="H969" s="9">
        <v>45</v>
      </c>
      <c r="I969" s="9">
        <v>0</v>
      </c>
      <c r="J969" s="9">
        <f t="shared" si="26"/>
        <v>135</v>
      </c>
      <c r="K969" s="7" t="s">
        <v>32</v>
      </c>
    </row>
    <row r="970" spans="1:11" x14ac:dyDescent="0.25">
      <c r="A970" s="2" t="s">
        <v>1392</v>
      </c>
      <c r="B970" s="3" t="s">
        <v>95</v>
      </c>
      <c r="C970" s="13" t="s">
        <v>1153</v>
      </c>
      <c r="D970" s="3" t="s">
        <v>39</v>
      </c>
      <c r="E970" s="3" t="s">
        <v>30</v>
      </c>
      <c r="F970" s="3" t="s">
        <v>106</v>
      </c>
      <c r="G970" s="4">
        <v>2</v>
      </c>
      <c r="H970" s="5">
        <v>299</v>
      </c>
      <c r="I970" s="5">
        <v>0</v>
      </c>
      <c r="J970" s="5">
        <f t="shared" si="26"/>
        <v>598</v>
      </c>
      <c r="K970" s="3" t="s">
        <v>25</v>
      </c>
    </row>
    <row r="971" spans="1:11" x14ac:dyDescent="0.25">
      <c r="A971" s="6" t="s">
        <v>1393</v>
      </c>
      <c r="B971" s="7" t="s">
        <v>71</v>
      </c>
      <c r="C971" s="14" t="s">
        <v>346</v>
      </c>
      <c r="D971" s="7" t="s">
        <v>39</v>
      </c>
      <c r="E971" s="7" t="s">
        <v>16</v>
      </c>
      <c r="F971" s="7" t="s">
        <v>103</v>
      </c>
      <c r="G971" s="8">
        <v>3</v>
      </c>
      <c r="H971" s="9">
        <v>89</v>
      </c>
      <c r="I971" s="9">
        <v>0</v>
      </c>
      <c r="J971" s="9">
        <f t="shared" si="26"/>
        <v>267</v>
      </c>
      <c r="K971" s="7" t="s">
        <v>44</v>
      </c>
    </row>
    <row r="972" spans="1:11" x14ac:dyDescent="0.25">
      <c r="A972" s="2" t="s">
        <v>1394</v>
      </c>
      <c r="B972" s="3" t="s">
        <v>34</v>
      </c>
      <c r="C972" s="13" t="s">
        <v>384</v>
      </c>
      <c r="D972" s="3" t="s">
        <v>29</v>
      </c>
      <c r="E972" s="3" t="s">
        <v>23</v>
      </c>
      <c r="F972" s="3" t="s">
        <v>88</v>
      </c>
      <c r="G972" s="4">
        <v>1</v>
      </c>
      <c r="H972" s="5">
        <v>650</v>
      </c>
      <c r="I972" s="5">
        <v>29.21</v>
      </c>
      <c r="J972" s="5">
        <f t="shared" si="26"/>
        <v>620.79</v>
      </c>
      <c r="K972" s="3" t="s">
        <v>65</v>
      </c>
    </row>
    <row r="973" spans="1:11" x14ac:dyDescent="0.25">
      <c r="A973" s="6" t="s">
        <v>1395</v>
      </c>
      <c r="B973" s="7" t="s">
        <v>71</v>
      </c>
      <c r="C973" s="14" t="s">
        <v>1170</v>
      </c>
      <c r="D973" s="7" t="s">
        <v>39</v>
      </c>
      <c r="E973" s="7" t="s">
        <v>52</v>
      </c>
      <c r="F973" s="7" t="s">
        <v>53</v>
      </c>
      <c r="G973" s="8">
        <v>2</v>
      </c>
      <c r="H973" s="9">
        <v>149</v>
      </c>
      <c r="I973" s="9">
        <v>13.25</v>
      </c>
      <c r="J973" s="9">
        <f t="shared" si="26"/>
        <v>284.75</v>
      </c>
      <c r="K973" s="7" t="s">
        <v>65</v>
      </c>
    </row>
    <row r="974" spans="1:11" x14ac:dyDescent="0.25">
      <c r="A974" s="2" t="s">
        <v>1396</v>
      </c>
      <c r="B974" s="3" t="s">
        <v>63</v>
      </c>
      <c r="C974" s="13" t="s">
        <v>93</v>
      </c>
      <c r="D974" s="3" t="s">
        <v>29</v>
      </c>
      <c r="E974" s="3" t="s">
        <v>30</v>
      </c>
      <c r="F974" s="3" t="s">
        <v>152</v>
      </c>
      <c r="G974" s="4">
        <v>1</v>
      </c>
      <c r="H974" s="5">
        <v>4500</v>
      </c>
      <c r="I974" s="5">
        <v>655.86</v>
      </c>
      <c r="J974" s="5">
        <f t="shared" si="26"/>
        <v>3844.14</v>
      </c>
      <c r="K974" s="3" t="s">
        <v>65</v>
      </c>
    </row>
    <row r="975" spans="1:11" x14ac:dyDescent="0.25">
      <c r="A975" s="6" t="s">
        <v>1397</v>
      </c>
      <c r="B975" s="7" t="s">
        <v>101</v>
      </c>
      <c r="C975" s="14" t="s">
        <v>399</v>
      </c>
      <c r="D975" s="7" t="s">
        <v>47</v>
      </c>
      <c r="E975" s="7" t="s">
        <v>52</v>
      </c>
      <c r="F975" s="7" t="s">
        <v>53</v>
      </c>
      <c r="G975" s="8">
        <v>1</v>
      </c>
      <c r="H975" s="9">
        <v>149</v>
      </c>
      <c r="I975" s="9">
        <v>0</v>
      </c>
      <c r="J975" s="9">
        <f t="shared" si="26"/>
        <v>149</v>
      </c>
      <c r="K975" s="7" t="s">
        <v>89</v>
      </c>
    </row>
    <row r="976" spans="1:11" x14ac:dyDescent="0.25">
      <c r="A976" s="2" t="s">
        <v>1398</v>
      </c>
      <c r="B976" s="3" t="s">
        <v>63</v>
      </c>
      <c r="C976" s="13" t="s">
        <v>1066</v>
      </c>
      <c r="D976" s="3" t="s">
        <v>47</v>
      </c>
      <c r="E976" s="3" t="s">
        <v>16</v>
      </c>
      <c r="F976" s="3" t="s">
        <v>78</v>
      </c>
      <c r="G976" s="4">
        <v>4</v>
      </c>
      <c r="H976" s="5">
        <v>59</v>
      </c>
      <c r="I976" s="5">
        <v>30.76</v>
      </c>
      <c r="J976" s="5">
        <f t="shared" si="26"/>
        <v>205.24</v>
      </c>
      <c r="K976" s="3" t="s">
        <v>69</v>
      </c>
    </row>
    <row r="977" spans="1:11" x14ac:dyDescent="0.25">
      <c r="A977" s="6" t="s">
        <v>1399</v>
      </c>
      <c r="B977" s="7" t="s">
        <v>37</v>
      </c>
      <c r="C977" s="14" t="s">
        <v>1400</v>
      </c>
      <c r="D977" s="7" t="s">
        <v>47</v>
      </c>
      <c r="E977" s="7" t="s">
        <v>52</v>
      </c>
      <c r="F977" s="7" t="s">
        <v>75</v>
      </c>
      <c r="G977" s="8">
        <v>3</v>
      </c>
      <c r="H977" s="9">
        <v>249</v>
      </c>
      <c r="I977" s="9">
        <v>0</v>
      </c>
      <c r="J977" s="9">
        <f t="shared" si="26"/>
        <v>747</v>
      </c>
      <c r="K977" s="7" t="s">
        <v>44</v>
      </c>
    </row>
    <row r="978" spans="1:11" x14ac:dyDescent="0.25">
      <c r="A978" s="2" t="s">
        <v>1401</v>
      </c>
      <c r="B978" s="3" t="s">
        <v>63</v>
      </c>
      <c r="C978" s="13" t="s">
        <v>327</v>
      </c>
      <c r="D978" s="3" t="s">
        <v>47</v>
      </c>
      <c r="E978" s="3" t="s">
        <v>52</v>
      </c>
      <c r="F978" s="3" t="s">
        <v>53</v>
      </c>
      <c r="G978" s="4">
        <v>5</v>
      </c>
      <c r="H978" s="5">
        <v>149</v>
      </c>
      <c r="I978" s="5">
        <v>74.489999999999995</v>
      </c>
      <c r="J978" s="5">
        <f t="shared" si="26"/>
        <v>670.51</v>
      </c>
      <c r="K978" s="3" t="s">
        <v>18</v>
      </c>
    </row>
    <row r="979" spans="1:11" x14ac:dyDescent="0.25">
      <c r="A979" s="6" t="s">
        <v>1402</v>
      </c>
      <c r="B979" s="7" t="s">
        <v>20</v>
      </c>
      <c r="C979" s="14" t="s">
        <v>403</v>
      </c>
      <c r="D979" s="7" t="s">
        <v>47</v>
      </c>
      <c r="E979" s="7"/>
      <c r="F979" s="7" t="s">
        <v>53</v>
      </c>
      <c r="G979" s="8">
        <v>1</v>
      </c>
      <c r="H979" s="9">
        <v>149</v>
      </c>
      <c r="I979" s="9">
        <v>0</v>
      </c>
      <c r="J979" s="9">
        <f t="shared" si="26"/>
        <v>149</v>
      </c>
      <c r="K979" s="7" t="s">
        <v>49</v>
      </c>
    </row>
    <row r="980" spans="1:11" x14ac:dyDescent="0.25">
      <c r="A980" s="2" t="s">
        <v>1403</v>
      </c>
      <c r="B980" s="3" t="s">
        <v>27</v>
      </c>
      <c r="C980" s="13" t="s">
        <v>503</v>
      </c>
      <c r="D980" s="3" t="s">
        <v>15</v>
      </c>
      <c r="E980" s="3" t="s">
        <v>52</v>
      </c>
      <c r="F980" s="3" t="s">
        <v>61</v>
      </c>
      <c r="G980" s="4">
        <v>3</v>
      </c>
      <c r="H980" s="5">
        <v>199</v>
      </c>
      <c r="I980" s="5">
        <v>0</v>
      </c>
      <c r="J980" s="5">
        <f t="shared" si="26"/>
        <v>597</v>
      </c>
      <c r="K980" s="3" t="s">
        <v>25</v>
      </c>
    </row>
    <row r="981" spans="1:11" x14ac:dyDescent="0.25">
      <c r="A981" s="6" t="s">
        <v>1404</v>
      </c>
      <c r="B981" s="7" t="s">
        <v>27</v>
      </c>
      <c r="C981" s="14" t="s">
        <v>67</v>
      </c>
      <c r="D981" s="7" t="s">
        <v>15</v>
      </c>
      <c r="E981" s="7" t="s">
        <v>52</v>
      </c>
      <c r="F981" s="7" t="s">
        <v>75</v>
      </c>
      <c r="G981" s="8">
        <v>3</v>
      </c>
      <c r="H981" s="9">
        <v>249</v>
      </c>
      <c r="I981" s="9">
        <v>31.68</v>
      </c>
      <c r="J981" s="9">
        <f t="shared" si="26"/>
        <v>715.32</v>
      </c>
      <c r="K981" s="7" t="s">
        <v>69</v>
      </c>
    </row>
    <row r="982" spans="1:11" x14ac:dyDescent="0.25">
      <c r="A982" s="2" t="s">
        <v>1405</v>
      </c>
      <c r="B982" s="3" t="s">
        <v>13</v>
      </c>
      <c r="C982" s="13" t="s">
        <v>379</v>
      </c>
      <c r="D982" s="3" t="s">
        <v>47</v>
      </c>
      <c r="E982" s="3" t="s">
        <v>30</v>
      </c>
      <c r="F982" s="3" t="s">
        <v>31</v>
      </c>
      <c r="G982" s="4">
        <v>4</v>
      </c>
      <c r="H982" s="5">
        <v>2500</v>
      </c>
      <c r="I982" s="5">
        <v>0</v>
      </c>
      <c r="J982" s="5">
        <f t="shared" si="26"/>
        <v>10000</v>
      </c>
      <c r="K982" s="3" t="s">
        <v>69</v>
      </c>
    </row>
    <row r="983" spans="1:11" x14ac:dyDescent="0.25">
      <c r="A983" s="6" t="s">
        <v>1406</v>
      </c>
      <c r="B983" s="7" t="s">
        <v>63</v>
      </c>
      <c r="C983" s="14" t="s">
        <v>223</v>
      </c>
      <c r="D983" s="7" t="s">
        <v>22</v>
      </c>
      <c r="E983" s="7" t="s">
        <v>30</v>
      </c>
      <c r="F983" s="7" t="s">
        <v>152</v>
      </c>
      <c r="G983" s="8">
        <v>2</v>
      </c>
      <c r="H983" s="9">
        <v>4500</v>
      </c>
      <c r="I983" s="9">
        <v>512.13</v>
      </c>
      <c r="J983" s="9">
        <f t="shared" si="26"/>
        <v>8487.8700000000008</v>
      </c>
      <c r="K983" s="7" t="s">
        <v>25</v>
      </c>
    </row>
    <row r="984" spans="1:11" x14ac:dyDescent="0.25">
      <c r="A984" s="2" t="s">
        <v>1407</v>
      </c>
      <c r="B984" s="3" t="s">
        <v>71</v>
      </c>
      <c r="C984" s="13" t="s">
        <v>136</v>
      </c>
      <c r="D984" s="3" t="s">
        <v>47</v>
      </c>
      <c r="E984" s="3" t="s">
        <v>30</v>
      </c>
      <c r="F984" s="3" t="s">
        <v>106</v>
      </c>
      <c r="G984" s="4">
        <v>1</v>
      </c>
      <c r="H984" s="5">
        <v>299</v>
      </c>
      <c r="I984" s="5">
        <v>0</v>
      </c>
      <c r="J984" s="5">
        <f t="shared" si="26"/>
        <v>299</v>
      </c>
      <c r="K984" s="3" t="s">
        <v>49</v>
      </c>
    </row>
    <row r="985" spans="1:11" x14ac:dyDescent="0.25">
      <c r="A985" s="6" t="s">
        <v>1408</v>
      </c>
      <c r="B985" s="7" t="s">
        <v>13</v>
      </c>
      <c r="C985" s="14" t="s">
        <v>1027</v>
      </c>
      <c r="D985" s="7" t="s">
        <v>39</v>
      </c>
      <c r="E985" s="7" t="s">
        <v>30</v>
      </c>
      <c r="F985" s="7" t="s">
        <v>68</v>
      </c>
      <c r="G985" s="8">
        <v>5</v>
      </c>
      <c r="H985" s="9">
        <v>799</v>
      </c>
      <c r="I985" s="9">
        <v>327.49</v>
      </c>
      <c r="J985" s="9">
        <f t="shared" si="26"/>
        <v>3667.51</v>
      </c>
      <c r="K985" s="7" t="s">
        <v>49</v>
      </c>
    </row>
    <row r="986" spans="1:11" x14ac:dyDescent="0.25">
      <c r="A986" s="2" t="s">
        <v>1409</v>
      </c>
      <c r="B986" s="3" t="s">
        <v>95</v>
      </c>
      <c r="C986" s="13" t="s">
        <v>60</v>
      </c>
      <c r="D986" s="3" t="s">
        <v>39</v>
      </c>
      <c r="E986" s="3" t="s">
        <v>16</v>
      </c>
      <c r="F986" s="3" t="s">
        <v>17</v>
      </c>
      <c r="G986" s="4">
        <v>3</v>
      </c>
      <c r="H986" s="5">
        <v>39</v>
      </c>
      <c r="I986" s="5">
        <v>13.05</v>
      </c>
      <c r="J986" s="5">
        <f t="shared" si="26"/>
        <v>103.95</v>
      </c>
      <c r="K986" s="3" t="s">
        <v>49</v>
      </c>
    </row>
    <row r="987" spans="1:11" x14ac:dyDescent="0.25">
      <c r="A987" s="6" t="s">
        <v>1410</v>
      </c>
      <c r="B987" s="7" t="s">
        <v>71</v>
      </c>
      <c r="C987" s="14" t="s">
        <v>564</v>
      </c>
      <c r="D987" s="7" t="s">
        <v>29</v>
      </c>
      <c r="E987" s="7" t="s">
        <v>30</v>
      </c>
      <c r="F987" s="7" t="s">
        <v>31</v>
      </c>
      <c r="G987" s="8">
        <v>5</v>
      </c>
      <c r="H987" s="9">
        <v>2500</v>
      </c>
      <c r="I987" s="9">
        <v>80.58</v>
      </c>
      <c r="J987" s="9">
        <f t="shared" si="26"/>
        <v>12419.42</v>
      </c>
      <c r="K987" s="7" t="s">
        <v>44</v>
      </c>
    </row>
    <row r="988" spans="1:11" x14ac:dyDescent="0.25">
      <c r="A988" s="2" t="s">
        <v>1411</v>
      </c>
      <c r="B988" s="3" t="s">
        <v>27</v>
      </c>
      <c r="C988" s="13" t="s">
        <v>449</v>
      </c>
      <c r="D988" s="3" t="s">
        <v>47</v>
      </c>
      <c r="E988" s="3" t="s">
        <v>23</v>
      </c>
      <c r="F988" s="3" t="s">
        <v>88</v>
      </c>
      <c r="G988" s="4">
        <v>4</v>
      </c>
      <c r="H988" s="5">
        <v>650</v>
      </c>
      <c r="I988" s="5">
        <v>376.18</v>
      </c>
      <c r="J988" s="5">
        <f t="shared" si="26"/>
        <v>2223.8200000000002</v>
      </c>
      <c r="K988" s="3" t="s">
        <v>44</v>
      </c>
    </row>
    <row r="989" spans="1:11" x14ac:dyDescent="0.25">
      <c r="A989" s="6" t="s">
        <v>1412</v>
      </c>
      <c r="B989" s="7" t="s">
        <v>37</v>
      </c>
      <c r="C989" s="14" t="s">
        <v>58</v>
      </c>
      <c r="D989" s="7" t="s">
        <v>149</v>
      </c>
      <c r="E989" s="7" t="s">
        <v>52</v>
      </c>
      <c r="F989" s="7" t="s">
        <v>61</v>
      </c>
      <c r="G989" s="8">
        <v>4</v>
      </c>
      <c r="H989" s="9">
        <v>199</v>
      </c>
      <c r="I989" s="9">
        <v>0</v>
      </c>
      <c r="J989" s="9">
        <f t="shared" si="26"/>
        <v>796</v>
      </c>
      <c r="K989" s="7" t="s">
        <v>25</v>
      </c>
    </row>
    <row r="990" spans="1:11" x14ac:dyDescent="0.25">
      <c r="A990" s="2" t="s">
        <v>1413</v>
      </c>
      <c r="B990" s="3" t="s">
        <v>41</v>
      </c>
      <c r="C990" s="13" t="s">
        <v>1340</v>
      </c>
      <c r="D990" s="3" t="s">
        <v>29</v>
      </c>
      <c r="E990" s="3" t="s">
        <v>30</v>
      </c>
      <c r="F990" s="3" t="s">
        <v>152</v>
      </c>
      <c r="G990" s="4">
        <v>2</v>
      </c>
      <c r="H990" s="5">
        <v>4500</v>
      </c>
      <c r="I990" s="5">
        <v>1249.77</v>
      </c>
      <c r="J990" s="5">
        <f t="shared" si="26"/>
        <v>7750.23</v>
      </c>
      <c r="K990" s="3" t="s">
        <v>49</v>
      </c>
    </row>
    <row r="991" spans="1:11" x14ac:dyDescent="0.25">
      <c r="A991" s="6" t="s">
        <v>1414</v>
      </c>
      <c r="B991" s="7" t="s">
        <v>41</v>
      </c>
      <c r="C991" s="14" t="s">
        <v>690</v>
      </c>
      <c r="D991" s="7" t="s">
        <v>22</v>
      </c>
      <c r="E991" s="7" t="s">
        <v>23</v>
      </c>
      <c r="F991" s="7" t="s">
        <v>88</v>
      </c>
      <c r="G991" s="8">
        <v>2</v>
      </c>
      <c r="H991" s="9">
        <v>650</v>
      </c>
      <c r="I991" s="9">
        <v>0</v>
      </c>
      <c r="J991" s="9">
        <f t="shared" si="26"/>
        <v>1300</v>
      </c>
      <c r="K991" s="7" t="s">
        <v>49</v>
      </c>
    </row>
    <row r="992" spans="1:11" x14ac:dyDescent="0.25">
      <c r="A992" s="2" t="s">
        <v>1415</v>
      </c>
      <c r="B992" s="3" t="s">
        <v>110</v>
      </c>
      <c r="C992" s="13" t="s">
        <v>1050</v>
      </c>
      <c r="D992" s="3" t="s">
        <v>15</v>
      </c>
      <c r="E992" s="3" t="s">
        <v>16</v>
      </c>
      <c r="F992" s="3" t="s">
        <v>116</v>
      </c>
      <c r="G992" s="4">
        <v>3</v>
      </c>
      <c r="H992" s="5">
        <v>45</v>
      </c>
      <c r="I992" s="5">
        <v>0</v>
      </c>
      <c r="J992" s="5">
        <f t="shared" si="26"/>
        <v>135</v>
      </c>
      <c r="K992" s="3" t="s">
        <v>69</v>
      </c>
    </row>
    <row r="993" spans="1:11" x14ac:dyDescent="0.25">
      <c r="A993" s="6" t="s">
        <v>1416</v>
      </c>
      <c r="B993" s="7" t="s">
        <v>37</v>
      </c>
      <c r="C993" s="14" t="s">
        <v>927</v>
      </c>
      <c r="D993" s="7" t="s">
        <v>29</v>
      </c>
      <c r="E993" s="7" t="s">
        <v>23</v>
      </c>
      <c r="F993" s="7" t="s">
        <v>24</v>
      </c>
      <c r="G993" s="8">
        <v>3</v>
      </c>
      <c r="H993" s="9">
        <v>180</v>
      </c>
      <c r="I993" s="9">
        <v>0</v>
      </c>
      <c r="J993" s="9">
        <f t="shared" si="26"/>
        <v>540</v>
      </c>
      <c r="K993" s="7" t="s">
        <v>18</v>
      </c>
    </row>
    <row r="994" spans="1:11" x14ac:dyDescent="0.25">
      <c r="A994" s="2" t="s">
        <v>1417</v>
      </c>
      <c r="B994" s="3" t="s">
        <v>27</v>
      </c>
      <c r="C994" s="13" t="s">
        <v>1090</v>
      </c>
      <c r="D994" s="3" t="s">
        <v>15</v>
      </c>
      <c r="E994" s="3" t="s">
        <v>30</v>
      </c>
      <c r="F994" s="3" t="s">
        <v>152</v>
      </c>
      <c r="G994" s="4">
        <v>3</v>
      </c>
      <c r="H994" s="5">
        <v>4500</v>
      </c>
      <c r="I994" s="5">
        <v>0</v>
      </c>
      <c r="J994" s="5">
        <f t="shared" si="26"/>
        <v>13500</v>
      </c>
      <c r="K994" s="3" t="s">
        <v>32</v>
      </c>
    </row>
    <row r="995" spans="1:11" x14ac:dyDescent="0.25">
      <c r="A995" s="6" t="s">
        <v>1418</v>
      </c>
      <c r="B995" s="7" t="s">
        <v>13</v>
      </c>
      <c r="C995" s="14" t="s">
        <v>392</v>
      </c>
      <c r="D995" s="7" t="s">
        <v>15</v>
      </c>
      <c r="E995" s="7" t="s">
        <v>30</v>
      </c>
      <c r="F995" s="7" t="s">
        <v>106</v>
      </c>
      <c r="G995" s="8">
        <v>3</v>
      </c>
      <c r="H995" s="9">
        <v>299</v>
      </c>
      <c r="I995" s="9">
        <v>0</v>
      </c>
      <c r="J995" s="9">
        <f t="shared" si="26"/>
        <v>897</v>
      </c>
      <c r="K995" s="7" t="s">
        <v>89</v>
      </c>
    </row>
    <row r="996" spans="1:11" x14ac:dyDescent="0.25">
      <c r="A996" s="2" t="s">
        <v>1419</v>
      </c>
      <c r="B996" s="3" t="s">
        <v>34</v>
      </c>
      <c r="C996" s="13" t="s">
        <v>355</v>
      </c>
      <c r="D996" s="3" t="s">
        <v>29</v>
      </c>
      <c r="E996" s="3" t="s">
        <v>16</v>
      </c>
      <c r="F996" s="3" t="s">
        <v>78</v>
      </c>
      <c r="G996" s="4">
        <v>5</v>
      </c>
      <c r="H996" s="5">
        <v>59</v>
      </c>
      <c r="I996" s="5">
        <v>0</v>
      </c>
      <c r="J996" s="5">
        <f t="shared" si="26"/>
        <v>295</v>
      </c>
      <c r="K996" s="3" t="s">
        <v>44</v>
      </c>
    </row>
    <row r="997" spans="1:11" x14ac:dyDescent="0.25">
      <c r="A997" s="6" t="s">
        <v>1420</v>
      </c>
      <c r="B997" s="7" t="s">
        <v>37</v>
      </c>
      <c r="C997" s="14" t="s">
        <v>1285</v>
      </c>
      <c r="D997" s="7" t="s">
        <v>39</v>
      </c>
      <c r="E997" s="7" t="s">
        <v>52</v>
      </c>
      <c r="F997" s="7" t="s">
        <v>61</v>
      </c>
      <c r="G997" s="8">
        <v>3</v>
      </c>
      <c r="H997" s="9">
        <v>199</v>
      </c>
      <c r="I997" s="9">
        <v>42.86</v>
      </c>
      <c r="J997" s="9">
        <f t="shared" si="26"/>
        <v>554.14</v>
      </c>
      <c r="K997" s="7" t="s">
        <v>44</v>
      </c>
    </row>
    <row r="998" spans="1:11" x14ac:dyDescent="0.25">
      <c r="A998" s="2" t="s">
        <v>1421</v>
      </c>
      <c r="B998" s="3" t="s">
        <v>20</v>
      </c>
      <c r="C998" s="13" t="s">
        <v>220</v>
      </c>
      <c r="D998" s="3" t="s">
        <v>39</v>
      </c>
      <c r="E998" s="3" t="s">
        <v>16</v>
      </c>
      <c r="F998" s="3" t="s">
        <v>78</v>
      </c>
      <c r="G998" s="4">
        <v>3</v>
      </c>
      <c r="H998" s="5">
        <v>59</v>
      </c>
      <c r="I998" s="5">
        <v>0</v>
      </c>
      <c r="J998" s="5">
        <f t="shared" si="26"/>
        <v>177</v>
      </c>
      <c r="K998" s="3" t="s">
        <v>44</v>
      </c>
    </row>
    <row r="999" spans="1:11" x14ac:dyDescent="0.25">
      <c r="A999" s="6" t="s">
        <v>1422</v>
      </c>
      <c r="B999" s="7" t="s">
        <v>95</v>
      </c>
      <c r="C999" s="14" t="s">
        <v>346</v>
      </c>
      <c r="D999" s="7" t="s">
        <v>39</v>
      </c>
      <c r="E999" s="7" t="s">
        <v>16</v>
      </c>
      <c r="F999" s="7" t="s">
        <v>17</v>
      </c>
      <c r="G999" s="8">
        <v>4</v>
      </c>
      <c r="H999" s="9">
        <v>39</v>
      </c>
      <c r="I999" s="9">
        <v>0</v>
      </c>
      <c r="J999" s="9">
        <f t="shared" si="26"/>
        <v>156</v>
      </c>
      <c r="K999" s="7" t="s">
        <v>18</v>
      </c>
    </row>
    <row r="1000" spans="1:11" x14ac:dyDescent="0.25">
      <c r="A1000" s="2" t="s">
        <v>1423</v>
      </c>
      <c r="B1000" s="3" t="s">
        <v>101</v>
      </c>
      <c r="C1000" s="13" t="s">
        <v>136</v>
      </c>
      <c r="D1000" s="3" t="s">
        <v>15</v>
      </c>
      <c r="E1000" s="3" t="s">
        <v>30</v>
      </c>
      <c r="F1000" s="3" t="s">
        <v>68</v>
      </c>
      <c r="G1000" s="4">
        <v>5</v>
      </c>
      <c r="H1000" s="5">
        <v>799</v>
      </c>
      <c r="I1000" s="5">
        <v>0</v>
      </c>
      <c r="J1000" s="5">
        <f t="shared" si="26"/>
        <v>3995</v>
      </c>
      <c r="K1000" s="3" t="s">
        <v>44</v>
      </c>
    </row>
    <row r="1001" spans="1:11" x14ac:dyDescent="0.25">
      <c r="A1001" s="6" t="s">
        <v>1424</v>
      </c>
      <c r="B1001" s="7" t="s">
        <v>277</v>
      </c>
      <c r="C1001" s="14" t="s">
        <v>1318</v>
      </c>
      <c r="D1001" s="7" t="s">
        <v>39</v>
      </c>
      <c r="E1001" s="7" t="s">
        <v>23</v>
      </c>
      <c r="F1001" s="7" t="s">
        <v>88</v>
      </c>
      <c r="G1001" s="8">
        <v>3</v>
      </c>
      <c r="H1001" s="9">
        <v>650</v>
      </c>
      <c r="I1001" s="9">
        <v>0</v>
      </c>
      <c r="J1001" s="9">
        <f t="shared" si="26"/>
        <v>1950</v>
      </c>
      <c r="K1001" s="7" t="s">
        <v>18</v>
      </c>
    </row>
    <row r="1002" spans="1:11" x14ac:dyDescent="0.25">
      <c r="A1002" s="2" t="s">
        <v>1425</v>
      </c>
      <c r="B1002" s="3" t="s">
        <v>110</v>
      </c>
      <c r="C1002" s="13" t="s">
        <v>693</v>
      </c>
      <c r="D1002" s="3" t="s">
        <v>39</v>
      </c>
      <c r="E1002" s="3" t="s">
        <v>52</v>
      </c>
      <c r="F1002" s="3" t="s">
        <v>61</v>
      </c>
      <c r="G1002" s="4">
        <v>3</v>
      </c>
      <c r="H1002" s="5">
        <v>199</v>
      </c>
      <c r="I1002" s="5">
        <v>0</v>
      </c>
      <c r="J1002" s="5">
        <f t="shared" si="26"/>
        <v>597</v>
      </c>
      <c r="K1002" s="3" t="s">
        <v>18</v>
      </c>
    </row>
    <row r="1003" spans="1:11" x14ac:dyDescent="0.25">
      <c r="A1003" s="6" t="s">
        <v>1426</v>
      </c>
      <c r="B1003" s="7" t="s">
        <v>95</v>
      </c>
      <c r="C1003" s="14" t="s">
        <v>83</v>
      </c>
      <c r="D1003" s="7" t="s">
        <v>15</v>
      </c>
      <c r="E1003" s="7" t="s">
        <v>30</v>
      </c>
      <c r="F1003" s="7" t="s">
        <v>31</v>
      </c>
      <c r="G1003" s="8">
        <v>2</v>
      </c>
      <c r="H1003" s="9">
        <v>2500</v>
      </c>
      <c r="I1003" s="9">
        <v>288.57</v>
      </c>
      <c r="J1003" s="9">
        <f t="shared" si="26"/>
        <v>4711.43</v>
      </c>
      <c r="K1003" s="7" t="s">
        <v>69</v>
      </c>
    </row>
    <row r="1004" spans="1:11" x14ac:dyDescent="0.25">
      <c r="A1004" s="2" t="s">
        <v>1427</v>
      </c>
      <c r="B1004" s="3" t="s">
        <v>27</v>
      </c>
      <c r="C1004" s="13" t="s">
        <v>278</v>
      </c>
      <c r="D1004" s="3" t="s">
        <v>22</v>
      </c>
      <c r="E1004" s="3" t="s">
        <v>16</v>
      </c>
      <c r="F1004" s="3" t="s">
        <v>116</v>
      </c>
      <c r="G1004" s="4">
        <v>1</v>
      </c>
      <c r="H1004" s="5">
        <v>45</v>
      </c>
      <c r="I1004" s="5">
        <v>0</v>
      </c>
      <c r="J1004" s="5">
        <f t="shared" si="26"/>
        <v>45</v>
      </c>
      <c r="K1004" s="3" t="s">
        <v>69</v>
      </c>
    </row>
    <row r="1005" spans="1:11" x14ac:dyDescent="0.25">
      <c r="A1005" s="6" t="s">
        <v>1428</v>
      </c>
      <c r="B1005" s="7" t="s">
        <v>95</v>
      </c>
      <c r="C1005" s="14" t="s">
        <v>1429</v>
      </c>
      <c r="D1005" s="7" t="s">
        <v>29</v>
      </c>
      <c r="E1005" s="7" t="s">
        <v>23</v>
      </c>
      <c r="F1005" s="7" t="s">
        <v>24</v>
      </c>
      <c r="G1005" s="8">
        <v>4</v>
      </c>
      <c r="H1005" s="9">
        <v>180</v>
      </c>
      <c r="I1005" s="9">
        <v>91.09</v>
      </c>
      <c r="J1005" s="9">
        <f t="shared" si="26"/>
        <v>628.91</v>
      </c>
      <c r="K1005" s="7" t="s">
        <v>32</v>
      </c>
    </row>
    <row r="1006" spans="1:11" x14ac:dyDescent="0.25">
      <c r="A1006" s="2" t="s">
        <v>1430</v>
      </c>
      <c r="B1006" s="3" t="s">
        <v>13</v>
      </c>
      <c r="C1006" s="13" t="s">
        <v>1122</v>
      </c>
      <c r="D1006" s="3" t="s">
        <v>29</v>
      </c>
      <c r="E1006" s="3" t="s">
        <v>52</v>
      </c>
      <c r="F1006" s="3" t="s">
        <v>75</v>
      </c>
      <c r="G1006" s="4">
        <v>5</v>
      </c>
      <c r="H1006" s="5">
        <v>249</v>
      </c>
      <c r="I1006" s="5">
        <v>177.14</v>
      </c>
      <c r="J1006" s="5">
        <f t="shared" si="26"/>
        <v>1067.8600000000001</v>
      </c>
      <c r="K1006" s="3" t="s">
        <v>18</v>
      </c>
    </row>
    <row r="1007" spans="1:11" x14ac:dyDescent="0.25">
      <c r="A1007" s="6" t="s">
        <v>1431</v>
      </c>
      <c r="B1007" s="7" t="s">
        <v>71</v>
      </c>
      <c r="C1007" s="14" t="s">
        <v>178</v>
      </c>
      <c r="D1007" s="7" t="s">
        <v>15</v>
      </c>
      <c r="E1007" s="7" t="s">
        <v>30</v>
      </c>
      <c r="F1007" s="7" t="s">
        <v>152</v>
      </c>
      <c r="G1007" s="8">
        <v>4</v>
      </c>
      <c r="H1007" s="9">
        <v>4500</v>
      </c>
      <c r="I1007" s="9">
        <v>1135.19</v>
      </c>
      <c r="J1007" s="9">
        <f t="shared" si="26"/>
        <v>16864.810000000001</v>
      </c>
      <c r="K1007" s="7" t="s">
        <v>69</v>
      </c>
    </row>
    <row r="1008" spans="1:11" x14ac:dyDescent="0.25">
      <c r="A1008" s="2" t="s">
        <v>1432</v>
      </c>
      <c r="B1008" s="3" t="s">
        <v>95</v>
      </c>
      <c r="C1008" s="13" t="s">
        <v>449</v>
      </c>
      <c r="D1008" s="3" t="s">
        <v>47</v>
      </c>
      <c r="E1008" s="3" t="s">
        <v>52</v>
      </c>
      <c r="F1008" s="3" t="s">
        <v>75</v>
      </c>
      <c r="G1008" s="4">
        <v>5</v>
      </c>
      <c r="H1008" s="5">
        <v>249</v>
      </c>
      <c r="I1008" s="5">
        <v>0</v>
      </c>
      <c r="J1008" s="5">
        <f t="shared" si="26"/>
        <v>1245</v>
      </c>
      <c r="K1008" s="3" t="s">
        <v>49</v>
      </c>
    </row>
    <row r="1009" spans="1:11" x14ac:dyDescent="0.25">
      <c r="A1009" s="6" t="s">
        <v>1433</v>
      </c>
      <c r="B1009" s="7" t="s">
        <v>34</v>
      </c>
      <c r="C1009" s="14" t="s">
        <v>286</v>
      </c>
      <c r="D1009" s="7" t="s">
        <v>39</v>
      </c>
      <c r="E1009" s="7" t="s">
        <v>23</v>
      </c>
      <c r="F1009" s="7" t="s">
        <v>24</v>
      </c>
      <c r="G1009" s="8">
        <v>2</v>
      </c>
      <c r="H1009" s="9">
        <v>180</v>
      </c>
      <c r="I1009" s="9">
        <v>0</v>
      </c>
      <c r="J1009" s="9">
        <f t="shared" si="26"/>
        <v>360</v>
      </c>
      <c r="K1009" s="7" t="s">
        <v>89</v>
      </c>
    </row>
    <row r="1010" spans="1:11" x14ac:dyDescent="0.25">
      <c r="A1010" s="2" t="s">
        <v>1434</v>
      </c>
      <c r="B1010" s="3" t="s">
        <v>277</v>
      </c>
      <c r="C1010" s="13" t="s">
        <v>1151</v>
      </c>
      <c r="D1010" s="3" t="s">
        <v>22</v>
      </c>
      <c r="E1010" s="3" t="s">
        <v>52</v>
      </c>
      <c r="F1010" s="3" t="s">
        <v>99</v>
      </c>
      <c r="G1010" s="4">
        <v>2</v>
      </c>
      <c r="H1010" s="5">
        <v>79</v>
      </c>
      <c r="I1010" s="5">
        <v>14.97</v>
      </c>
      <c r="J1010" s="5">
        <f t="shared" si="26"/>
        <v>143.03</v>
      </c>
      <c r="K1010" s="3" t="s">
        <v>44</v>
      </c>
    </row>
    <row r="1011" spans="1:11" x14ac:dyDescent="0.25">
      <c r="A1011" s="6" t="s">
        <v>1435</v>
      </c>
      <c r="B1011" s="7" t="s">
        <v>101</v>
      </c>
      <c r="C1011" s="14" t="s">
        <v>46</v>
      </c>
      <c r="D1011" s="7" t="s">
        <v>29</v>
      </c>
      <c r="E1011" s="7" t="s">
        <v>16</v>
      </c>
      <c r="F1011" s="7" t="s">
        <v>78</v>
      </c>
      <c r="G1011" s="8">
        <v>3</v>
      </c>
      <c r="H1011" s="9">
        <v>59</v>
      </c>
      <c r="I1011" s="9">
        <v>7.63</v>
      </c>
      <c r="J1011" s="9">
        <f t="shared" si="26"/>
        <v>169.37</v>
      </c>
      <c r="K1011" s="7" t="s">
        <v>89</v>
      </c>
    </row>
    <row r="1012" spans="1:11" x14ac:dyDescent="0.25">
      <c r="A1012" s="2" t="s">
        <v>1436</v>
      </c>
      <c r="B1012" s="3" t="s">
        <v>63</v>
      </c>
      <c r="C1012" s="13" t="s">
        <v>652</v>
      </c>
      <c r="D1012" s="3" t="s">
        <v>29</v>
      </c>
      <c r="E1012" s="3" t="s">
        <v>16</v>
      </c>
      <c r="F1012" s="3" t="s">
        <v>17</v>
      </c>
      <c r="G1012" s="4">
        <v>4</v>
      </c>
      <c r="H1012" s="5">
        <v>39</v>
      </c>
      <c r="I1012" s="5">
        <v>0</v>
      </c>
      <c r="J1012" s="5">
        <f t="shared" si="26"/>
        <v>156</v>
      </c>
      <c r="K1012" s="3" t="s">
        <v>49</v>
      </c>
    </row>
    <row r="1013" spans="1:11" x14ac:dyDescent="0.25">
      <c r="A1013" s="6" t="s">
        <v>1437</v>
      </c>
      <c r="B1013" s="7" t="s">
        <v>110</v>
      </c>
      <c r="C1013" s="14" t="s">
        <v>64</v>
      </c>
      <c r="D1013" s="7" t="s">
        <v>47</v>
      </c>
      <c r="E1013" s="7" t="s">
        <v>16</v>
      </c>
      <c r="F1013" s="7" t="s">
        <v>116</v>
      </c>
      <c r="G1013" s="8">
        <v>2</v>
      </c>
      <c r="H1013" s="9">
        <v>45</v>
      </c>
      <c r="I1013" s="9">
        <v>0</v>
      </c>
      <c r="J1013" s="9">
        <f t="shared" si="26"/>
        <v>90</v>
      </c>
      <c r="K1013" s="7" t="s">
        <v>32</v>
      </c>
    </row>
    <row r="1014" spans="1:11" x14ac:dyDescent="0.25">
      <c r="A1014" s="2" t="s">
        <v>1438</v>
      </c>
      <c r="B1014" s="3" t="s">
        <v>95</v>
      </c>
      <c r="C1014" s="13" t="s">
        <v>278</v>
      </c>
      <c r="D1014" s="3" t="s">
        <v>39</v>
      </c>
      <c r="E1014" s="3" t="s">
        <v>52</v>
      </c>
      <c r="F1014" s="3" t="s">
        <v>53</v>
      </c>
      <c r="G1014" s="4">
        <v>4</v>
      </c>
      <c r="H1014" s="5">
        <v>149</v>
      </c>
      <c r="I1014" s="5">
        <v>0.74</v>
      </c>
      <c r="J1014" s="5">
        <f t="shared" si="26"/>
        <v>595.26</v>
      </c>
      <c r="K1014" s="3" t="s">
        <v>44</v>
      </c>
    </row>
    <row r="1015" spans="1:11" x14ac:dyDescent="0.25">
      <c r="A1015" s="6" t="s">
        <v>1439</v>
      </c>
      <c r="B1015" s="7" t="s">
        <v>110</v>
      </c>
      <c r="C1015" s="14" t="s">
        <v>724</v>
      </c>
      <c r="D1015" s="7" t="s">
        <v>15</v>
      </c>
      <c r="E1015" s="7" t="s">
        <v>16</v>
      </c>
      <c r="F1015" s="7" t="s">
        <v>17</v>
      </c>
      <c r="G1015" s="8">
        <v>3</v>
      </c>
      <c r="H1015" s="9">
        <v>39</v>
      </c>
      <c r="I1015" s="9">
        <v>1.33</v>
      </c>
      <c r="J1015" s="9">
        <f t="shared" si="26"/>
        <v>115.67</v>
      </c>
      <c r="K1015" s="7" t="s">
        <v>18</v>
      </c>
    </row>
    <row r="1016" spans="1:11" x14ac:dyDescent="0.25">
      <c r="A1016" s="2" t="s">
        <v>1440</v>
      </c>
      <c r="B1016" s="3" t="s">
        <v>20</v>
      </c>
      <c r="C1016" s="13" t="s">
        <v>435</v>
      </c>
      <c r="D1016" s="3" t="s">
        <v>29</v>
      </c>
      <c r="E1016" s="3" t="s">
        <v>30</v>
      </c>
      <c r="F1016" s="3" t="s">
        <v>152</v>
      </c>
      <c r="G1016" s="4">
        <v>4</v>
      </c>
      <c r="H1016" s="5">
        <v>4500</v>
      </c>
      <c r="I1016" s="5">
        <v>1954.5</v>
      </c>
      <c r="J1016" s="5">
        <f t="shared" si="26"/>
        <v>16045.5</v>
      </c>
      <c r="K1016" s="3" t="s">
        <v>89</v>
      </c>
    </row>
    <row r="1017" spans="1:11" x14ac:dyDescent="0.25">
      <c r="A1017" s="6" t="s">
        <v>1441</v>
      </c>
      <c r="B1017" s="7" t="s">
        <v>101</v>
      </c>
      <c r="C1017" s="14" t="s">
        <v>1147</v>
      </c>
      <c r="D1017" s="7" t="s">
        <v>22</v>
      </c>
      <c r="E1017" s="7" t="s">
        <v>23</v>
      </c>
      <c r="F1017" s="7" t="s">
        <v>43</v>
      </c>
      <c r="G1017" s="8">
        <v>5</v>
      </c>
      <c r="H1017" s="9">
        <v>350</v>
      </c>
      <c r="I1017" s="9">
        <v>195.27</v>
      </c>
      <c r="J1017" s="9">
        <f t="shared" si="26"/>
        <v>1554.73</v>
      </c>
      <c r="K1017" s="7" t="s">
        <v>49</v>
      </c>
    </row>
    <row r="1018" spans="1:11" x14ac:dyDescent="0.25">
      <c r="A1018" s="2" t="s">
        <v>1442</v>
      </c>
      <c r="B1018" s="3" t="s">
        <v>41</v>
      </c>
      <c r="C1018" s="13" t="s">
        <v>1340</v>
      </c>
      <c r="D1018" s="3" t="s">
        <v>29</v>
      </c>
      <c r="E1018" s="3" t="s">
        <v>52</v>
      </c>
      <c r="F1018" s="3" t="s">
        <v>61</v>
      </c>
      <c r="G1018" s="4">
        <v>2</v>
      </c>
      <c r="H1018" s="5">
        <v>199</v>
      </c>
      <c r="I1018" s="5">
        <v>40.1</v>
      </c>
      <c r="J1018" s="5">
        <f t="shared" si="26"/>
        <v>357.9</v>
      </c>
      <c r="K1018" s="3" t="s">
        <v>69</v>
      </c>
    </row>
    <row r="1019" spans="1:11" x14ac:dyDescent="0.25">
      <c r="A1019" s="6" t="s">
        <v>1443</v>
      </c>
      <c r="B1019" s="7" t="s">
        <v>13</v>
      </c>
      <c r="C1019" s="14" t="s">
        <v>523</v>
      </c>
      <c r="D1019" s="7" t="s">
        <v>47</v>
      </c>
      <c r="E1019" s="7" t="s">
        <v>23</v>
      </c>
      <c r="F1019" s="7" t="s">
        <v>43</v>
      </c>
      <c r="G1019" s="8">
        <v>3</v>
      </c>
      <c r="H1019" s="9">
        <v>350</v>
      </c>
      <c r="I1019" s="9">
        <v>0</v>
      </c>
      <c r="J1019" s="9">
        <f t="shared" si="26"/>
        <v>1050</v>
      </c>
      <c r="K1019" s="7" t="s">
        <v>69</v>
      </c>
    </row>
    <row r="1020" spans="1:11" x14ac:dyDescent="0.25">
      <c r="A1020" s="2" t="s">
        <v>1444</v>
      </c>
      <c r="B1020" s="3" t="s">
        <v>13</v>
      </c>
      <c r="C1020" s="13" t="s">
        <v>750</v>
      </c>
      <c r="D1020" s="3" t="s">
        <v>15</v>
      </c>
      <c r="E1020" s="3" t="s">
        <v>30</v>
      </c>
      <c r="F1020" s="3" t="s">
        <v>152</v>
      </c>
      <c r="G1020" s="4">
        <v>2</v>
      </c>
      <c r="H1020" s="5">
        <v>4500</v>
      </c>
      <c r="I1020" s="5">
        <v>1297.98</v>
      </c>
      <c r="J1020" s="5">
        <f t="shared" si="26"/>
        <v>7702.02</v>
      </c>
      <c r="K1020" s="3" t="s">
        <v>18</v>
      </c>
    </row>
    <row r="1021" spans="1:11" x14ac:dyDescent="0.25">
      <c r="A1021" s="6" t="s">
        <v>1445</v>
      </c>
      <c r="B1021" s="7" t="s">
        <v>41</v>
      </c>
      <c r="C1021" s="14" t="s">
        <v>671</v>
      </c>
      <c r="D1021" s="7" t="s">
        <v>39</v>
      </c>
      <c r="E1021" s="7" t="s">
        <v>23</v>
      </c>
      <c r="F1021" s="7" t="s">
        <v>48</v>
      </c>
      <c r="G1021" s="8">
        <v>3</v>
      </c>
      <c r="H1021" s="9">
        <v>450</v>
      </c>
      <c r="I1021" s="9">
        <v>192.77</v>
      </c>
      <c r="J1021" s="9">
        <f t="shared" si="26"/>
        <v>1157.23</v>
      </c>
      <c r="K1021" s="7" t="s">
        <v>18</v>
      </c>
    </row>
    <row r="1022" spans="1:11" x14ac:dyDescent="0.25">
      <c r="A1022" s="2" t="s">
        <v>1446</v>
      </c>
      <c r="B1022" s="3" t="s">
        <v>101</v>
      </c>
      <c r="C1022" s="13" t="s">
        <v>142</v>
      </c>
      <c r="D1022" s="3" t="s">
        <v>39</v>
      </c>
      <c r="E1022" s="3" t="s">
        <v>16</v>
      </c>
      <c r="F1022" s="3" t="s">
        <v>103</v>
      </c>
      <c r="G1022" s="4">
        <v>3</v>
      </c>
      <c r="H1022" s="5">
        <v>89</v>
      </c>
      <c r="I1022" s="5">
        <v>0</v>
      </c>
      <c r="J1022" s="5">
        <f t="shared" si="26"/>
        <v>267</v>
      </c>
      <c r="K1022" s="3" t="s">
        <v>49</v>
      </c>
    </row>
    <row r="1023" spans="1:11" x14ac:dyDescent="0.25">
      <c r="A1023" s="6" t="s">
        <v>1447</v>
      </c>
      <c r="B1023" s="7" t="s">
        <v>71</v>
      </c>
      <c r="C1023" s="14" t="s">
        <v>1010</v>
      </c>
      <c r="D1023" s="7" t="s">
        <v>22</v>
      </c>
      <c r="E1023" s="7" t="s">
        <v>23</v>
      </c>
      <c r="F1023" s="7" t="s">
        <v>48</v>
      </c>
      <c r="G1023" s="8">
        <v>4</v>
      </c>
      <c r="H1023" s="9">
        <v>450</v>
      </c>
      <c r="I1023" s="9">
        <v>119.94</v>
      </c>
      <c r="J1023" s="9">
        <f t="shared" ref="J1023:J1086" si="27">(G1023*H1023)-I1023</f>
        <v>1680.06</v>
      </c>
      <c r="K1023" s="7" t="s">
        <v>44</v>
      </c>
    </row>
    <row r="1024" spans="1:11" x14ac:dyDescent="0.25">
      <c r="A1024" s="2" t="s">
        <v>1448</v>
      </c>
      <c r="B1024" s="3" t="s">
        <v>37</v>
      </c>
      <c r="C1024" s="13" t="s">
        <v>294</v>
      </c>
      <c r="D1024" s="3" t="s">
        <v>29</v>
      </c>
      <c r="E1024" s="3" t="s">
        <v>30</v>
      </c>
      <c r="F1024" s="3" t="s">
        <v>106</v>
      </c>
      <c r="G1024" s="4">
        <v>3</v>
      </c>
      <c r="H1024" s="5">
        <v>299</v>
      </c>
      <c r="I1024" s="5">
        <v>0</v>
      </c>
      <c r="J1024" s="5">
        <f t="shared" si="27"/>
        <v>897</v>
      </c>
      <c r="K1024" s="3" t="s">
        <v>25</v>
      </c>
    </row>
    <row r="1025" spans="1:11" x14ac:dyDescent="0.25">
      <c r="A1025" s="6" t="s">
        <v>1449</v>
      </c>
      <c r="B1025" s="7" t="s">
        <v>71</v>
      </c>
      <c r="C1025" s="14" t="s">
        <v>1281</v>
      </c>
      <c r="D1025" s="7" t="s">
        <v>149</v>
      </c>
      <c r="E1025" s="7" t="s">
        <v>52</v>
      </c>
      <c r="F1025" s="7" t="s">
        <v>61</v>
      </c>
      <c r="G1025" s="8">
        <v>5</v>
      </c>
      <c r="H1025" s="9">
        <v>199</v>
      </c>
      <c r="I1025" s="9">
        <v>0</v>
      </c>
      <c r="J1025" s="9">
        <f t="shared" si="27"/>
        <v>995</v>
      </c>
      <c r="K1025" s="7" t="s">
        <v>25</v>
      </c>
    </row>
    <row r="1026" spans="1:11" x14ac:dyDescent="0.25">
      <c r="A1026" s="2" t="s">
        <v>1450</v>
      </c>
      <c r="B1026" s="3" t="s">
        <v>34</v>
      </c>
      <c r="C1026" s="13" t="s">
        <v>789</v>
      </c>
      <c r="D1026" s="3" t="s">
        <v>39</v>
      </c>
      <c r="E1026" s="3" t="s">
        <v>16</v>
      </c>
      <c r="F1026" s="3" t="s">
        <v>103</v>
      </c>
      <c r="G1026" s="4">
        <v>3</v>
      </c>
      <c r="H1026" s="5">
        <v>89</v>
      </c>
      <c r="I1026" s="5">
        <v>0</v>
      </c>
      <c r="J1026" s="5">
        <f t="shared" si="27"/>
        <v>267</v>
      </c>
      <c r="K1026" s="3" t="s">
        <v>32</v>
      </c>
    </row>
    <row r="1027" spans="1:11" x14ac:dyDescent="0.25">
      <c r="A1027" s="6" t="s">
        <v>1451</v>
      </c>
      <c r="B1027" s="7" t="s">
        <v>27</v>
      </c>
      <c r="C1027" s="14" t="s">
        <v>855</v>
      </c>
      <c r="D1027" s="7" t="s">
        <v>47</v>
      </c>
      <c r="E1027" s="7" t="s">
        <v>52</v>
      </c>
      <c r="F1027" s="7" t="s">
        <v>53</v>
      </c>
      <c r="G1027" s="8">
        <v>4</v>
      </c>
      <c r="H1027" s="9">
        <v>149</v>
      </c>
      <c r="I1027" s="9">
        <v>26.52</v>
      </c>
      <c r="J1027" s="9">
        <f t="shared" si="27"/>
        <v>569.48</v>
      </c>
      <c r="K1027" s="7" t="s">
        <v>69</v>
      </c>
    </row>
    <row r="1028" spans="1:11" x14ac:dyDescent="0.25">
      <c r="A1028" s="2" t="s">
        <v>1452</v>
      </c>
      <c r="B1028" s="3" t="s">
        <v>13</v>
      </c>
      <c r="C1028" s="13" t="s">
        <v>1116</v>
      </c>
      <c r="D1028" s="3" t="s">
        <v>47</v>
      </c>
      <c r="E1028" s="3" t="s">
        <v>52</v>
      </c>
      <c r="F1028" s="3" t="s">
        <v>99</v>
      </c>
      <c r="G1028" s="4">
        <v>5</v>
      </c>
      <c r="H1028" s="5">
        <v>79</v>
      </c>
      <c r="I1028" s="5">
        <v>0</v>
      </c>
      <c r="J1028" s="5">
        <f t="shared" si="27"/>
        <v>395</v>
      </c>
      <c r="K1028" s="3" t="s">
        <v>89</v>
      </c>
    </row>
    <row r="1029" spans="1:11" x14ac:dyDescent="0.25">
      <c r="A1029" s="6" t="s">
        <v>1453</v>
      </c>
      <c r="B1029" s="7" t="s">
        <v>13</v>
      </c>
      <c r="C1029" s="14" t="s">
        <v>368</v>
      </c>
      <c r="D1029" s="7" t="s">
        <v>39</v>
      </c>
      <c r="E1029" s="7" t="s">
        <v>52</v>
      </c>
      <c r="F1029" s="7" t="s">
        <v>99</v>
      </c>
      <c r="G1029" s="8">
        <v>2</v>
      </c>
      <c r="H1029" s="9">
        <v>79</v>
      </c>
      <c r="I1029" s="9">
        <v>0</v>
      </c>
      <c r="J1029" s="9">
        <f t="shared" si="27"/>
        <v>158</v>
      </c>
      <c r="K1029" s="7" t="s">
        <v>25</v>
      </c>
    </row>
    <row r="1030" spans="1:11" x14ac:dyDescent="0.25">
      <c r="A1030" s="2" t="s">
        <v>1454</v>
      </c>
      <c r="B1030" s="3" t="s">
        <v>101</v>
      </c>
      <c r="C1030" s="13" t="s">
        <v>560</v>
      </c>
      <c r="D1030" s="3" t="s">
        <v>47</v>
      </c>
      <c r="E1030" s="3" t="s">
        <v>23</v>
      </c>
      <c r="F1030" s="3" t="s">
        <v>48</v>
      </c>
      <c r="G1030" s="4">
        <v>3</v>
      </c>
      <c r="H1030" s="5">
        <v>450</v>
      </c>
      <c r="I1030" s="5">
        <v>5.04</v>
      </c>
      <c r="J1030" s="5">
        <f t="shared" si="27"/>
        <v>1344.96</v>
      </c>
      <c r="K1030" s="3" t="s">
        <v>32</v>
      </c>
    </row>
    <row r="1031" spans="1:11" x14ac:dyDescent="0.25">
      <c r="A1031" s="6" t="s">
        <v>1455</v>
      </c>
      <c r="B1031" s="7" t="s">
        <v>277</v>
      </c>
      <c r="C1031" s="14" t="s">
        <v>180</v>
      </c>
      <c r="D1031" s="7" t="s">
        <v>15</v>
      </c>
      <c r="E1031" s="7" t="s">
        <v>30</v>
      </c>
      <c r="F1031" s="7" t="s">
        <v>152</v>
      </c>
      <c r="G1031" s="8">
        <v>5</v>
      </c>
      <c r="H1031" s="9">
        <v>4500</v>
      </c>
      <c r="I1031" s="9">
        <v>200.47</v>
      </c>
      <c r="J1031" s="9">
        <f t="shared" si="27"/>
        <v>22299.53</v>
      </c>
      <c r="K1031" s="7" t="s">
        <v>25</v>
      </c>
    </row>
    <row r="1032" spans="1:11" x14ac:dyDescent="0.25">
      <c r="A1032" s="2" t="s">
        <v>1456</v>
      </c>
      <c r="B1032" s="3" t="s">
        <v>95</v>
      </c>
      <c r="C1032" s="13" t="s">
        <v>1112</v>
      </c>
      <c r="D1032" s="3" t="s">
        <v>22</v>
      </c>
      <c r="E1032" s="3" t="s">
        <v>30</v>
      </c>
      <c r="F1032" s="3" t="s">
        <v>152</v>
      </c>
      <c r="G1032" s="4">
        <v>4</v>
      </c>
      <c r="H1032" s="5">
        <v>4500</v>
      </c>
      <c r="I1032" s="5">
        <v>0</v>
      </c>
      <c r="J1032" s="5">
        <f t="shared" si="27"/>
        <v>18000</v>
      </c>
      <c r="K1032" s="3" t="s">
        <v>89</v>
      </c>
    </row>
    <row r="1033" spans="1:11" x14ac:dyDescent="0.25">
      <c r="A1033" s="6" t="s">
        <v>1457</v>
      </c>
      <c r="B1033" s="7" t="s">
        <v>41</v>
      </c>
      <c r="C1033" s="14" t="s">
        <v>919</v>
      </c>
      <c r="D1033" s="7" t="s">
        <v>47</v>
      </c>
      <c r="E1033" s="7" t="s">
        <v>23</v>
      </c>
      <c r="F1033" s="7" t="s">
        <v>48</v>
      </c>
      <c r="G1033" s="8">
        <v>1</v>
      </c>
      <c r="H1033" s="9">
        <v>450</v>
      </c>
      <c r="I1033" s="9">
        <v>0</v>
      </c>
      <c r="J1033" s="9">
        <f t="shared" si="27"/>
        <v>450</v>
      </c>
      <c r="K1033" s="7" t="s">
        <v>18</v>
      </c>
    </row>
    <row r="1034" spans="1:11" x14ac:dyDescent="0.25">
      <c r="A1034" s="2" t="s">
        <v>1458</v>
      </c>
      <c r="B1034" s="3" t="s">
        <v>13</v>
      </c>
      <c r="C1034" s="13" t="s">
        <v>392</v>
      </c>
      <c r="D1034" s="3" t="s">
        <v>39</v>
      </c>
      <c r="E1034" s="3" t="s">
        <v>52</v>
      </c>
      <c r="F1034" s="3" t="s">
        <v>99</v>
      </c>
      <c r="G1034" s="4">
        <v>1</v>
      </c>
      <c r="H1034" s="5">
        <v>79</v>
      </c>
      <c r="I1034" s="5">
        <v>11.01</v>
      </c>
      <c r="J1034" s="5">
        <f t="shared" si="27"/>
        <v>67.989999999999995</v>
      </c>
      <c r="K1034" s="3" t="s">
        <v>49</v>
      </c>
    </row>
    <row r="1035" spans="1:11" x14ac:dyDescent="0.25">
      <c r="A1035" s="6" t="s">
        <v>1459</v>
      </c>
      <c r="B1035" s="7" t="s">
        <v>95</v>
      </c>
      <c r="C1035" s="14" t="s">
        <v>638</v>
      </c>
      <c r="D1035" s="7" t="s">
        <v>39</v>
      </c>
      <c r="E1035" s="7" t="s">
        <v>30</v>
      </c>
      <c r="F1035" s="7" t="s">
        <v>152</v>
      </c>
      <c r="G1035" s="8">
        <v>5</v>
      </c>
      <c r="H1035" s="9">
        <v>4500</v>
      </c>
      <c r="I1035" s="9">
        <v>747.75</v>
      </c>
      <c r="J1035" s="9">
        <f t="shared" si="27"/>
        <v>21752.25</v>
      </c>
      <c r="K1035" s="7" t="s">
        <v>69</v>
      </c>
    </row>
    <row r="1036" spans="1:11" x14ac:dyDescent="0.25">
      <c r="A1036" s="2" t="s">
        <v>1460</v>
      </c>
      <c r="B1036" s="3" t="s">
        <v>110</v>
      </c>
      <c r="C1036" s="13" t="s">
        <v>172</v>
      </c>
      <c r="D1036" s="3" t="s">
        <v>15</v>
      </c>
      <c r="E1036" s="3" t="s">
        <v>30</v>
      </c>
      <c r="F1036" s="3" t="s">
        <v>68</v>
      </c>
      <c r="G1036" s="4">
        <v>2</v>
      </c>
      <c r="H1036" s="5">
        <v>799</v>
      </c>
      <c r="I1036" s="5">
        <v>0</v>
      </c>
      <c r="J1036" s="5">
        <f t="shared" si="27"/>
        <v>1598</v>
      </c>
      <c r="K1036" s="3" t="s">
        <v>18</v>
      </c>
    </row>
    <row r="1037" spans="1:11" x14ac:dyDescent="0.25">
      <c r="A1037" s="6" t="s">
        <v>1461</v>
      </c>
      <c r="B1037" s="7" t="s">
        <v>37</v>
      </c>
      <c r="C1037" s="14" t="s">
        <v>931</v>
      </c>
      <c r="D1037" s="7" t="s">
        <v>15</v>
      </c>
      <c r="E1037" s="7" t="s">
        <v>30</v>
      </c>
      <c r="F1037" s="7" t="s">
        <v>152</v>
      </c>
      <c r="G1037" s="8">
        <v>4</v>
      </c>
      <c r="H1037" s="9">
        <v>4500</v>
      </c>
      <c r="I1037" s="9">
        <v>0</v>
      </c>
      <c r="J1037" s="9">
        <f t="shared" si="27"/>
        <v>18000</v>
      </c>
      <c r="K1037" s="7" t="s">
        <v>65</v>
      </c>
    </row>
    <row r="1038" spans="1:11" x14ac:dyDescent="0.25">
      <c r="A1038" s="2" t="s">
        <v>1462</v>
      </c>
      <c r="B1038" s="3" t="s">
        <v>63</v>
      </c>
      <c r="C1038" s="13" t="s">
        <v>38</v>
      </c>
      <c r="D1038" s="3" t="s">
        <v>29</v>
      </c>
      <c r="E1038" s="3" t="s">
        <v>23</v>
      </c>
      <c r="F1038" s="3" t="s">
        <v>43</v>
      </c>
      <c r="G1038" s="4">
        <v>2</v>
      </c>
      <c r="H1038" s="5">
        <v>350</v>
      </c>
      <c r="I1038" s="5">
        <v>0</v>
      </c>
      <c r="J1038" s="5">
        <f t="shared" si="27"/>
        <v>700</v>
      </c>
      <c r="K1038" s="3" t="s">
        <v>49</v>
      </c>
    </row>
    <row r="1039" spans="1:11" x14ac:dyDescent="0.25">
      <c r="A1039" s="6" t="s">
        <v>1463</v>
      </c>
      <c r="B1039" s="7" t="s">
        <v>110</v>
      </c>
      <c r="C1039" s="14" t="s">
        <v>379</v>
      </c>
      <c r="D1039" s="7" t="s">
        <v>29</v>
      </c>
      <c r="E1039" s="7" t="s">
        <v>30</v>
      </c>
      <c r="F1039" s="7" t="s">
        <v>106</v>
      </c>
      <c r="G1039" s="8">
        <v>4</v>
      </c>
      <c r="H1039" s="9">
        <v>299</v>
      </c>
      <c r="I1039" s="9">
        <v>98.6</v>
      </c>
      <c r="J1039" s="9">
        <f t="shared" si="27"/>
        <v>1097.4000000000001</v>
      </c>
      <c r="K1039" s="7" t="s">
        <v>18</v>
      </c>
    </row>
    <row r="1040" spans="1:11" x14ac:dyDescent="0.25">
      <c r="A1040" s="2" t="s">
        <v>1464</v>
      </c>
      <c r="B1040" s="3" t="s">
        <v>20</v>
      </c>
      <c r="C1040" s="13" t="s">
        <v>497</v>
      </c>
      <c r="D1040" s="3" t="s">
        <v>15</v>
      </c>
      <c r="E1040" s="3" t="s">
        <v>52</v>
      </c>
      <c r="F1040" s="3" t="s">
        <v>75</v>
      </c>
      <c r="G1040" s="4">
        <v>5</v>
      </c>
      <c r="H1040" s="5">
        <v>249</v>
      </c>
      <c r="I1040" s="5">
        <v>150.19</v>
      </c>
      <c r="J1040" s="5">
        <f t="shared" si="27"/>
        <v>1094.81</v>
      </c>
      <c r="K1040" s="3" t="s">
        <v>49</v>
      </c>
    </row>
    <row r="1041" spans="1:11" x14ac:dyDescent="0.25">
      <c r="A1041" s="6" t="s">
        <v>1465</v>
      </c>
      <c r="B1041" s="7" t="s">
        <v>34</v>
      </c>
      <c r="C1041" s="14" t="s">
        <v>85</v>
      </c>
      <c r="D1041" s="7" t="s">
        <v>47</v>
      </c>
      <c r="E1041" s="7" t="s">
        <v>30</v>
      </c>
      <c r="F1041" s="7" t="s">
        <v>31</v>
      </c>
      <c r="G1041" s="8">
        <v>4</v>
      </c>
      <c r="H1041" s="9">
        <v>2500</v>
      </c>
      <c r="I1041" s="9">
        <v>1423.65</v>
      </c>
      <c r="J1041" s="9">
        <f t="shared" si="27"/>
        <v>8576.35</v>
      </c>
      <c r="K1041" s="7" t="s">
        <v>69</v>
      </c>
    </row>
    <row r="1042" spans="1:11" x14ac:dyDescent="0.25">
      <c r="A1042" s="2" t="s">
        <v>1466</v>
      </c>
      <c r="B1042" s="3" t="s">
        <v>34</v>
      </c>
      <c r="C1042" s="13" t="s">
        <v>917</v>
      </c>
      <c r="D1042" s="3" t="s">
        <v>47</v>
      </c>
      <c r="E1042" s="3" t="s">
        <v>30</v>
      </c>
      <c r="F1042" s="3" t="s">
        <v>31</v>
      </c>
      <c r="G1042" s="4">
        <v>1</v>
      </c>
      <c r="H1042" s="5">
        <v>2500</v>
      </c>
      <c r="I1042" s="5">
        <v>141.71</v>
      </c>
      <c r="J1042" s="5">
        <f t="shared" si="27"/>
        <v>2358.29</v>
      </c>
      <c r="K1042" s="3" t="s">
        <v>18</v>
      </c>
    </row>
    <row r="1043" spans="1:11" x14ac:dyDescent="0.25">
      <c r="A1043" s="6" t="s">
        <v>1467</v>
      </c>
      <c r="B1043" s="7" t="s">
        <v>101</v>
      </c>
      <c r="C1043" s="14" t="s">
        <v>601</v>
      </c>
      <c r="D1043" s="7" t="s">
        <v>22</v>
      </c>
      <c r="E1043" s="7" t="s">
        <v>16</v>
      </c>
      <c r="F1043" s="7" t="s">
        <v>116</v>
      </c>
      <c r="G1043" s="8">
        <v>5</v>
      </c>
      <c r="H1043" s="9">
        <v>45</v>
      </c>
      <c r="I1043" s="9">
        <v>18.760000000000002</v>
      </c>
      <c r="J1043" s="9">
        <f t="shared" si="27"/>
        <v>206.24</v>
      </c>
      <c r="K1043" s="7" t="s">
        <v>18</v>
      </c>
    </row>
    <row r="1044" spans="1:11" x14ac:dyDescent="0.25">
      <c r="A1044" s="2" t="s">
        <v>1468</v>
      </c>
      <c r="B1044" s="3" t="s">
        <v>20</v>
      </c>
      <c r="C1044" s="13" t="s">
        <v>371</v>
      </c>
      <c r="D1044" s="3" t="s">
        <v>15</v>
      </c>
      <c r="E1044" s="3" t="s">
        <v>52</v>
      </c>
      <c r="F1044" s="3" t="s">
        <v>53</v>
      </c>
      <c r="G1044" s="4">
        <v>5</v>
      </c>
      <c r="H1044" s="5">
        <v>149</v>
      </c>
      <c r="I1044" s="5">
        <v>53.18</v>
      </c>
      <c r="J1044" s="5">
        <f t="shared" si="27"/>
        <v>691.82</v>
      </c>
      <c r="K1044" s="3" t="s">
        <v>32</v>
      </c>
    </row>
    <row r="1045" spans="1:11" x14ac:dyDescent="0.25">
      <c r="A1045" s="6" t="s">
        <v>1469</v>
      </c>
      <c r="B1045" s="7" t="s">
        <v>110</v>
      </c>
      <c r="C1045" s="14" t="s">
        <v>316</v>
      </c>
      <c r="D1045" s="7" t="s">
        <v>15</v>
      </c>
      <c r="E1045" s="7" t="s">
        <v>16</v>
      </c>
      <c r="F1045" s="7" t="s">
        <v>116</v>
      </c>
      <c r="G1045" s="8">
        <v>4</v>
      </c>
      <c r="H1045" s="9">
        <v>45</v>
      </c>
      <c r="I1045" s="9">
        <v>0</v>
      </c>
      <c r="J1045" s="9">
        <f t="shared" si="27"/>
        <v>180</v>
      </c>
      <c r="K1045" s="7" t="s">
        <v>18</v>
      </c>
    </row>
    <row r="1046" spans="1:11" x14ac:dyDescent="0.25">
      <c r="A1046" s="2" t="s">
        <v>1470</v>
      </c>
      <c r="B1046" s="3" t="s">
        <v>55</v>
      </c>
      <c r="C1046" s="13" t="s">
        <v>469</v>
      </c>
      <c r="D1046" s="3" t="s">
        <v>47</v>
      </c>
      <c r="E1046" s="3" t="s">
        <v>23</v>
      </c>
      <c r="F1046" s="3" t="s">
        <v>43</v>
      </c>
      <c r="G1046" s="4">
        <v>5</v>
      </c>
      <c r="H1046" s="5">
        <v>350</v>
      </c>
      <c r="I1046" s="5">
        <v>0</v>
      </c>
      <c r="J1046" s="5">
        <f t="shared" si="27"/>
        <v>1750</v>
      </c>
      <c r="K1046" s="3" t="s">
        <v>65</v>
      </c>
    </row>
    <row r="1047" spans="1:11" x14ac:dyDescent="0.25">
      <c r="A1047" s="6" t="s">
        <v>1471</v>
      </c>
      <c r="B1047" s="7" t="s">
        <v>34</v>
      </c>
      <c r="C1047" s="14" t="s">
        <v>342</v>
      </c>
      <c r="D1047" s="7" t="s">
        <v>22</v>
      </c>
      <c r="E1047" s="7" t="s">
        <v>16</v>
      </c>
      <c r="F1047" s="7" t="s">
        <v>17</v>
      </c>
      <c r="G1047" s="8">
        <v>1</v>
      </c>
      <c r="H1047" s="9">
        <v>39</v>
      </c>
      <c r="I1047" s="9">
        <v>5.39</v>
      </c>
      <c r="J1047" s="9">
        <f t="shared" si="27"/>
        <v>33.61</v>
      </c>
      <c r="K1047" s="7" t="s">
        <v>18</v>
      </c>
    </row>
    <row r="1048" spans="1:11" x14ac:dyDescent="0.25">
      <c r="A1048" s="2" t="s">
        <v>1472</v>
      </c>
      <c r="B1048" s="3" t="s">
        <v>27</v>
      </c>
      <c r="C1048" s="13" t="s">
        <v>309</v>
      </c>
      <c r="D1048" s="3" t="s">
        <v>15</v>
      </c>
      <c r="E1048" s="3" t="s">
        <v>23</v>
      </c>
      <c r="F1048" s="3" t="s">
        <v>43</v>
      </c>
      <c r="G1048" s="4">
        <v>1</v>
      </c>
      <c r="H1048" s="5">
        <v>350</v>
      </c>
      <c r="I1048" s="5">
        <v>0</v>
      </c>
      <c r="J1048" s="5">
        <f t="shared" si="27"/>
        <v>350</v>
      </c>
      <c r="K1048" s="3" t="s">
        <v>69</v>
      </c>
    </row>
    <row r="1049" spans="1:11" x14ac:dyDescent="0.25">
      <c r="A1049" s="6" t="s">
        <v>1473</v>
      </c>
      <c r="B1049" s="7" t="s">
        <v>134</v>
      </c>
      <c r="C1049" s="14" t="s">
        <v>388</v>
      </c>
      <c r="D1049" s="7" t="s">
        <v>39</v>
      </c>
      <c r="E1049" s="7" t="s">
        <v>23</v>
      </c>
      <c r="F1049" s="7" t="s">
        <v>43</v>
      </c>
      <c r="G1049" s="8">
        <v>4</v>
      </c>
      <c r="H1049" s="9">
        <v>350</v>
      </c>
      <c r="I1049" s="9">
        <v>130.22999999999999</v>
      </c>
      <c r="J1049" s="9">
        <f t="shared" si="27"/>
        <v>1269.77</v>
      </c>
      <c r="K1049" s="7" t="s">
        <v>18</v>
      </c>
    </row>
    <row r="1050" spans="1:11" x14ac:dyDescent="0.25">
      <c r="A1050" s="2" t="s">
        <v>1474</v>
      </c>
      <c r="B1050" s="3" t="s">
        <v>13</v>
      </c>
      <c r="C1050" s="13" t="s">
        <v>711</v>
      </c>
      <c r="D1050" s="3" t="s">
        <v>39</v>
      </c>
      <c r="E1050" s="3" t="s">
        <v>52</v>
      </c>
      <c r="F1050" s="3" t="s">
        <v>53</v>
      </c>
      <c r="G1050" s="4">
        <v>4</v>
      </c>
      <c r="H1050" s="5">
        <v>149</v>
      </c>
      <c r="I1050" s="5">
        <v>4.72</v>
      </c>
      <c r="J1050" s="5">
        <f t="shared" si="27"/>
        <v>591.28</v>
      </c>
      <c r="K1050" s="3" t="s">
        <v>89</v>
      </c>
    </row>
    <row r="1051" spans="1:11" x14ac:dyDescent="0.25">
      <c r="A1051" s="6" t="s">
        <v>1475</v>
      </c>
      <c r="B1051" s="7" t="s">
        <v>110</v>
      </c>
      <c r="C1051" s="14" t="s">
        <v>510</v>
      </c>
      <c r="D1051" s="7" t="s">
        <v>39</v>
      </c>
      <c r="E1051" s="7" t="s">
        <v>52</v>
      </c>
      <c r="F1051" s="7" t="s">
        <v>75</v>
      </c>
      <c r="G1051" s="8">
        <v>1</v>
      </c>
      <c r="H1051" s="9">
        <v>249</v>
      </c>
      <c r="I1051" s="9">
        <v>0</v>
      </c>
      <c r="J1051" s="9">
        <f t="shared" si="27"/>
        <v>249</v>
      </c>
      <c r="K1051" s="7" t="s">
        <v>89</v>
      </c>
    </row>
    <row r="1052" spans="1:11" x14ac:dyDescent="0.25">
      <c r="A1052" s="2" t="s">
        <v>1476</v>
      </c>
      <c r="B1052" s="3" t="s">
        <v>110</v>
      </c>
      <c r="C1052" s="13" t="s">
        <v>275</v>
      </c>
      <c r="D1052" s="3" t="s">
        <v>39</v>
      </c>
      <c r="E1052" s="3" t="s">
        <v>52</v>
      </c>
      <c r="F1052" s="3" t="s">
        <v>61</v>
      </c>
      <c r="G1052" s="4">
        <v>5</v>
      </c>
      <c r="H1052" s="5">
        <v>199</v>
      </c>
      <c r="I1052" s="5">
        <v>0</v>
      </c>
      <c r="J1052" s="5">
        <f t="shared" si="27"/>
        <v>995</v>
      </c>
      <c r="K1052" s="3" t="s">
        <v>65</v>
      </c>
    </row>
    <row r="1053" spans="1:11" x14ac:dyDescent="0.25">
      <c r="A1053" s="6" t="s">
        <v>1477</v>
      </c>
      <c r="B1053" s="7" t="s">
        <v>55</v>
      </c>
      <c r="C1053" s="14" t="s">
        <v>503</v>
      </c>
      <c r="D1053" s="7" t="s">
        <v>22</v>
      </c>
      <c r="E1053" s="7" t="s">
        <v>52</v>
      </c>
      <c r="F1053" s="7" t="s">
        <v>61</v>
      </c>
      <c r="G1053" s="8">
        <v>4</v>
      </c>
      <c r="H1053" s="9">
        <v>199</v>
      </c>
      <c r="I1053" s="9">
        <v>103.79</v>
      </c>
      <c r="J1053" s="9">
        <f t="shared" si="27"/>
        <v>692.21</v>
      </c>
      <c r="K1053" s="7" t="s">
        <v>65</v>
      </c>
    </row>
    <row r="1054" spans="1:11" x14ac:dyDescent="0.25">
      <c r="A1054" s="2" t="s">
        <v>1478</v>
      </c>
      <c r="B1054" s="3" t="s">
        <v>134</v>
      </c>
      <c r="C1054" s="13" t="s">
        <v>919</v>
      </c>
      <c r="D1054" s="3" t="s">
        <v>39</v>
      </c>
      <c r="E1054" s="3" t="s">
        <v>23</v>
      </c>
      <c r="F1054" s="3" t="s">
        <v>24</v>
      </c>
      <c r="G1054" s="4">
        <v>2</v>
      </c>
      <c r="H1054" s="5">
        <v>180</v>
      </c>
      <c r="I1054" s="5">
        <v>48.27</v>
      </c>
      <c r="J1054" s="5">
        <f t="shared" si="27"/>
        <v>311.73</v>
      </c>
      <c r="K1054" s="3" t="s">
        <v>69</v>
      </c>
    </row>
    <row r="1055" spans="1:11" x14ac:dyDescent="0.25">
      <c r="A1055" s="6" t="s">
        <v>1479</v>
      </c>
      <c r="B1055" s="7" t="s">
        <v>95</v>
      </c>
      <c r="C1055" s="14" t="s">
        <v>1144</v>
      </c>
      <c r="D1055" s="7" t="s">
        <v>149</v>
      </c>
      <c r="E1055" s="7" t="s">
        <v>52</v>
      </c>
      <c r="F1055" s="7" t="s">
        <v>99</v>
      </c>
      <c r="G1055" s="8">
        <v>1</v>
      </c>
      <c r="H1055" s="9">
        <v>79</v>
      </c>
      <c r="I1055" s="9">
        <v>0</v>
      </c>
      <c r="J1055" s="9">
        <f t="shared" si="27"/>
        <v>79</v>
      </c>
      <c r="K1055" s="7" t="s">
        <v>32</v>
      </c>
    </row>
    <row r="1056" spans="1:11" x14ac:dyDescent="0.25">
      <c r="A1056" s="2" t="s">
        <v>1480</v>
      </c>
      <c r="B1056" s="3" t="s">
        <v>27</v>
      </c>
      <c r="C1056" s="13" t="s">
        <v>265</v>
      </c>
      <c r="D1056" s="3" t="s">
        <v>15</v>
      </c>
      <c r="E1056" s="3" t="s">
        <v>30</v>
      </c>
      <c r="F1056" s="3" t="s">
        <v>31</v>
      </c>
      <c r="G1056" s="4">
        <v>5</v>
      </c>
      <c r="H1056" s="5">
        <v>2500</v>
      </c>
      <c r="I1056" s="5">
        <v>1266.4000000000001</v>
      </c>
      <c r="J1056" s="5">
        <f t="shared" si="27"/>
        <v>11233.6</v>
      </c>
      <c r="K1056" s="3" t="s">
        <v>89</v>
      </c>
    </row>
    <row r="1057" spans="1:11" x14ac:dyDescent="0.25">
      <c r="A1057" s="6" t="s">
        <v>1481</v>
      </c>
      <c r="B1057" s="7" t="s">
        <v>34</v>
      </c>
      <c r="C1057" s="14" t="s">
        <v>529</v>
      </c>
      <c r="D1057" s="7" t="s">
        <v>15</v>
      </c>
      <c r="E1057" s="7"/>
      <c r="F1057" s="7" t="s">
        <v>17</v>
      </c>
      <c r="G1057" s="8">
        <v>5</v>
      </c>
      <c r="H1057" s="9">
        <v>39</v>
      </c>
      <c r="I1057" s="9">
        <v>7.69</v>
      </c>
      <c r="J1057" s="9">
        <f t="shared" si="27"/>
        <v>187.31</v>
      </c>
      <c r="K1057" s="7" t="s">
        <v>49</v>
      </c>
    </row>
    <row r="1058" spans="1:11" x14ac:dyDescent="0.25">
      <c r="A1058" s="2" t="s">
        <v>1482</v>
      </c>
      <c r="B1058" s="3" t="s">
        <v>71</v>
      </c>
      <c r="C1058" s="13" t="s">
        <v>1090</v>
      </c>
      <c r="D1058" s="3" t="s">
        <v>15</v>
      </c>
      <c r="E1058" s="3" t="s">
        <v>30</v>
      </c>
      <c r="F1058" s="3" t="s">
        <v>31</v>
      </c>
      <c r="G1058" s="4">
        <v>3</v>
      </c>
      <c r="H1058" s="5">
        <v>2500</v>
      </c>
      <c r="I1058" s="5">
        <v>12.61</v>
      </c>
      <c r="J1058" s="5">
        <f t="shared" si="27"/>
        <v>7487.39</v>
      </c>
      <c r="K1058" s="3" t="s">
        <v>69</v>
      </c>
    </row>
    <row r="1059" spans="1:11" x14ac:dyDescent="0.25">
      <c r="A1059" s="6" t="s">
        <v>1483</v>
      </c>
      <c r="B1059" s="7" t="s">
        <v>20</v>
      </c>
      <c r="C1059" s="14" t="s">
        <v>21</v>
      </c>
      <c r="D1059" s="7" t="s">
        <v>22</v>
      </c>
      <c r="E1059" s="7" t="s">
        <v>52</v>
      </c>
      <c r="F1059" s="7" t="s">
        <v>99</v>
      </c>
      <c r="G1059" s="8">
        <v>3</v>
      </c>
      <c r="H1059" s="9">
        <v>79</v>
      </c>
      <c r="I1059" s="9">
        <v>0</v>
      </c>
      <c r="J1059" s="9">
        <f t="shared" si="27"/>
        <v>237</v>
      </c>
      <c r="K1059" s="7" t="s">
        <v>65</v>
      </c>
    </row>
    <row r="1060" spans="1:11" x14ac:dyDescent="0.25">
      <c r="A1060" s="2" t="s">
        <v>1484</v>
      </c>
      <c r="B1060" s="3" t="s">
        <v>13</v>
      </c>
      <c r="C1060" s="13" t="s">
        <v>298</v>
      </c>
      <c r="D1060" s="3" t="s">
        <v>15</v>
      </c>
      <c r="E1060" s="3" t="s">
        <v>23</v>
      </c>
      <c r="F1060" s="3" t="s">
        <v>88</v>
      </c>
      <c r="G1060" s="4">
        <v>1</v>
      </c>
      <c r="H1060" s="5">
        <v>650</v>
      </c>
      <c r="I1060" s="5">
        <v>0</v>
      </c>
      <c r="J1060" s="5">
        <f t="shared" si="27"/>
        <v>650</v>
      </c>
      <c r="K1060" s="3" t="s">
        <v>18</v>
      </c>
    </row>
    <row r="1061" spans="1:11" x14ac:dyDescent="0.25">
      <c r="A1061" s="6" t="s">
        <v>1485</v>
      </c>
      <c r="B1061" s="7" t="s">
        <v>55</v>
      </c>
      <c r="C1061" s="14" t="s">
        <v>1486</v>
      </c>
      <c r="D1061" s="7" t="s">
        <v>29</v>
      </c>
      <c r="E1061" s="7" t="s">
        <v>16</v>
      </c>
      <c r="F1061" s="7" t="s">
        <v>17</v>
      </c>
      <c r="G1061" s="8">
        <v>5</v>
      </c>
      <c r="H1061" s="9">
        <v>39</v>
      </c>
      <c r="I1061" s="9">
        <v>9.52</v>
      </c>
      <c r="J1061" s="9">
        <f t="shared" si="27"/>
        <v>185.48</v>
      </c>
      <c r="K1061" s="7" t="s">
        <v>25</v>
      </c>
    </row>
    <row r="1062" spans="1:11" x14ac:dyDescent="0.25">
      <c r="A1062" s="2" t="s">
        <v>1487</v>
      </c>
      <c r="B1062" s="3" t="s">
        <v>95</v>
      </c>
      <c r="C1062" s="13" t="s">
        <v>397</v>
      </c>
      <c r="D1062" s="3" t="s">
        <v>15</v>
      </c>
      <c r="E1062" s="3" t="s">
        <v>52</v>
      </c>
      <c r="F1062" s="3" t="s">
        <v>99</v>
      </c>
      <c r="G1062" s="4">
        <v>3</v>
      </c>
      <c r="H1062" s="5">
        <v>79</v>
      </c>
      <c r="I1062" s="5">
        <v>31.25</v>
      </c>
      <c r="J1062" s="5">
        <f t="shared" si="27"/>
        <v>205.75</v>
      </c>
      <c r="K1062" s="3" t="s">
        <v>18</v>
      </c>
    </row>
    <row r="1063" spans="1:11" x14ac:dyDescent="0.25">
      <c r="A1063" s="6" t="s">
        <v>1488</v>
      </c>
      <c r="B1063" s="7" t="s">
        <v>20</v>
      </c>
      <c r="C1063" s="14" t="s">
        <v>630</v>
      </c>
      <c r="D1063" s="7" t="s">
        <v>22</v>
      </c>
      <c r="E1063" s="7" t="s">
        <v>16</v>
      </c>
      <c r="F1063" s="7" t="s">
        <v>17</v>
      </c>
      <c r="G1063" s="8">
        <v>4</v>
      </c>
      <c r="H1063" s="9">
        <v>39</v>
      </c>
      <c r="I1063" s="9">
        <v>0</v>
      </c>
      <c r="J1063" s="9">
        <f t="shared" si="27"/>
        <v>156</v>
      </c>
      <c r="K1063" s="7" t="s">
        <v>32</v>
      </c>
    </row>
    <row r="1064" spans="1:11" x14ac:dyDescent="0.25">
      <c r="A1064" s="2" t="s">
        <v>1489</v>
      </c>
      <c r="B1064" s="3" t="s">
        <v>34</v>
      </c>
      <c r="C1064" s="13" t="s">
        <v>56</v>
      </c>
      <c r="D1064" s="3" t="s">
        <v>47</v>
      </c>
      <c r="E1064" s="3" t="s">
        <v>30</v>
      </c>
      <c r="F1064" s="3" t="s">
        <v>152</v>
      </c>
      <c r="G1064" s="4">
        <v>1</v>
      </c>
      <c r="H1064" s="5">
        <v>4500</v>
      </c>
      <c r="I1064" s="5">
        <v>387.01</v>
      </c>
      <c r="J1064" s="5">
        <f t="shared" si="27"/>
        <v>4112.99</v>
      </c>
      <c r="K1064" s="3" t="s">
        <v>69</v>
      </c>
    </row>
    <row r="1065" spans="1:11" x14ac:dyDescent="0.25">
      <c r="A1065" s="6" t="s">
        <v>1490</v>
      </c>
      <c r="B1065" s="7" t="s">
        <v>20</v>
      </c>
      <c r="C1065" s="14" t="s">
        <v>805</v>
      </c>
      <c r="D1065" s="7" t="s">
        <v>47</v>
      </c>
      <c r="E1065" s="7" t="s">
        <v>16</v>
      </c>
      <c r="F1065" s="7" t="s">
        <v>116</v>
      </c>
      <c r="G1065" s="8">
        <v>4</v>
      </c>
      <c r="H1065" s="9">
        <v>45</v>
      </c>
      <c r="I1065" s="9">
        <v>0</v>
      </c>
      <c r="J1065" s="9">
        <f t="shared" si="27"/>
        <v>180</v>
      </c>
      <c r="K1065" s="7" t="s">
        <v>49</v>
      </c>
    </row>
    <row r="1066" spans="1:11" x14ac:dyDescent="0.25">
      <c r="A1066" s="2" t="s">
        <v>1491</v>
      </c>
      <c r="B1066" s="3" t="s">
        <v>13</v>
      </c>
      <c r="C1066" s="13" t="s">
        <v>399</v>
      </c>
      <c r="D1066" s="3" t="s">
        <v>15</v>
      </c>
      <c r="E1066" s="3" t="s">
        <v>52</v>
      </c>
      <c r="F1066" s="3" t="s">
        <v>99</v>
      </c>
      <c r="G1066" s="4">
        <v>3</v>
      </c>
      <c r="H1066" s="5">
        <v>79</v>
      </c>
      <c r="I1066" s="5">
        <v>0</v>
      </c>
      <c r="J1066" s="5">
        <f t="shared" si="27"/>
        <v>237</v>
      </c>
      <c r="K1066" s="3" t="s">
        <v>25</v>
      </c>
    </row>
    <row r="1067" spans="1:11" x14ac:dyDescent="0.25">
      <c r="A1067" s="6" t="s">
        <v>1492</v>
      </c>
      <c r="B1067" s="7" t="s">
        <v>63</v>
      </c>
      <c r="C1067" s="14" t="s">
        <v>634</v>
      </c>
      <c r="D1067" s="7" t="s">
        <v>15</v>
      </c>
      <c r="E1067" s="7" t="s">
        <v>16</v>
      </c>
      <c r="F1067" s="7" t="s">
        <v>103</v>
      </c>
      <c r="G1067" s="8">
        <v>3</v>
      </c>
      <c r="H1067" s="9">
        <v>89</v>
      </c>
      <c r="I1067" s="9">
        <v>0</v>
      </c>
      <c r="J1067" s="9">
        <f t="shared" si="27"/>
        <v>267</v>
      </c>
      <c r="K1067" s="7" t="s">
        <v>89</v>
      </c>
    </row>
    <row r="1068" spans="1:11" x14ac:dyDescent="0.25">
      <c r="A1068" s="2" t="s">
        <v>1493</v>
      </c>
      <c r="B1068" s="3" t="s">
        <v>37</v>
      </c>
      <c r="C1068" s="13" t="s">
        <v>1144</v>
      </c>
      <c r="D1068" s="3" t="s">
        <v>39</v>
      </c>
      <c r="E1068" s="3" t="s">
        <v>52</v>
      </c>
      <c r="F1068" s="3" t="s">
        <v>53</v>
      </c>
      <c r="G1068" s="4">
        <v>3</v>
      </c>
      <c r="H1068" s="5">
        <v>149</v>
      </c>
      <c r="I1068" s="5">
        <v>0</v>
      </c>
      <c r="J1068" s="5">
        <f t="shared" si="27"/>
        <v>447</v>
      </c>
      <c r="K1068" s="3" t="s">
        <v>49</v>
      </c>
    </row>
    <row r="1069" spans="1:11" x14ac:dyDescent="0.25">
      <c r="A1069" s="6" t="s">
        <v>1494</v>
      </c>
      <c r="B1069" s="7" t="s">
        <v>71</v>
      </c>
      <c r="C1069" s="14" t="s">
        <v>601</v>
      </c>
      <c r="D1069" s="7" t="s">
        <v>39</v>
      </c>
      <c r="E1069" s="7" t="s">
        <v>30</v>
      </c>
      <c r="F1069" s="7" t="s">
        <v>31</v>
      </c>
      <c r="G1069" s="8">
        <v>3</v>
      </c>
      <c r="H1069" s="9">
        <v>2500</v>
      </c>
      <c r="I1069" s="9">
        <v>0</v>
      </c>
      <c r="J1069" s="9">
        <f t="shared" si="27"/>
        <v>7500</v>
      </c>
      <c r="K1069" s="7" t="s">
        <v>89</v>
      </c>
    </row>
    <row r="1070" spans="1:11" x14ac:dyDescent="0.25">
      <c r="A1070" s="2" t="s">
        <v>1495</v>
      </c>
      <c r="B1070" s="3" t="s">
        <v>20</v>
      </c>
      <c r="C1070" s="13" t="s">
        <v>342</v>
      </c>
      <c r="D1070" s="3" t="s">
        <v>47</v>
      </c>
      <c r="E1070" s="3" t="s">
        <v>23</v>
      </c>
      <c r="F1070" s="3" t="s">
        <v>24</v>
      </c>
      <c r="G1070" s="4">
        <v>4</v>
      </c>
      <c r="H1070" s="5">
        <v>180</v>
      </c>
      <c r="I1070" s="5">
        <v>12.67</v>
      </c>
      <c r="J1070" s="5">
        <f t="shared" si="27"/>
        <v>707.33</v>
      </c>
      <c r="K1070" s="3" t="s">
        <v>32</v>
      </c>
    </row>
    <row r="1071" spans="1:11" x14ac:dyDescent="0.25">
      <c r="A1071" s="6" t="s">
        <v>1496</v>
      </c>
      <c r="B1071" s="7" t="s">
        <v>95</v>
      </c>
      <c r="C1071" s="14" t="s">
        <v>1331</v>
      </c>
      <c r="D1071" s="7" t="s">
        <v>39</v>
      </c>
      <c r="E1071" s="7" t="s">
        <v>16</v>
      </c>
      <c r="F1071" s="7" t="s">
        <v>17</v>
      </c>
      <c r="G1071" s="8">
        <v>5</v>
      </c>
      <c r="H1071" s="9">
        <v>39</v>
      </c>
      <c r="I1071" s="9">
        <v>0</v>
      </c>
      <c r="J1071" s="9">
        <f t="shared" si="27"/>
        <v>195</v>
      </c>
      <c r="K1071" s="7" t="s">
        <v>32</v>
      </c>
    </row>
    <row r="1072" spans="1:11" x14ac:dyDescent="0.25">
      <c r="A1072" s="2" t="s">
        <v>1497</v>
      </c>
      <c r="B1072" s="3" t="s">
        <v>63</v>
      </c>
      <c r="C1072" s="13" t="s">
        <v>377</v>
      </c>
      <c r="D1072" s="3" t="s">
        <v>15</v>
      </c>
      <c r="E1072" s="3" t="s">
        <v>16</v>
      </c>
      <c r="F1072" s="3" t="s">
        <v>17</v>
      </c>
      <c r="G1072" s="4">
        <v>2</v>
      </c>
      <c r="H1072" s="5">
        <v>39</v>
      </c>
      <c r="I1072" s="5">
        <v>5.47</v>
      </c>
      <c r="J1072" s="5">
        <f t="shared" si="27"/>
        <v>72.53</v>
      </c>
      <c r="K1072" s="3" t="s">
        <v>65</v>
      </c>
    </row>
    <row r="1073" spans="1:11" x14ac:dyDescent="0.25">
      <c r="A1073" s="6" t="s">
        <v>1498</v>
      </c>
      <c r="B1073" s="7" t="s">
        <v>34</v>
      </c>
      <c r="C1073" s="14" t="s">
        <v>900</v>
      </c>
      <c r="D1073" s="7" t="s">
        <v>29</v>
      </c>
      <c r="E1073" s="7" t="s">
        <v>30</v>
      </c>
      <c r="F1073" s="7" t="s">
        <v>31</v>
      </c>
      <c r="G1073" s="8">
        <v>1</v>
      </c>
      <c r="H1073" s="9">
        <v>2500</v>
      </c>
      <c r="I1073" s="9">
        <v>0</v>
      </c>
      <c r="J1073" s="9">
        <f t="shared" si="27"/>
        <v>2500</v>
      </c>
      <c r="K1073" s="7" t="s">
        <v>89</v>
      </c>
    </row>
    <row r="1074" spans="1:11" x14ac:dyDescent="0.25">
      <c r="A1074" s="2" t="s">
        <v>1499</v>
      </c>
      <c r="B1074" s="3" t="s">
        <v>55</v>
      </c>
      <c r="C1074" s="13" t="s">
        <v>560</v>
      </c>
      <c r="D1074" s="3" t="s">
        <v>15</v>
      </c>
      <c r="E1074" s="3" t="s">
        <v>30</v>
      </c>
      <c r="F1074" s="3" t="s">
        <v>68</v>
      </c>
      <c r="G1074" s="4">
        <v>1</v>
      </c>
      <c r="H1074" s="5">
        <v>799</v>
      </c>
      <c r="I1074" s="5">
        <v>0</v>
      </c>
      <c r="J1074" s="5">
        <f t="shared" si="27"/>
        <v>799</v>
      </c>
      <c r="K1074" s="3" t="s">
        <v>32</v>
      </c>
    </row>
    <row r="1075" spans="1:11" x14ac:dyDescent="0.25">
      <c r="A1075" s="6" t="s">
        <v>1500</v>
      </c>
      <c r="B1075" s="7" t="s">
        <v>55</v>
      </c>
      <c r="C1075" s="14" t="s">
        <v>601</v>
      </c>
      <c r="D1075" s="7" t="s">
        <v>29</v>
      </c>
      <c r="E1075" s="7" t="s">
        <v>23</v>
      </c>
      <c r="F1075" s="7" t="s">
        <v>43</v>
      </c>
      <c r="G1075" s="8">
        <v>3</v>
      </c>
      <c r="H1075" s="9">
        <v>350</v>
      </c>
      <c r="I1075" s="9">
        <v>0</v>
      </c>
      <c r="J1075" s="9">
        <f t="shared" si="27"/>
        <v>1050</v>
      </c>
      <c r="K1075" s="7" t="s">
        <v>44</v>
      </c>
    </row>
    <row r="1076" spans="1:11" x14ac:dyDescent="0.25">
      <c r="A1076" s="2" t="s">
        <v>1501</v>
      </c>
      <c r="B1076" s="3" t="s">
        <v>277</v>
      </c>
      <c r="C1076" s="13" t="s">
        <v>716</v>
      </c>
      <c r="D1076" s="3" t="s">
        <v>47</v>
      </c>
      <c r="E1076" s="3" t="s">
        <v>23</v>
      </c>
      <c r="F1076" s="3" t="s">
        <v>43</v>
      </c>
      <c r="G1076" s="4">
        <v>5</v>
      </c>
      <c r="H1076" s="5">
        <v>350</v>
      </c>
      <c r="I1076" s="5">
        <v>0</v>
      </c>
      <c r="J1076" s="5">
        <f t="shared" si="27"/>
        <v>1750</v>
      </c>
      <c r="K1076" s="3" t="s">
        <v>89</v>
      </c>
    </row>
    <row r="1077" spans="1:11" x14ac:dyDescent="0.25">
      <c r="A1077" s="6" t="s">
        <v>1502</v>
      </c>
      <c r="B1077" s="7" t="s">
        <v>63</v>
      </c>
      <c r="C1077" s="14" t="s">
        <v>764</v>
      </c>
      <c r="D1077" s="7" t="s">
        <v>29</v>
      </c>
      <c r="E1077" s="7" t="s">
        <v>30</v>
      </c>
      <c r="F1077" s="7" t="s">
        <v>106</v>
      </c>
      <c r="G1077" s="8">
        <v>1</v>
      </c>
      <c r="H1077" s="9">
        <v>299</v>
      </c>
      <c r="I1077" s="9">
        <v>9.1999999999999993</v>
      </c>
      <c r="J1077" s="9">
        <f t="shared" si="27"/>
        <v>289.8</v>
      </c>
      <c r="K1077" s="7" t="s">
        <v>44</v>
      </c>
    </row>
    <row r="1078" spans="1:11" x14ac:dyDescent="0.25">
      <c r="A1078" s="2" t="s">
        <v>1503</v>
      </c>
      <c r="B1078" s="3" t="s">
        <v>55</v>
      </c>
      <c r="C1078" s="13" t="s">
        <v>260</v>
      </c>
      <c r="D1078" s="3" t="s">
        <v>47</v>
      </c>
      <c r="E1078" s="3" t="s">
        <v>52</v>
      </c>
      <c r="F1078" s="3" t="s">
        <v>53</v>
      </c>
      <c r="G1078" s="4">
        <v>4</v>
      </c>
      <c r="H1078" s="5">
        <v>149</v>
      </c>
      <c r="I1078" s="5">
        <v>0</v>
      </c>
      <c r="J1078" s="5">
        <f t="shared" si="27"/>
        <v>596</v>
      </c>
      <c r="K1078" s="3" t="s">
        <v>44</v>
      </c>
    </row>
    <row r="1079" spans="1:11" x14ac:dyDescent="0.25">
      <c r="A1079" s="6" t="s">
        <v>1504</v>
      </c>
      <c r="B1079" s="7" t="s">
        <v>34</v>
      </c>
      <c r="C1079" s="14" t="s">
        <v>716</v>
      </c>
      <c r="D1079" s="7" t="s">
        <v>39</v>
      </c>
      <c r="E1079" s="7" t="s">
        <v>16</v>
      </c>
      <c r="F1079" s="7" t="s">
        <v>17</v>
      </c>
      <c r="G1079" s="8">
        <v>5</v>
      </c>
      <c r="H1079" s="9">
        <v>39</v>
      </c>
      <c r="I1079" s="9">
        <v>8.7100000000000009</v>
      </c>
      <c r="J1079" s="9">
        <f t="shared" si="27"/>
        <v>186.29</v>
      </c>
      <c r="K1079" s="7" t="s">
        <v>89</v>
      </c>
    </row>
    <row r="1080" spans="1:11" x14ac:dyDescent="0.25">
      <c r="A1080" s="2" t="s">
        <v>1505</v>
      </c>
      <c r="B1080" s="3" t="s">
        <v>71</v>
      </c>
      <c r="C1080" s="13" t="s">
        <v>105</v>
      </c>
      <c r="D1080" s="3" t="s">
        <v>29</v>
      </c>
      <c r="E1080" s="3" t="s">
        <v>16</v>
      </c>
      <c r="F1080" s="3" t="s">
        <v>103</v>
      </c>
      <c r="G1080" s="4">
        <v>1</v>
      </c>
      <c r="H1080" s="5">
        <v>89</v>
      </c>
      <c r="I1080" s="5">
        <v>12.9</v>
      </c>
      <c r="J1080" s="5">
        <f t="shared" si="27"/>
        <v>76.099999999999994</v>
      </c>
      <c r="K1080" s="3" t="s">
        <v>65</v>
      </c>
    </row>
    <row r="1081" spans="1:11" x14ac:dyDescent="0.25">
      <c r="A1081" s="6" t="s">
        <v>1506</v>
      </c>
      <c r="B1081" s="7" t="s">
        <v>37</v>
      </c>
      <c r="C1081" s="14" t="s">
        <v>748</v>
      </c>
      <c r="D1081" s="7" t="s">
        <v>47</v>
      </c>
      <c r="E1081" s="7" t="s">
        <v>16</v>
      </c>
      <c r="F1081" s="7" t="s">
        <v>78</v>
      </c>
      <c r="G1081" s="8">
        <v>4</v>
      </c>
      <c r="H1081" s="9">
        <v>59</v>
      </c>
      <c r="I1081" s="9">
        <v>19.7</v>
      </c>
      <c r="J1081" s="9">
        <f t="shared" si="27"/>
        <v>216.3</v>
      </c>
      <c r="K1081" s="7" t="s">
        <v>89</v>
      </c>
    </row>
    <row r="1082" spans="1:11" x14ac:dyDescent="0.25">
      <c r="A1082" s="2" t="s">
        <v>1507</v>
      </c>
      <c r="B1082" s="3" t="s">
        <v>63</v>
      </c>
      <c r="C1082" s="13" t="s">
        <v>1084</v>
      </c>
      <c r="D1082" s="3" t="s">
        <v>47</v>
      </c>
      <c r="E1082" s="3" t="s">
        <v>30</v>
      </c>
      <c r="F1082" s="3" t="s">
        <v>31</v>
      </c>
      <c r="G1082" s="4">
        <v>5</v>
      </c>
      <c r="H1082" s="5">
        <v>2500</v>
      </c>
      <c r="I1082" s="5">
        <v>0</v>
      </c>
      <c r="J1082" s="5">
        <f t="shared" si="27"/>
        <v>12500</v>
      </c>
      <c r="K1082" s="3" t="s">
        <v>44</v>
      </c>
    </row>
    <row r="1083" spans="1:11" x14ac:dyDescent="0.25">
      <c r="A1083" s="6" t="s">
        <v>1508</v>
      </c>
      <c r="B1083" s="7" t="s">
        <v>110</v>
      </c>
      <c r="C1083" s="14" t="s">
        <v>938</v>
      </c>
      <c r="D1083" s="7" t="s">
        <v>47</v>
      </c>
      <c r="E1083" s="7" t="s">
        <v>52</v>
      </c>
      <c r="F1083" s="7" t="s">
        <v>53</v>
      </c>
      <c r="G1083" s="8">
        <v>4</v>
      </c>
      <c r="H1083" s="9">
        <v>149</v>
      </c>
      <c r="I1083" s="9">
        <v>0.28000000000000003</v>
      </c>
      <c r="J1083" s="9">
        <f t="shared" si="27"/>
        <v>595.72</v>
      </c>
      <c r="K1083" s="7" t="s">
        <v>44</v>
      </c>
    </row>
    <row r="1084" spans="1:11" x14ac:dyDescent="0.25">
      <c r="A1084" s="2" t="s">
        <v>1509</v>
      </c>
      <c r="B1084" s="3" t="s">
        <v>95</v>
      </c>
      <c r="C1084" s="13" t="s">
        <v>1285</v>
      </c>
      <c r="D1084" s="3" t="s">
        <v>29</v>
      </c>
      <c r="E1084" s="3" t="s">
        <v>16</v>
      </c>
      <c r="F1084" s="3" t="s">
        <v>103</v>
      </c>
      <c r="G1084" s="4">
        <v>1</v>
      </c>
      <c r="H1084" s="5">
        <v>89</v>
      </c>
      <c r="I1084" s="5">
        <v>5.23</v>
      </c>
      <c r="J1084" s="5">
        <f t="shared" si="27"/>
        <v>83.77</v>
      </c>
      <c r="K1084" s="3" t="s">
        <v>44</v>
      </c>
    </row>
    <row r="1085" spans="1:11" x14ac:dyDescent="0.25">
      <c r="A1085" s="6" t="s">
        <v>1510</v>
      </c>
      <c r="B1085" s="7" t="s">
        <v>41</v>
      </c>
      <c r="C1085" s="14" t="s">
        <v>140</v>
      </c>
      <c r="D1085" s="7" t="s">
        <v>47</v>
      </c>
      <c r="E1085" s="7" t="s">
        <v>16</v>
      </c>
      <c r="F1085" s="7" t="s">
        <v>103</v>
      </c>
      <c r="G1085" s="8">
        <v>5</v>
      </c>
      <c r="H1085" s="9">
        <v>89</v>
      </c>
      <c r="I1085" s="9">
        <v>0</v>
      </c>
      <c r="J1085" s="9">
        <f t="shared" si="27"/>
        <v>445</v>
      </c>
      <c r="K1085" s="7" t="s">
        <v>69</v>
      </c>
    </row>
    <row r="1086" spans="1:11" x14ac:dyDescent="0.25">
      <c r="A1086" s="2" t="s">
        <v>1511</v>
      </c>
      <c r="B1086" s="3" t="s">
        <v>110</v>
      </c>
      <c r="C1086" s="13" t="s">
        <v>650</v>
      </c>
      <c r="D1086" s="3" t="s">
        <v>29</v>
      </c>
      <c r="E1086" s="3" t="s">
        <v>52</v>
      </c>
      <c r="F1086" s="3" t="s">
        <v>53</v>
      </c>
      <c r="G1086" s="4">
        <v>2</v>
      </c>
      <c r="H1086" s="5">
        <v>149</v>
      </c>
      <c r="I1086" s="5">
        <v>15.05</v>
      </c>
      <c r="J1086" s="5">
        <f t="shared" si="27"/>
        <v>282.95</v>
      </c>
      <c r="K1086" s="3" t="s">
        <v>65</v>
      </c>
    </row>
    <row r="1087" spans="1:11" x14ac:dyDescent="0.25">
      <c r="A1087" s="6" t="s">
        <v>1512</v>
      </c>
      <c r="B1087" s="7" t="s">
        <v>13</v>
      </c>
      <c r="C1087" s="14" t="s">
        <v>1010</v>
      </c>
      <c r="D1087" s="7" t="s">
        <v>22</v>
      </c>
      <c r="E1087" s="7" t="s">
        <v>30</v>
      </c>
      <c r="F1087" s="7" t="s">
        <v>106</v>
      </c>
      <c r="G1087" s="8">
        <v>2</v>
      </c>
      <c r="H1087" s="9">
        <v>299</v>
      </c>
      <c r="I1087" s="9">
        <v>56.82</v>
      </c>
      <c r="J1087" s="9">
        <f t="shared" ref="J1087:J1150" si="28">(G1087*H1087)-I1087</f>
        <v>541.17999999999995</v>
      </c>
      <c r="K1087" s="7" t="s">
        <v>25</v>
      </c>
    </row>
    <row r="1088" spans="1:11" x14ac:dyDescent="0.25">
      <c r="A1088" s="2" t="s">
        <v>1513</v>
      </c>
      <c r="B1088" s="3" t="s">
        <v>20</v>
      </c>
      <c r="C1088" s="13" t="s">
        <v>1238</v>
      </c>
      <c r="D1088" s="3" t="s">
        <v>15</v>
      </c>
      <c r="E1088" s="3" t="s">
        <v>30</v>
      </c>
      <c r="F1088" s="3" t="s">
        <v>68</v>
      </c>
      <c r="G1088" s="4">
        <v>3</v>
      </c>
      <c r="H1088" s="5">
        <v>799</v>
      </c>
      <c r="I1088" s="5">
        <v>0</v>
      </c>
      <c r="J1088" s="5">
        <f t="shared" si="28"/>
        <v>2397</v>
      </c>
      <c r="K1088" s="3" t="s">
        <v>65</v>
      </c>
    </row>
    <row r="1089" spans="1:11" x14ac:dyDescent="0.25">
      <c r="A1089" s="6" t="s">
        <v>1514</v>
      </c>
      <c r="B1089" s="7" t="s">
        <v>13</v>
      </c>
      <c r="C1089" s="14" t="s">
        <v>234</v>
      </c>
      <c r="D1089" s="7" t="s">
        <v>149</v>
      </c>
      <c r="E1089" s="7" t="s">
        <v>16</v>
      </c>
      <c r="F1089" s="7"/>
      <c r="G1089" s="8">
        <v>2</v>
      </c>
      <c r="H1089" s="9">
        <v>59</v>
      </c>
      <c r="I1089" s="9">
        <v>0</v>
      </c>
      <c r="J1089" s="9">
        <f t="shared" si="28"/>
        <v>118</v>
      </c>
      <c r="K1089" s="7" t="s">
        <v>65</v>
      </c>
    </row>
    <row r="1090" spans="1:11" x14ac:dyDescent="0.25">
      <c r="A1090" s="2" t="s">
        <v>1515</v>
      </c>
      <c r="B1090" s="3" t="s">
        <v>41</v>
      </c>
      <c r="C1090" s="13" t="s">
        <v>1516</v>
      </c>
      <c r="D1090" s="3" t="s">
        <v>39</v>
      </c>
      <c r="E1090" s="3" t="s">
        <v>30</v>
      </c>
      <c r="F1090" s="3" t="s">
        <v>152</v>
      </c>
      <c r="G1090" s="4">
        <v>3</v>
      </c>
      <c r="H1090" s="5">
        <v>4500</v>
      </c>
      <c r="I1090" s="5">
        <v>309.22000000000003</v>
      </c>
      <c r="J1090" s="5">
        <f t="shared" si="28"/>
        <v>13190.78</v>
      </c>
      <c r="K1090" s="3" t="s">
        <v>65</v>
      </c>
    </row>
    <row r="1091" spans="1:11" x14ac:dyDescent="0.25">
      <c r="A1091" s="6" t="s">
        <v>1517</v>
      </c>
      <c r="B1091" s="7" t="s">
        <v>34</v>
      </c>
      <c r="C1091" s="14" t="s">
        <v>290</v>
      </c>
      <c r="D1091" s="7" t="s">
        <v>22</v>
      </c>
      <c r="E1091" s="7" t="s">
        <v>52</v>
      </c>
      <c r="F1091" s="7" t="s">
        <v>61</v>
      </c>
      <c r="G1091" s="8">
        <v>1</v>
      </c>
      <c r="H1091" s="9">
        <v>199</v>
      </c>
      <c r="I1091" s="9">
        <v>3.28</v>
      </c>
      <c r="J1091" s="9">
        <f t="shared" si="28"/>
        <v>195.72</v>
      </c>
      <c r="K1091" s="7" t="s">
        <v>25</v>
      </c>
    </row>
    <row r="1092" spans="1:11" x14ac:dyDescent="0.25">
      <c r="A1092" s="2" t="s">
        <v>1518</v>
      </c>
      <c r="B1092" s="3" t="s">
        <v>37</v>
      </c>
      <c r="C1092" s="13" t="s">
        <v>38</v>
      </c>
      <c r="D1092" s="3" t="s">
        <v>22</v>
      </c>
      <c r="E1092" s="3" t="s">
        <v>30</v>
      </c>
      <c r="F1092" s="3" t="s">
        <v>106</v>
      </c>
      <c r="G1092" s="4">
        <v>2</v>
      </c>
      <c r="H1092" s="5">
        <v>299</v>
      </c>
      <c r="I1092" s="5">
        <v>78.23</v>
      </c>
      <c r="J1092" s="5">
        <f t="shared" si="28"/>
        <v>519.77</v>
      </c>
      <c r="K1092" s="3" t="s">
        <v>44</v>
      </c>
    </row>
    <row r="1093" spans="1:11" x14ac:dyDescent="0.25">
      <c r="A1093" s="6" t="s">
        <v>1519</v>
      </c>
      <c r="B1093" s="7" t="s">
        <v>13</v>
      </c>
      <c r="C1093" s="14" t="s">
        <v>761</v>
      </c>
      <c r="D1093" s="7" t="s">
        <v>39</v>
      </c>
      <c r="E1093" s="7" t="s">
        <v>30</v>
      </c>
      <c r="F1093" s="7" t="s">
        <v>68</v>
      </c>
      <c r="G1093" s="8">
        <v>1</v>
      </c>
      <c r="H1093" s="9">
        <v>799</v>
      </c>
      <c r="I1093" s="9">
        <v>78.23</v>
      </c>
      <c r="J1093" s="9">
        <f t="shared" si="28"/>
        <v>720.77</v>
      </c>
      <c r="K1093" s="7" t="s">
        <v>32</v>
      </c>
    </row>
    <row r="1094" spans="1:11" x14ac:dyDescent="0.25">
      <c r="A1094" s="2" t="s">
        <v>1520</v>
      </c>
      <c r="B1094" s="3" t="s">
        <v>110</v>
      </c>
      <c r="C1094" s="13" t="s">
        <v>278</v>
      </c>
      <c r="D1094" s="3" t="s">
        <v>15</v>
      </c>
      <c r="E1094" s="3" t="s">
        <v>52</v>
      </c>
      <c r="F1094" s="3" t="s">
        <v>61</v>
      </c>
      <c r="G1094" s="4">
        <v>2</v>
      </c>
      <c r="H1094" s="5">
        <v>199</v>
      </c>
      <c r="I1094" s="5">
        <v>0</v>
      </c>
      <c r="J1094" s="5">
        <f t="shared" si="28"/>
        <v>398</v>
      </c>
      <c r="K1094" s="3" t="s">
        <v>44</v>
      </c>
    </row>
    <row r="1095" spans="1:11" x14ac:dyDescent="0.25">
      <c r="A1095" s="6" t="s">
        <v>1521</v>
      </c>
      <c r="B1095" s="7" t="s">
        <v>27</v>
      </c>
      <c r="C1095" s="14" t="s">
        <v>510</v>
      </c>
      <c r="D1095" s="7" t="s">
        <v>29</v>
      </c>
      <c r="E1095" s="7" t="s">
        <v>52</v>
      </c>
      <c r="F1095" s="7" t="s">
        <v>61</v>
      </c>
      <c r="G1095" s="8">
        <v>5</v>
      </c>
      <c r="H1095" s="9">
        <v>199</v>
      </c>
      <c r="I1095" s="9">
        <v>90.53</v>
      </c>
      <c r="J1095" s="9">
        <f t="shared" si="28"/>
        <v>904.47</v>
      </c>
      <c r="K1095" s="7" t="s">
        <v>25</v>
      </c>
    </row>
    <row r="1096" spans="1:11" x14ac:dyDescent="0.25">
      <c r="A1096" s="2" t="s">
        <v>1522</v>
      </c>
      <c r="B1096" s="3" t="s">
        <v>277</v>
      </c>
      <c r="C1096" s="13" t="s">
        <v>77</v>
      </c>
      <c r="D1096" s="3" t="s">
        <v>39</v>
      </c>
      <c r="E1096" s="3" t="s">
        <v>23</v>
      </c>
      <c r="F1096" s="3" t="s">
        <v>48</v>
      </c>
      <c r="G1096" s="4">
        <v>4</v>
      </c>
      <c r="H1096" s="5">
        <v>450</v>
      </c>
      <c r="I1096" s="5">
        <v>0</v>
      </c>
      <c r="J1096" s="5">
        <f t="shared" si="28"/>
        <v>1800</v>
      </c>
      <c r="K1096" s="3" t="s">
        <v>25</v>
      </c>
    </row>
    <row r="1097" spans="1:11" x14ac:dyDescent="0.25">
      <c r="A1097" s="6" t="s">
        <v>1523</v>
      </c>
      <c r="B1097" s="7" t="s">
        <v>95</v>
      </c>
      <c r="C1097" s="14" t="s">
        <v>516</v>
      </c>
      <c r="D1097" s="7" t="s">
        <v>29</v>
      </c>
      <c r="E1097" s="7" t="s">
        <v>16</v>
      </c>
      <c r="F1097" s="7" t="s">
        <v>17</v>
      </c>
      <c r="G1097" s="8">
        <v>2</v>
      </c>
      <c r="H1097" s="9">
        <v>39</v>
      </c>
      <c r="I1097" s="9">
        <v>9.3699999999999992</v>
      </c>
      <c r="J1097" s="9">
        <f t="shared" si="28"/>
        <v>68.63</v>
      </c>
      <c r="K1097" s="7" t="s">
        <v>25</v>
      </c>
    </row>
    <row r="1098" spans="1:11" x14ac:dyDescent="0.25">
      <c r="A1098" s="2" t="s">
        <v>1524</v>
      </c>
      <c r="B1098" s="3" t="s">
        <v>37</v>
      </c>
      <c r="C1098" s="13" t="s">
        <v>220</v>
      </c>
      <c r="D1098" s="3" t="s">
        <v>47</v>
      </c>
      <c r="E1098" s="3" t="s">
        <v>52</v>
      </c>
      <c r="F1098" s="3" t="s">
        <v>61</v>
      </c>
      <c r="G1098" s="4">
        <v>1</v>
      </c>
      <c r="H1098" s="5">
        <v>199</v>
      </c>
      <c r="I1098" s="5">
        <v>28.61</v>
      </c>
      <c r="J1098" s="5">
        <f t="shared" si="28"/>
        <v>170.39</v>
      </c>
      <c r="K1098" s="3" t="s">
        <v>18</v>
      </c>
    </row>
    <row r="1099" spans="1:11" x14ac:dyDescent="0.25">
      <c r="A1099" s="6" t="s">
        <v>1525</v>
      </c>
      <c r="B1099" s="7" t="s">
        <v>71</v>
      </c>
      <c r="C1099" s="14" t="s">
        <v>298</v>
      </c>
      <c r="D1099" s="7" t="s">
        <v>15</v>
      </c>
      <c r="E1099" s="7" t="s">
        <v>23</v>
      </c>
      <c r="F1099" s="7" t="s">
        <v>24</v>
      </c>
      <c r="G1099" s="8">
        <v>5</v>
      </c>
      <c r="H1099" s="9">
        <v>180</v>
      </c>
      <c r="I1099" s="9">
        <v>15.58</v>
      </c>
      <c r="J1099" s="9">
        <f t="shared" si="28"/>
        <v>884.42</v>
      </c>
      <c r="K1099" s="7" t="s">
        <v>32</v>
      </c>
    </row>
    <row r="1100" spans="1:11" x14ac:dyDescent="0.25">
      <c r="A1100" s="2" t="s">
        <v>1526</v>
      </c>
      <c r="B1100" s="3" t="s">
        <v>71</v>
      </c>
      <c r="C1100" s="13" t="s">
        <v>151</v>
      </c>
      <c r="D1100" s="3" t="s">
        <v>47</v>
      </c>
      <c r="E1100" s="3" t="s">
        <v>16</v>
      </c>
      <c r="F1100" s="3" t="s">
        <v>78</v>
      </c>
      <c r="G1100" s="4">
        <v>2</v>
      </c>
      <c r="H1100" s="5">
        <v>59</v>
      </c>
      <c r="I1100" s="5">
        <v>0</v>
      </c>
      <c r="J1100" s="5">
        <f t="shared" si="28"/>
        <v>118</v>
      </c>
      <c r="K1100" s="3" t="s">
        <v>49</v>
      </c>
    </row>
    <row r="1101" spans="1:11" x14ac:dyDescent="0.25">
      <c r="A1101" s="6" t="s">
        <v>1527</v>
      </c>
      <c r="B1101" s="7" t="s">
        <v>101</v>
      </c>
      <c r="C1101" s="14" t="s">
        <v>664</v>
      </c>
      <c r="D1101" s="7" t="s">
        <v>47</v>
      </c>
      <c r="E1101" s="7" t="s">
        <v>23</v>
      </c>
      <c r="F1101" s="7" t="s">
        <v>24</v>
      </c>
      <c r="G1101" s="8">
        <v>5</v>
      </c>
      <c r="H1101" s="9">
        <v>180</v>
      </c>
      <c r="I1101" s="9">
        <v>0</v>
      </c>
      <c r="J1101" s="9">
        <f t="shared" si="28"/>
        <v>900</v>
      </c>
      <c r="K1101" s="7" t="s">
        <v>89</v>
      </c>
    </row>
    <row r="1102" spans="1:11" x14ac:dyDescent="0.25">
      <c r="A1102" s="2" t="s">
        <v>1528</v>
      </c>
      <c r="B1102" s="3" t="s">
        <v>34</v>
      </c>
      <c r="C1102" s="13" t="s">
        <v>85</v>
      </c>
      <c r="D1102" s="3" t="s">
        <v>29</v>
      </c>
      <c r="E1102" s="3" t="s">
        <v>30</v>
      </c>
      <c r="F1102" s="3" t="s">
        <v>68</v>
      </c>
      <c r="G1102" s="4">
        <v>4</v>
      </c>
      <c r="H1102" s="5">
        <v>799</v>
      </c>
      <c r="I1102" s="5">
        <v>0</v>
      </c>
      <c r="J1102" s="5">
        <f t="shared" si="28"/>
        <v>3196</v>
      </c>
      <c r="K1102" s="3" t="s">
        <v>89</v>
      </c>
    </row>
    <row r="1103" spans="1:11" x14ac:dyDescent="0.25">
      <c r="A1103" s="6" t="s">
        <v>1529</v>
      </c>
      <c r="B1103" s="7" t="s">
        <v>55</v>
      </c>
      <c r="C1103" s="14" t="s">
        <v>433</v>
      </c>
      <c r="D1103" s="7" t="s">
        <v>39</v>
      </c>
      <c r="E1103" s="7" t="s">
        <v>30</v>
      </c>
      <c r="F1103" s="7" t="s">
        <v>152</v>
      </c>
      <c r="G1103" s="8">
        <v>5</v>
      </c>
      <c r="H1103" s="9">
        <v>4500</v>
      </c>
      <c r="I1103" s="9">
        <v>0</v>
      </c>
      <c r="J1103" s="9">
        <f t="shared" si="28"/>
        <v>22500</v>
      </c>
      <c r="K1103" s="7" t="s">
        <v>69</v>
      </c>
    </row>
    <row r="1104" spans="1:11" x14ac:dyDescent="0.25">
      <c r="A1104" s="2" t="s">
        <v>1530</v>
      </c>
      <c r="B1104" s="3" t="s">
        <v>27</v>
      </c>
      <c r="C1104" s="13" t="s">
        <v>401</v>
      </c>
      <c r="D1104" s="3" t="s">
        <v>15</v>
      </c>
      <c r="E1104" s="3" t="s">
        <v>16</v>
      </c>
      <c r="F1104" s="3" t="s">
        <v>78</v>
      </c>
      <c r="G1104" s="4">
        <v>5</v>
      </c>
      <c r="H1104" s="5">
        <v>59</v>
      </c>
      <c r="I1104" s="5">
        <v>25.77</v>
      </c>
      <c r="J1104" s="5">
        <f t="shared" si="28"/>
        <v>269.23</v>
      </c>
      <c r="K1104" s="3" t="s">
        <v>32</v>
      </c>
    </row>
    <row r="1105" spans="1:11" x14ac:dyDescent="0.25">
      <c r="A1105" s="6" t="s">
        <v>1531</v>
      </c>
      <c r="B1105" s="7" t="s">
        <v>71</v>
      </c>
      <c r="C1105" s="14" t="s">
        <v>549</v>
      </c>
      <c r="D1105" s="7" t="s">
        <v>22</v>
      </c>
      <c r="E1105" s="7" t="s">
        <v>23</v>
      </c>
      <c r="F1105" s="7" t="s">
        <v>88</v>
      </c>
      <c r="G1105" s="8">
        <v>3</v>
      </c>
      <c r="H1105" s="9">
        <v>650</v>
      </c>
      <c r="I1105" s="9">
        <v>78.45</v>
      </c>
      <c r="J1105" s="9">
        <f t="shared" si="28"/>
        <v>1871.55</v>
      </c>
      <c r="K1105" s="7" t="s">
        <v>49</v>
      </c>
    </row>
    <row r="1106" spans="1:11" x14ac:dyDescent="0.25">
      <c r="A1106" s="2" t="s">
        <v>1532</v>
      </c>
      <c r="B1106" s="3" t="s">
        <v>55</v>
      </c>
      <c r="C1106" s="13" t="s">
        <v>60</v>
      </c>
      <c r="D1106" s="3" t="s">
        <v>47</v>
      </c>
      <c r="E1106" s="3" t="s">
        <v>52</v>
      </c>
      <c r="F1106" s="3" t="s">
        <v>61</v>
      </c>
      <c r="G1106" s="4">
        <v>3</v>
      </c>
      <c r="H1106" s="5">
        <v>199</v>
      </c>
      <c r="I1106" s="5">
        <v>17.41</v>
      </c>
      <c r="J1106" s="5">
        <f t="shared" si="28"/>
        <v>579.59</v>
      </c>
      <c r="K1106" s="3" t="s">
        <v>44</v>
      </c>
    </row>
    <row r="1107" spans="1:11" x14ac:dyDescent="0.25">
      <c r="A1107" s="6" t="s">
        <v>1533</v>
      </c>
      <c r="B1107" s="7" t="s">
        <v>20</v>
      </c>
      <c r="C1107" s="14" t="s">
        <v>223</v>
      </c>
      <c r="D1107" s="7" t="s">
        <v>29</v>
      </c>
      <c r="E1107" s="7" t="s">
        <v>23</v>
      </c>
      <c r="F1107" s="7" t="s">
        <v>48</v>
      </c>
      <c r="G1107" s="8">
        <v>3</v>
      </c>
      <c r="H1107" s="9">
        <v>450</v>
      </c>
      <c r="I1107" s="9">
        <v>0</v>
      </c>
      <c r="J1107" s="9">
        <f t="shared" si="28"/>
        <v>1350</v>
      </c>
      <c r="K1107" s="7" t="s">
        <v>65</v>
      </c>
    </row>
    <row r="1108" spans="1:11" x14ac:dyDescent="0.25">
      <c r="A1108" s="2" t="s">
        <v>1534</v>
      </c>
      <c r="B1108" s="3" t="s">
        <v>41</v>
      </c>
      <c r="C1108" s="13" t="s">
        <v>599</v>
      </c>
      <c r="D1108" s="3" t="s">
        <v>47</v>
      </c>
      <c r="E1108" s="3" t="s">
        <v>52</v>
      </c>
      <c r="F1108" s="3" t="s">
        <v>75</v>
      </c>
      <c r="G1108" s="4">
        <v>3</v>
      </c>
      <c r="H1108" s="5">
        <v>249</v>
      </c>
      <c r="I1108" s="5">
        <v>42.46</v>
      </c>
      <c r="J1108" s="5">
        <f t="shared" si="28"/>
        <v>704.54</v>
      </c>
      <c r="K1108" s="3" t="s">
        <v>44</v>
      </c>
    </row>
    <row r="1109" spans="1:11" x14ac:dyDescent="0.25">
      <c r="A1109" s="6" t="s">
        <v>1535</v>
      </c>
      <c r="B1109" s="7" t="s">
        <v>55</v>
      </c>
      <c r="C1109" s="14" t="s">
        <v>497</v>
      </c>
      <c r="D1109" s="7" t="s">
        <v>22</v>
      </c>
      <c r="E1109" s="7" t="s">
        <v>16</v>
      </c>
      <c r="F1109" s="7" t="s">
        <v>103</v>
      </c>
      <c r="G1109" s="8">
        <v>3</v>
      </c>
      <c r="H1109" s="9">
        <v>89</v>
      </c>
      <c r="I1109" s="9">
        <v>0</v>
      </c>
      <c r="J1109" s="9">
        <f t="shared" si="28"/>
        <v>267</v>
      </c>
      <c r="K1109" s="7" t="s">
        <v>65</v>
      </c>
    </row>
    <row r="1110" spans="1:11" x14ac:dyDescent="0.25">
      <c r="A1110" s="2" t="s">
        <v>1536</v>
      </c>
      <c r="B1110" s="3" t="s">
        <v>110</v>
      </c>
      <c r="C1110" s="13" t="s">
        <v>638</v>
      </c>
      <c r="D1110" s="3" t="s">
        <v>22</v>
      </c>
      <c r="E1110" s="3" t="s">
        <v>23</v>
      </c>
      <c r="F1110" s="3" t="s">
        <v>88</v>
      </c>
      <c r="G1110" s="4">
        <v>2</v>
      </c>
      <c r="H1110" s="5">
        <v>650</v>
      </c>
      <c r="I1110" s="5">
        <v>5.84</v>
      </c>
      <c r="J1110" s="5">
        <f t="shared" si="28"/>
        <v>1294.1600000000001</v>
      </c>
      <c r="K1110" s="3" t="s">
        <v>65</v>
      </c>
    </row>
    <row r="1111" spans="1:11" x14ac:dyDescent="0.25">
      <c r="A1111" s="6" t="s">
        <v>1537</v>
      </c>
      <c r="B1111" s="7" t="s">
        <v>13</v>
      </c>
      <c r="C1111" s="14" t="s">
        <v>288</v>
      </c>
      <c r="D1111" s="7" t="s">
        <v>47</v>
      </c>
      <c r="E1111" s="7" t="s">
        <v>30</v>
      </c>
      <c r="F1111" s="7" t="s">
        <v>31</v>
      </c>
      <c r="G1111" s="8">
        <v>5</v>
      </c>
      <c r="H1111" s="9">
        <v>2500</v>
      </c>
      <c r="I1111" s="9">
        <v>0</v>
      </c>
      <c r="J1111" s="9">
        <f t="shared" si="28"/>
        <v>12500</v>
      </c>
      <c r="K1111" s="7" t="s">
        <v>69</v>
      </c>
    </row>
    <row r="1112" spans="1:11" x14ac:dyDescent="0.25">
      <c r="A1112" s="2" t="s">
        <v>1538</v>
      </c>
      <c r="B1112" s="3" t="s">
        <v>101</v>
      </c>
      <c r="C1112" s="13" t="s">
        <v>307</v>
      </c>
      <c r="D1112" s="3" t="s">
        <v>15</v>
      </c>
      <c r="E1112" s="3" t="s">
        <v>16</v>
      </c>
      <c r="F1112" s="3" t="s">
        <v>103</v>
      </c>
      <c r="G1112" s="4">
        <v>2</v>
      </c>
      <c r="H1112" s="5">
        <v>89</v>
      </c>
      <c r="I1112" s="5">
        <v>12.85</v>
      </c>
      <c r="J1112" s="5">
        <f t="shared" si="28"/>
        <v>165.15</v>
      </c>
      <c r="K1112" s="3" t="s">
        <v>18</v>
      </c>
    </row>
    <row r="1113" spans="1:11" x14ac:dyDescent="0.25">
      <c r="A1113" s="6" t="s">
        <v>1539</v>
      </c>
      <c r="B1113" s="7" t="s">
        <v>101</v>
      </c>
      <c r="C1113" s="14" t="s">
        <v>126</v>
      </c>
      <c r="D1113" s="7" t="s">
        <v>22</v>
      </c>
      <c r="E1113" s="7" t="s">
        <v>30</v>
      </c>
      <c r="F1113" s="7" t="s">
        <v>106</v>
      </c>
      <c r="G1113" s="8">
        <v>4</v>
      </c>
      <c r="H1113" s="9">
        <v>299</v>
      </c>
      <c r="I1113" s="9">
        <v>151.35</v>
      </c>
      <c r="J1113" s="9">
        <f t="shared" si="28"/>
        <v>1044.6500000000001</v>
      </c>
      <c r="K1113" s="7" t="s">
        <v>18</v>
      </c>
    </row>
    <row r="1114" spans="1:11" x14ac:dyDescent="0.25">
      <c r="A1114" s="2" t="s">
        <v>1540</v>
      </c>
      <c r="B1114" s="3" t="s">
        <v>41</v>
      </c>
      <c r="C1114" s="13" t="s">
        <v>98</v>
      </c>
      <c r="D1114" s="3" t="s">
        <v>22</v>
      </c>
      <c r="E1114" s="3" t="s">
        <v>30</v>
      </c>
      <c r="F1114" s="3" t="s">
        <v>106</v>
      </c>
      <c r="G1114" s="4">
        <v>1</v>
      </c>
      <c r="H1114" s="5">
        <v>299</v>
      </c>
      <c r="I1114" s="5">
        <v>22.48</v>
      </c>
      <c r="J1114" s="5">
        <f t="shared" si="28"/>
        <v>276.52</v>
      </c>
      <c r="K1114" s="3" t="s">
        <v>44</v>
      </c>
    </row>
    <row r="1115" spans="1:11" x14ac:dyDescent="0.25">
      <c r="A1115" s="6" t="s">
        <v>1541</v>
      </c>
      <c r="B1115" s="7" t="s">
        <v>34</v>
      </c>
      <c r="C1115" s="14" t="s">
        <v>1542</v>
      </c>
      <c r="D1115" s="7" t="s">
        <v>39</v>
      </c>
      <c r="E1115" s="7" t="s">
        <v>23</v>
      </c>
      <c r="F1115" s="7" t="s">
        <v>88</v>
      </c>
      <c r="G1115" s="8">
        <v>5</v>
      </c>
      <c r="H1115" s="9">
        <v>650</v>
      </c>
      <c r="I1115" s="9">
        <v>351.53</v>
      </c>
      <c r="J1115" s="9">
        <f t="shared" si="28"/>
        <v>2898.4700000000003</v>
      </c>
      <c r="K1115" s="7" t="s">
        <v>49</v>
      </c>
    </row>
    <row r="1116" spans="1:11" x14ac:dyDescent="0.25">
      <c r="A1116" s="2" t="s">
        <v>1543</v>
      </c>
      <c r="B1116" s="3" t="s">
        <v>41</v>
      </c>
      <c r="C1116" s="13" t="s">
        <v>190</v>
      </c>
      <c r="D1116" s="3" t="s">
        <v>15</v>
      </c>
      <c r="E1116" s="3" t="s">
        <v>23</v>
      </c>
      <c r="F1116" s="3" t="s">
        <v>48</v>
      </c>
      <c r="G1116" s="4">
        <v>3</v>
      </c>
      <c r="H1116" s="5">
        <v>450</v>
      </c>
      <c r="I1116" s="5">
        <v>0</v>
      </c>
      <c r="J1116" s="5">
        <f t="shared" si="28"/>
        <v>1350</v>
      </c>
      <c r="K1116" s="3" t="s">
        <v>65</v>
      </c>
    </row>
    <row r="1117" spans="1:11" x14ac:dyDescent="0.25">
      <c r="A1117" s="6" t="s">
        <v>1544</v>
      </c>
      <c r="B1117" s="7" t="s">
        <v>63</v>
      </c>
      <c r="C1117" s="14" t="s">
        <v>684</v>
      </c>
      <c r="D1117" s="7" t="s">
        <v>22</v>
      </c>
      <c r="E1117" s="7" t="s">
        <v>30</v>
      </c>
      <c r="F1117" s="7" t="s">
        <v>106</v>
      </c>
      <c r="G1117" s="8">
        <v>1</v>
      </c>
      <c r="H1117" s="9">
        <v>299</v>
      </c>
      <c r="I1117" s="9">
        <v>0</v>
      </c>
      <c r="J1117" s="9">
        <f t="shared" si="28"/>
        <v>299</v>
      </c>
      <c r="K1117" s="7" t="s">
        <v>32</v>
      </c>
    </row>
    <row r="1118" spans="1:11" x14ac:dyDescent="0.25">
      <c r="A1118" s="2" t="s">
        <v>1545</v>
      </c>
      <c r="B1118" s="3" t="s">
        <v>37</v>
      </c>
      <c r="C1118" s="13" t="s">
        <v>275</v>
      </c>
      <c r="D1118" s="3" t="s">
        <v>15</v>
      </c>
      <c r="E1118" s="3" t="s">
        <v>30</v>
      </c>
      <c r="F1118" s="3" t="s">
        <v>68</v>
      </c>
      <c r="G1118" s="4">
        <v>5</v>
      </c>
      <c r="H1118" s="5">
        <v>799</v>
      </c>
      <c r="I1118" s="5">
        <v>306.52999999999997</v>
      </c>
      <c r="J1118" s="5">
        <f t="shared" si="28"/>
        <v>3688.4700000000003</v>
      </c>
      <c r="K1118" s="3" t="s">
        <v>32</v>
      </c>
    </row>
    <row r="1119" spans="1:11" x14ac:dyDescent="0.25">
      <c r="A1119" s="6" t="s">
        <v>1546</v>
      </c>
      <c r="B1119" s="7" t="s">
        <v>37</v>
      </c>
      <c r="C1119" s="14" t="s">
        <v>539</v>
      </c>
      <c r="D1119" s="7" t="s">
        <v>29</v>
      </c>
      <c r="E1119" s="7" t="s">
        <v>23</v>
      </c>
      <c r="F1119" s="7" t="s">
        <v>43</v>
      </c>
      <c r="G1119" s="8">
        <v>3</v>
      </c>
      <c r="H1119" s="9">
        <v>350</v>
      </c>
      <c r="I1119" s="9">
        <v>0</v>
      </c>
      <c r="J1119" s="9">
        <f t="shared" si="28"/>
        <v>1050</v>
      </c>
      <c r="K1119" s="7" t="s">
        <v>18</v>
      </c>
    </row>
    <row r="1120" spans="1:11" x14ac:dyDescent="0.25">
      <c r="A1120" s="2" t="s">
        <v>1547</v>
      </c>
      <c r="B1120" s="3" t="s">
        <v>34</v>
      </c>
      <c r="C1120" s="13" t="s">
        <v>309</v>
      </c>
      <c r="D1120" s="3" t="s">
        <v>39</v>
      </c>
      <c r="E1120" s="3" t="s">
        <v>23</v>
      </c>
      <c r="F1120" s="3" t="s">
        <v>43</v>
      </c>
      <c r="G1120" s="4">
        <v>2</v>
      </c>
      <c r="H1120" s="5">
        <v>350</v>
      </c>
      <c r="I1120" s="5">
        <v>71.319999999999993</v>
      </c>
      <c r="J1120" s="5">
        <f t="shared" si="28"/>
        <v>628.68000000000006</v>
      </c>
      <c r="K1120" s="3" t="s">
        <v>49</v>
      </c>
    </row>
    <row r="1121" spans="1:11" x14ac:dyDescent="0.25">
      <c r="A1121" s="6" t="s">
        <v>1548</v>
      </c>
      <c r="B1121" s="7" t="s">
        <v>20</v>
      </c>
      <c r="C1121" s="14" t="s">
        <v>1265</v>
      </c>
      <c r="D1121" s="7" t="s">
        <v>29</v>
      </c>
      <c r="E1121" s="7" t="s">
        <v>52</v>
      </c>
      <c r="F1121" s="7" t="s">
        <v>61</v>
      </c>
      <c r="G1121" s="8">
        <v>5</v>
      </c>
      <c r="H1121" s="9">
        <v>199</v>
      </c>
      <c r="I1121" s="9">
        <v>0</v>
      </c>
      <c r="J1121" s="9">
        <f t="shared" si="28"/>
        <v>995</v>
      </c>
      <c r="K1121" s="7" t="s">
        <v>65</v>
      </c>
    </row>
    <row r="1122" spans="1:11" x14ac:dyDescent="0.25">
      <c r="A1122" s="2" t="s">
        <v>1549</v>
      </c>
      <c r="B1122" s="3" t="s">
        <v>95</v>
      </c>
      <c r="C1122" s="13" t="s">
        <v>909</v>
      </c>
      <c r="D1122" s="3" t="s">
        <v>29</v>
      </c>
      <c r="E1122" s="3" t="s">
        <v>23</v>
      </c>
      <c r="F1122" s="3" t="s">
        <v>24</v>
      </c>
      <c r="G1122" s="4">
        <v>4</v>
      </c>
      <c r="H1122" s="5">
        <v>180</v>
      </c>
      <c r="I1122" s="5">
        <v>0</v>
      </c>
      <c r="J1122" s="5">
        <f t="shared" si="28"/>
        <v>720</v>
      </c>
      <c r="K1122" s="3" t="s">
        <v>32</v>
      </c>
    </row>
    <row r="1123" spans="1:11" x14ac:dyDescent="0.25">
      <c r="A1123" s="6" t="s">
        <v>1550</v>
      </c>
      <c r="B1123" s="7" t="s">
        <v>41</v>
      </c>
      <c r="C1123" s="14" t="s">
        <v>93</v>
      </c>
      <c r="D1123" s="7" t="s">
        <v>47</v>
      </c>
      <c r="E1123" s="7" t="s">
        <v>52</v>
      </c>
      <c r="F1123" s="7" t="s">
        <v>99</v>
      </c>
      <c r="G1123" s="8">
        <v>3</v>
      </c>
      <c r="H1123" s="9">
        <v>79</v>
      </c>
      <c r="I1123" s="9">
        <v>8.58</v>
      </c>
      <c r="J1123" s="9">
        <f t="shared" si="28"/>
        <v>228.42</v>
      </c>
      <c r="K1123" s="7" t="s">
        <v>69</v>
      </c>
    </row>
    <row r="1124" spans="1:11" x14ac:dyDescent="0.25">
      <c r="A1124" s="2" t="s">
        <v>1551</v>
      </c>
      <c r="B1124" s="3" t="s">
        <v>55</v>
      </c>
      <c r="C1124" s="13" t="s">
        <v>355</v>
      </c>
      <c r="D1124" s="3" t="s">
        <v>47</v>
      </c>
      <c r="E1124" s="3" t="s">
        <v>30</v>
      </c>
      <c r="F1124" s="3" t="s">
        <v>31</v>
      </c>
      <c r="G1124" s="4">
        <v>1</v>
      </c>
      <c r="H1124" s="5">
        <v>2500</v>
      </c>
      <c r="I1124" s="5">
        <v>0</v>
      </c>
      <c r="J1124" s="5">
        <f t="shared" si="28"/>
        <v>2500</v>
      </c>
      <c r="K1124" s="3" t="s">
        <v>69</v>
      </c>
    </row>
    <row r="1125" spans="1:11" x14ac:dyDescent="0.25">
      <c r="A1125" s="6" t="s">
        <v>1552</v>
      </c>
      <c r="B1125" s="7" t="s">
        <v>13</v>
      </c>
      <c r="C1125" s="14" t="s">
        <v>1553</v>
      </c>
      <c r="D1125" s="7" t="s">
        <v>15</v>
      </c>
      <c r="E1125" s="7" t="s">
        <v>52</v>
      </c>
      <c r="F1125" s="7" t="s">
        <v>61</v>
      </c>
      <c r="G1125" s="8">
        <v>1</v>
      </c>
      <c r="H1125" s="9">
        <v>199</v>
      </c>
      <c r="I1125" s="9">
        <v>0</v>
      </c>
      <c r="J1125" s="9">
        <f t="shared" si="28"/>
        <v>199</v>
      </c>
      <c r="K1125" s="7" t="s">
        <v>89</v>
      </c>
    </row>
    <row r="1126" spans="1:11" x14ac:dyDescent="0.25">
      <c r="A1126" s="2" t="s">
        <v>1554</v>
      </c>
      <c r="B1126" s="3" t="s">
        <v>101</v>
      </c>
      <c r="C1126" s="13" t="s">
        <v>1555</v>
      </c>
      <c r="D1126" s="3" t="s">
        <v>15</v>
      </c>
      <c r="E1126" s="3" t="s">
        <v>16</v>
      </c>
      <c r="F1126" s="3" t="s">
        <v>116</v>
      </c>
      <c r="G1126" s="4">
        <v>4</v>
      </c>
      <c r="H1126" s="5">
        <v>45</v>
      </c>
      <c r="I1126" s="5">
        <v>0</v>
      </c>
      <c r="J1126" s="5">
        <f t="shared" si="28"/>
        <v>180</v>
      </c>
      <c r="K1126" s="3" t="s">
        <v>89</v>
      </c>
    </row>
    <row r="1127" spans="1:11" x14ac:dyDescent="0.25">
      <c r="A1127" s="6" t="s">
        <v>1556</v>
      </c>
      <c r="B1127" s="7" t="s">
        <v>37</v>
      </c>
      <c r="C1127" s="14" t="s">
        <v>72</v>
      </c>
      <c r="D1127" s="7" t="s">
        <v>39</v>
      </c>
      <c r="E1127" s="7" t="s">
        <v>23</v>
      </c>
      <c r="F1127" s="7" t="s">
        <v>24</v>
      </c>
      <c r="G1127" s="8">
        <v>4</v>
      </c>
      <c r="H1127" s="9">
        <v>180</v>
      </c>
      <c r="I1127" s="9">
        <v>0</v>
      </c>
      <c r="J1127" s="9">
        <f t="shared" si="28"/>
        <v>720</v>
      </c>
      <c r="K1127" s="7" t="s">
        <v>32</v>
      </c>
    </row>
    <row r="1128" spans="1:11" x14ac:dyDescent="0.25">
      <c r="A1128" s="2" t="s">
        <v>1557</v>
      </c>
      <c r="B1128" s="3" t="s">
        <v>34</v>
      </c>
      <c r="C1128" s="13" t="s">
        <v>488</v>
      </c>
      <c r="D1128" s="3" t="s">
        <v>29</v>
      </c>
      <c r="E1128" s="3" t="s">
        <v>23</v>
      </c>
      <c r="F1128" s="3" t="s">
        <v>43</v>
      </c>
      <c r="G1128" s="4">
        <v>5</v>
      </c>
      <c r="H1128" s="5">
        <v>350</v>
      </c>
      <c r="I1128" s="5">
        <v>0.28999999999999998</v>
      </c>
      <c r="J1128" s="5">
        <f t="shared" si="28"/>
        <v>1749.71</v>
      </c>
      <c r="K1128" s="3" t="s">
        <v>25</v>
      </c>
    </row>
    <row r="1129" spans="1:11" x14ac:dyDescent="0.25">
      <c r="A1129" s="6" t="s">
        <v>1558</v>
      </c>
      <c r="B1129" s="7" t="s">
        <v>55</v>
      </c>
      <c r="C1129" s="14" t="s">
        <v>1516</v>
      </c>
      <c r="D1129" s="7" t="s">
        <v>22</v>
      </c>
      <c r="E1129" s="7" t="s">
        <v>52</v>
      </c>
      <c r="F1129" s="7" t="s">
        <v>75</v>
      </c>
      <c r="G1129" s="8">
        <v>4</v>
      </c>
      <c r="H1129" s="9">
        <v>249</v>
      </c>
      <c r="I1129" s="9">
        <v>85.77</v>
      </c>
      <c r="J1129" s="9">
        <f t="shared" si="28"/>
        <v>910.23</v>
      </c>
      <c r="K1129" s="7" t="s">
        <v>44</v>
      </c>
    </row>
    <row r="1130" spans="1:11" x14ac:dyDescent="0.25">
      <c r="A1130" s="2" t="s">
        <v>1559</v>
      </c>
      <c r="B1130" s="3" t="s">
        <v>20</v>
      </c>
      <c r="C1130" s="13" t="s">
        <v>756</v>
      </c>
      <c r="D1130" s="3" t="s">
        <v>22</v>
      </c>
      <c r="E1130" s="3" t="s">
        <v>16</v>
      </c>
      <c r="F1130" s="3" t="s">
        <v>78</v>
      </c>
      <c r="G1130" s="4">
        <v>2</v>
      </c>
      <c r="H1130" s="5">
        <v>59</v>
      </c>
      <c r="I1130" s="5">
        <v>9.93</v>
      </c>
      <c r="J1130" s="5">
        <f t="shared" si="28"/>
        <v>108.07</v>
      </c>
      <c r="K1130" s="3" t="s">
        <v>44</v>
      </c>
    </row>
    <row r="1131" spans="1:11" x14ac:dyDescent="0.25">
      <c r="A1131" s="6" t="s">
        <v>1560</v>
      </c>
      <c r="B1131" s="7" t="s">
        <v>95</v>
      </c>
      <c r="C1131" s="14" t="s">
        <v>716</v>
      </c>
      <c r="D1131" s="7" t="s">
        <v>15</v>
      </c>
      <c r="E1131" s="7" t="s">
        <v>30</v>
      </c>
      <c r="F1131" s="7" t="s">
        <v>68</v>
      </c>
      <c r="G1131" s="8">
        <v>4</v>
      </c>
      <c r="H1131" s="9">
        <v>799</v>
      </c>
      <c r="I1131" s="9">
        <v>385.99</v>
      </c>
      <c r="J1131" s="9">
        <f t="shared" si="28"/>
        <v>2810.01</v>
      </c>
      <c r="K1131" s="7" t="s">
        <v>25</v>
      </c>
    </row>
    <row r="1132" spans="1:11" x14ac:dyDescent="0.25">
      <c r="A1132" s="2" t="s">
        <v>1561</v>
      </c>
      <c r="B1132" s="3" t="s">
        <v>37</v>
      </c>
      <c r="C1132" s="13" t="s">
        <v>239</v>
      </c>
      <c r="D1132" s="3" t="s">
        <v>47</v>
      </c>
      <c r="E1132" s="3" t="s">
        <v>52</v>
      </c>
      <c r="F1132" s="3" t="s">
        <v>61</v>
      </c>
      <c r="G1132" s="4">
        <v>1</v>
      </c>
      <c r="H1132" s="5">
        <v>199</v>
      </c>
      <c r="I1132" s="5">
        <v>13.39</v>
      </c>
      <c r="J1132" s="5">
        <f t="shared" si="28"/>
        <v>185.61</v>
      </c>
      <c r="K1132" s="3" t="s">
        <v>69</v>
      </c>
    </row>
    <row r="1133" spans="1:11" x14ac:dyDescent="0.25">
      <c r="A1133" s="6" t="s">
        <v>1562</v>
      </c>
      <c r="B1133" s="7" t="s">
        <v>101</v>
      </c>
      <c r="C1133" s="14" t="s">
        <v>857</v>
      </c>
      <c r="D1133" s="7" t="s">
        <v>22</v>
      </c>
      <c r="E1133" s="7" t="s">
        <v>30</v>
      </c>
      <c r="F1133" s="7" t="s">
        <v>106</v>
      </c>
      <c r="G1133" s="8">
        <v>3</v>
      </c>
      <c r="H1133" s="9">
        <v>299</v>
      </c>
      <c r="I1133" s="9">
        <v>102.13</v>
      </c>
      <c r="J1133" s="9">
        <f t="shared" si="28"/>
        <v>794.87</v>
      </c>
      <c r="K1133" s="7" t="s">
        <v>49</v>
      </c>
    </row>
    <row r="1134" spans="1:11" x14ac:dyDescent="0.25">
      <c r="A1134" s="2" t="s">
        <v>1563</v>
      </c>
      <c r="B1134" s="3" t="s">
        <v>101</v>
      </c>
      <c r="C1134" s="13" t="s">
        <v>373</v>
      </c>
      <c r="D1134" s="3" t="s">
        <v>15</v>
      </c>
      <c r="E1134" s="3" t="s">
        <v>16</v>
      </c>
      <c r="F1134" s="3" t="s">
        <v>78</v>
      </c>
      <c r="G1134" s="4">
        <v>2</v>
      </c>
      <c r="H1134" s="5">
        <v>59</v>
      </c>
      <c r="I1134" s="5">
        <v>0.15</v>
      </c>
      <c r="J1134" s="5">
        <f t="shared" si="28"/>
        <v>117.85</v>
      </c>
      <c r="K1134" s="3" t="s">
        <v>69</v>
      </c>
    </row>
    <row r="1135" spans="1:11" x14ac:dyDescent="0.25">
      <c r="A1135" s="6" t="s">
        <v>1564</v>
      </c>
      <c r="B1135" s="7" t="s">
        <v>37</v>
      </c>
      <c r="C1135" s="14" t="s">
        <v>673</v>
      </c>
      <c r="D1135" s="7" t="s">
        <v>29</v>
      </c>
      <c r="E1135" s="7" t="s">
        <v>16</v>
      </c>
      <c r="F1135" s="7" t="s">
        <v>116</v>
      </c>
      <c r="G1135" s="8">
        <v>2</v>
      </c>
      <c r="H1135" s="9">
        <v>45</v>
      </c>
      <c r="I1135" s="9">
        <v>8.2899999999999991</v>
      </c>
      <c r="J1135" s="9">
        <f t="shared" si="28"/>
        <v>81.710000000000008</v>
      </c>
      <c r="K1135" s="7" t="s">
        <v>65</v>
      </c>
    </row>
    <row r="1136" spans="1:11" x14ac:dyDescent="0.25">
      <c r="A1136" s="2" t="s">
        <v>1565</v>
      </c>
      <c r="B1136" s="3" t="s">
        <v>95</v>
      </c>
      <c r="C1136" s="13" t="s">
        <v>74</v>
      </c>
      <c r="D1136" s="3" t="s">
        <v>22</v>
      </c>
      <c r="E1136" s="3" t="s">
        <v>23</v>
      </c>
      <c r="F1136" s="3" t="s">
        <v>88</v>
      </c>
      <c r="G1136" s="4">
        <v>3</v>
      </c>
      <c r="H1136" s="5">
        <v>650</v>
      </c>
      <c r="I1136" s="5">
        <v>163.33000000000001</v>
      </c>
      <c r="J1136" s="5">
        <f t="shared" si="28"/>
        <v>1786.67</v>
      </c>
      <c r="K1136" s="3" t="s">
        <v>25</v>
      </c>
    </row>
    <row r="1137" spans="1:11" x14ac:dyDescent="0.25">
      <c r="A1137" s="6" t="s">
        <v>1566</v>
      </c>
      <c r="B1137" s="7" t="s">
        <v>95</v>
      </c>
      <c r="C1137" s="14" t="s">
        <v>527</v>
      </c>
      <c r="D1137" s="7" t="s">
        <v>22</v>
      </c>
      <c r="E1137" s="7" t="s">
        <v>23</v>
      </c>
      <c r="F1137" s="7" t="s">
        <v>24</v>
      </c>
      <c r="G1137" s="8">
        <v>4</v>
      </c>
      <c r="H1137" s="9">
        <v>180</v>
      </c>
      <c r="I1137" s="9">
        <v>49.01</v>
      </c>
      <c r="J1137" s="9">
        <f t="shared" si="28"/>
        <v>670.99</v>
      </c>
      <c r="K1137" s="7" t="s">
        <v>89</v>
      </c>
    </row>
    <row r="1138" spans="1:11" x14ac:dyDescent="0.25">
      <c r="A1138" s="2" t="s">
        <v>1567</v>
      </c>
      <c r="B1138" s="3" t="s">
        <v>71</v>
      </c>
      <c r="C1138" s="13" t="s">
        <v>415</v>
      </c>
      <c r="D1138" s="3" t="s">
        <v>29</v>
      </c>
      <c r="E1138" s="3" t="s">
        <v>30</v>
      </c>
      <c r="F1138" s="3" t="s">
        <v>106</v>
      </c>
      <c r="G1138" s="4">
        <v>1</v>
      </c>
      <c r="H1138" s="5">
        <v>299</v>
      </c>
      <c r="I1138" s="5">
        <v>21.2</v>
      </c>
      <c r="J1138" s="5">
        <f t="shared" si="28"/>
        <v>277.8</v>
      </c>
      <c r="K1138" s="3" t="s">
        <v>69</v>
      </c>
    </row>
    <row r="1139" spans="1:11" x14ac:dyDescent="0.25">
      <c r="A1139" s="6" t="s">
        <v>1568</v>
      </c>
      <c r="B1139" s="7" t="s">
        <v>37</v>
      </c>
      <c r="C1139" s="14" t="s">
        <v>458</v>
      </c>
      <c r="D1139" s="7" t="s">
        <v>15</v>
      </c>
      <c r="E1139" s="7" t="s">
        <v>52</v>
      </c>
      <c r="F1139" s="7" t="s">
        <v>61</v>
      </c>
      <c r="G1139" s="8">
        <v>1</v>
      </c>
      <c r="H1139" s="9">
        <v>199</v>
      </c>
      <c r="I1139" s="9">
        <v>0</v>
      </c>
      <c r="J1139" s="9">
        <f t="shared" si="28"/>
        <v>199</v>
      </c>
      <c r="K1139" s="7" t="s">
        <v>44</v>
      </c>
    </row>
    <row r="1140" spans="1:11" x14ac:dyDescent="0.25">
      <c r="A1140" s="2" t="s">
        <v>1569</v>
      </c>
      <c r="B1140" s="3" t="s">
        <v>110</v>
      </c>
      <c r="C1140" s="13" t="s">
        <v>784</v>
      </c>
      <c r="D1140" s="3" t="s">
        <v>15</v>
      </c>
      <c r="E1140" s="3" t="s">
        <v>23</v>
      </c>
      <c r="F1140" s="3" t="s">
        <v>88</v>
      </c>
      <c r="G1140" s="4">
        <v>3</v>
      </c>
      <c r="H1140" s="5">
        <v>650</v>
      </c>
      <c r="I1140" s="5">
        <v>99.34</v>
      </c>
      <c r="J1140" s="5">
        <f t="shared" si="28"/>
        <v>1850.66</v>
      </c>
      <c r="K1140" s="3" t="s">
        <v>65</v>
      </c>
    </row>
    <row r="1141" spans="1:11" x14ac:dyDescent="0.25">
      <c r="A1141" s="6" t="s">
        <v>1570</v>
      </c>
      <c r="B1141" s="7" t="s">
        <v>110</v>
      </c>
      <c r="C1141" s="14" t="s">
        <v>146</v>
      </c>
      <c r="D1141" s="7" t="s">
        <v>39</v>
      </c>
      <c r="E1141" s="7" t="s">
        <v>52</v>
      </c>
      <c r="F1141" s="7" t="s">
        <v>75</v>
      </c>
      <c r="G1141" s="8">
        <v>2</v>
      </c>
      <c r="H1141" s="9">
        <v>249</v>
      </c>
      <c r="I1141" s="9">
        <v>0</v>
      </c>
      <c r="J1141" s="9">
        <f t="shared" si="28"/>
        <v>498</v>
      </c>
      <c r="K1141" s="7" t="s">
        <v>32</v>
      </c>
    </row>
    <row r="1142" spans="1:11" x14ac:dyDescent="0.25">
      <c r="A1142" s="2" t="s">
        <v>1571</v>
      </c>
      <c r="B1142" s="3" t="s">
        <v>63</v>
      </c>
      <c r="C1142" s="13" t="s">
        <v>499</v>
      </c>
      <c r="D1142" s="3" t="s">
        <v>47</v>
      </c>
      <c r="E1142" s="3" t="s">
        <v>30</v>
      </c>
      <c r="F1142" s="3" t="s">
        <v>68</v>
      </c>
      <c r="G1142" s="4">
        <v>5</v>
      </c>
      <c r="H1142" s="5">
        <v>799</v>
      </c>
      <c r="I1142" s="5">
        <v>0</v>
      </c>
      <c r="J1142" s="5">
        <f t="shared" si="28"/>
        <v>3995</v>
      </c>
      <c r="K1142" s="3" t="s">
        <v>44</v>
      </c>
    </row>
    <row r="1143" spans="1:11" x14ac:dyDescent="0.25">
      <c r="A1143" s="6" t="s">
        <v>1572</v>
      </c>
      <c r="B1143" s="7" t="s">
        <v>13</v>
      </c>
      <c r="C1143" s="14" t="s">
        <v>298</v>
      </c>
      <c r="D1143" s="7" t="s">
        <v>15</v>
      </c>
      <c r="E1143" s="7" t="s">
        <v>30</v>
      </c>
      <c r="F1143" s="7" t="s">
        <v>152</v>
      </c>
      <c r="G1143" s="8">
        <v>5</v>
      </c>
      <c r="H1143" s="9">
        <v>4500</v>
      </c>
      <c r="I1143" s="9">
        <v>3254.04</v>
      </c>
      <c r="J1143" s="9">
        <f t="shared" si="28"/>
        <v>19245.96</v>
      </c>
      <c r="K1143" s="7" t="s">
        <v>18</v>
      </c>
    </row>
    <row r="1144" spans="1:11" x14ac:dyDescent="0.25">
      <c r="A1144" s="2" t="s">
        <v>1573</v>
      </c>
      <c r="B1144" s="3" t="s">
        <v>13</v>
      </c>
      <c r="C1144" s="13" t="s">
        <v>1116</v>
      </c>
      <c r="D1144" s="3" t="s">
        <v>22</v>
      </c>
      <c r="E1144" s="3" t="s">
        <v>16</v>
      </c>
      <c r="F1144" s="3" t="s">
        <v>17</v>
      </c>
      <c r="G1144" s="4">
        <v>4</v>
      </c>
      <c r="H1144" s="5">
        <v>39</v>
      </c>
      <c r="I1144" s="5">
        <v>16.05</v>
      </c>
      <c r="J1144" s="5">
        <f t="shared" si="28"/>
        <v>139.94999999999999</v>
      </c>
      <c r="K1144" s="3" t="s">
        <v>18</v>
      </c>
    </row>
    <row r="1145" spans="1:11" x14ac:dyDescent="0.25">
      <c r="A1145" s="6" t="s">
        <v>1574</v>
      </c>
      <c r="B1145" s="7" t="s">
        <v>20</v>
      </c>
      <c r="C1145" s="14" t="s">
        <v>56</v>
      </c>
      <c r="D1145" s="7" t="s">
        <v>29</v>
      </c>
      <c r="E1145" s="7" t="s">
        <v>16</v>
      </c>
      <c r="F1145" s="7" t="s">
        <v>17</v>
      </c>
      <c r="G1145" s="8">
        <v>5</v>
      </c>
      <c r="H1145" s="9">
        <v>39</v>
      </c>
      <c r="I1145" s="9">
        <v>3.88</v>
      </c>
      <c r="J1145" s="9">
        <f t="shared" si="28"/>
        <v>191.12</v>
      </c>
      <c r="K1145" s="7" t="s">
        <v>25</v>
      </c>
    </row>
    <row r="1146" spans="1:11" x14ac:dyDescent="0.25">
      <c r="A1146" s="2" t="s">
        <v>1575</v>
      </c>
      <c r="B1146" s="3" t="s">
        <v>27</v>
      </c>
      <c r="C1146" s="13" t="s">
        <v>547</v>
      </c>
      <c r="D1146" s="3" t="s">
        <v>29</v>
      </c>
      <c r="E1146" s="3" t="s">
        <v>23</v>
      </c>
      <c r="F1146" s="3" t="s">
        <v>48</v>
      </c>
      <c r="G1146" s="4">
        <v>2</v>
      </c>
      <c r="H1146" s="5">
        <v>450</v>
      </c>
      <c r="I1146" s="5">
        <v>22.44</v>
      </c>
      <c r="J1146" s="5">
        <f t="shared" si="28"/>
        <v>877.56</v>
      </c>
      <c r="K1146" s="3" t="s">
        <v>25</v>
      </c>
    </row>
    <row r="1147" spans="1:11" x14ac:dyDescent="0.25">
      <c r="A1147" s="6" t="s">
        <v>1576</v>
      </c>
      <c r="B1147" s="7" t="s">
        <v>13</v>
      </c>
      <c r="C1147" s="14" t="s">
        <v>188</v>
      </c>
      <c r="D1147" s="7" t="s">
        <v>22</v>
      </c>
      <c r="E1147" s="7" t="s">
        <v>16</v>
      </c>
      <c r="F1147" s="7" t="s">
        <v>78</v>
      </c>
      <c r="G1147" s="8">
        <v>4</v>
      </c>
      <c r="H1147" s="9">
        <v>59</v>
      </c>
      <c r="I1147" s="9">
        <v>12.92</v>
      </c>
      <c r="J1147" s="9">
        <f t="shared" si="28"/>
        <v>223.08</v>
      </c>
      <c r="K1147" s="7" t="s">
        <v>44</v>
      </c>
    </row>
    <row r="1148" spans="1:11" x14ac:dyDescent="0.25">
      <c r="A1148" s="2" t="s">
        <v>1577</v>
      </c>
      <c r="B1148" s="3" t="s">
        <v>63</v>
      </c>
      <c r="C1148" s="13" t="s">
        <v>1578</v>
      </c>
      <c r="D1148" s="3" t="s">
        <v>29</v>
      </c>
      <c r="E1148" s="3" t="s">
        <v>16</v>
      </c>
      <c r="F1148" s="3" t="s">
        <v>17</v>
      </c>
      <c r="G1148" s="4">
        <v>2</v>
      </c>
      <c r="H1148" s="5">
        <v>39</v>
      </c>
      <c r="I1148" s="5">
        <v>9.58</v>
      </c>
      <c r="J1148" s="5">
        <f t="shared" si="28"/>
        <v>68.42</v>
      </c>
      <c r="K1148" s="3" t="s">
        <v>65</v>
      </c>
    </row>
    <row r="1149" spans="1:11" x14ac:dyDescent="0.25">
      <c r="A1149" s="6" t="s">
        <v>1579</v>
      </c>
      <c r="B1149" s="7" t="s">
        <v>20</v>
      </c>
      <c r="C1149" s="14" t="s">
        <v>938</v>
      </c>
      <c r="D1149" s="7" t="s">
        <v>29</v>
      </c>
      <c r="E1149" s="7" t="s">
        <v>23</v>
      </c>
      <c r="F1149" s="7" t="s">
        <v>43</v>
      </c>
      <c r="G1149" s="8">
        <v>1</v>
      </c>
      <c r="H1149" s="9">
        <v>350</v>
      </c>
      <c r="I1149" s="9">
        <v>3.59</v>
      </c>
      <c r="J1149" s="9">
        <f t="shared" si="28"/>
        <v>346.41</v>
      </c>
      <c r="K1149" s="7" t="s">
        <v>32</v>
      </c>
    </row>
    <row r="1150" spans="1:11" x14ac:dyDescent="0.25">
      <c r="A1150" s="2" t="s">
        <v>1580</v>
      </c>
      <c r="B1150" s="3" t="s">
        <v>63</v>
      </c>
      <c r="C1150" s="13" t="s">
        <v>164</v>
      </c>
      <c r="D1150" s="3" t="s">
        <v>47</v>
      </c>
      <c r="E1150" s="3" t="s">
        <v>23</v>
      </c>
      <c r="F1150" s="3" t="s">
        <v>24</v>
      </c>
      <c r="G1150" s="4">
        <v>5</v>
      </c>
      <c r="H1150" s="5">
        <v>180</v>
      </c>
      <c r="I1150" s="5">
        <v>0</v>
      </c>
      <c r="J1150" s="5">
        <f t="shared" si="28"/>
        <v>900</v>
      </c>
      <c r="K1150" s="3" t="s">
        <v>18</v>
      </c>
    </row>
    <row r="1151" spans="1:11" x14ac:dyDescent="0.25">
      <c r="A1151" s="6" t="s">
        <v>1581</v>
      </c>
      <c r="B1151" s="7" t="s">
        <v>13</v>
      </c>
      <c r="C1151" s="14" t="s">
        <v>237</v>
      </c>
      <c r="D1151" s="7" t="s">
        <v>15</v>
      </c>
      <c r="E1151" s="7" t="s">
        <v>52</v>
      </c>
      <c r="F1151" s="7" t="s">
        <v>53</v>
      </c>
      <c r="G1151" s="8">
        <v>4</v>
      </c>
      <c r="H1151" s="9">
        <v>149</v>
      </c>
      <c r="I1151" s="9">
        <v>74.8</v>
      </c>
      <c r="J1151" s="9">
        <f t="shared" ref="J1151:J1214" si="29">(G1151*H1151)-I1151</f>
        <v>521.20000000000005</v>
      </c>
      <c r="K1151" s="7" t="s">
        <v>18</v>
      </c>
    </row>
    <row r="1152" spans="1:11" x14ac:dyDescent="0.25">
      <c r="A1152" s="2" t="s">
        <v>1582</v>
      </c>
      <c r="B1152" s="3" t="s">
        <v>27</v>
      </c>
      <c r="C1152" s="13" t="s">
        <v>1583</v>
      </c>
      <c r="D1152" s="3" t="s">
        <v>39</v>
      </c>
      <c r="E1152" s="3" t="s">
        <v>16</v>
      </c>
      <c r="F1152" s="3" t="s">
        <v>116</v>
      </c>
      <c r="G1152" s="4">
        <v>3</v>
      </c>
      <c r="H1152" s="5">
        <v>45</v>
      </c>
      <c r="I1152" s="5">
        <v>4.5599999999999996</v>
      </c>
      <c r="J1152" s="5">
        <f t="shared" si="29"/>
        <v>130.44</v>
      </c>
      <c r="K1152" s="3" t="s">
        <v>44</v>
      </c>
    </row>
    <row r="1153" spans="1:11" x14ac:dyDescent="0.25">
      <c r="A1153" s="6" t="s">
        <v>1584</v>
      </c>
      <c r="B1153" s="7" t="s">
        <v>110</v>
      </c>
      <c r="C1153" s="14" t="s">
        <v>497</v>
      </c>
      <c r="D1153" s="7" t="s">
        <v>39</v>
      </c>
      <c r="E1153" s="7" t="s">
        <v>30</v>
      </c>
      <c r="F1153" s="7" t="s">
        <v>68</v>
      </c>
      <c r="G1153" s="8">
        <v>5</v>
      </c>
      <c r="H1153" s="9">
        <v>799</v>
      </c>
      <c r="I1153" s="9">
        <v>455.51</v>
      </c>
      <c r="J1153" s="9">
        <f t="shared" si="29"/>
        <v>3539.49</v>
      </c>
      <c r="K1153" s="7" t="s">
        <v>69</v>
      </c>
    </row>
    <row r="1154" spans="1:11" x14ac:dyDescent="0.25">
      <c r="A1154" s="2" t="s">
        <v>1585</v>
      </c>
      <c r="B1154" s="3" t="s">
        <v>34</v>
      </c>
      <c r="C1154" s="13" t="s">
        <v>1238</v>
      </c>
      <c r="D1154" s="3" t="s">
        <v>15</v>
      </c>
      <c r="E1154" s="3" t="s">
        <v>23</v>
      </c>
      <c r="F1154" s="3" t="s">
        <v>88</v>
      </c>
      <c r="G1154" s="4">
        <v>1</v>
      </c>
      <c r="H1154" s="5">
        <v>650</v>
      </c>
      <c r="I1154" s="5">
        <v>44.32</v>
      </c>
      <c r="J1154" s="5">
        <f t="shared" si="29"/>
        <v>605.67999999999995</v>
      </c>
      <c r="K1154" s="3" t="s">
        <v>89</v>
      </c>
    </row>
    <row r="1155" spans="1:11" x14ac:dyDescent="0.25">
      <c r="A1155" s="6" t="s">
        <v>1586</v>
      </c>
      <c r="B1155" s="7" t="s">
        <v>95</v>
      </c>
      <c r="C1155" s="14" t="s">
        <v>437</v>
      </c>
      <c r="D1155" s="7" t="s">
        <v>29</v>
      </c>
      <c r="E1155" s="7" t="s">
        <v>16</v>
      </c>
      <c r="F1155" s="7" t="s">
        <v>103</v>
      </c>
      <c r="G1155" s="8">
        <v>5</v>
      </c>
      <c r="H1155" s="9">
        <v>89</v>
      </c>
      <c r="I1155" s="9">
        <v>9.01</v>
      </c>
      <c r="J1155" s="9">
        <f t="shared" si="29"/>
        <v>435.99</v>
      </c>
      <c r="K1155" s="7" t="s">
        <v>18</v>
      </c>
    </row>
    <row r="1156" spans="1:11" x14ac:dyDescent="0.25">
      <c r="A1156" s="2" t="s">
        <v>1587</v>
      </c>
      <c r="B1156" s="3" t="s">
        <v>41</v>
      </c>
      <c r="C1156" s="13" t="s">
        <v>349</v>
      </c>
      <c r="D1156" s="3" t="s">
        <v>22</v>
      </c>
      <c r="E1156" s="3" t="s">
        <v>16</v>
      </c>
      <c r="F1156" s="3" t="s">
        <v>116</v>
      </c>
      <c r="G1156" s="4">
        <v>5</v>
      </c>
      <c r="H1156" s="5">
        <v>45</v>
      </c>
      <c r="I1156" s="5">
        <v>29.46</v>
      </c>
      <c r="J1156" s="5">
        <f t="shared" si="29"/>
        <v>195.54</v>
      </c>
      <c r="K1156" s="3" t="s">
        <v>18</v>
      </c>
    </row>
    <row r="1157" spans="1:11" x14ac:dyDescent="0.25">
      <c r="A1157" s="6" t="s">
        <v>1588</v>
      </c>
      <c r="B1157" s="7" t="s">
        <v>110</v>
      </c>
      <c r="C1157" s="14" t="s">
        <v>1589</v>
      </c>
      <c r="D1157" s="7" t="s">
        <v>22</v>
      </c>
      <c r="E1157" s="7" t="s">
        <v>30</v>
      </c>
      <c r="F1157" s="7" t="s">
        <v>106</v>
      </c>
      <c r="G1157" s="8">
        <v>4</v>
      </c>
      <c r="H1157" s="9">
        <v>299</v>
      </c>
      <c r="I1157" s="9">
        <v>0</v>
      </c>
      <c r="J1157" s="9">
        <f t="shared" si="29"/>
        <v>1196</v>
      </c>
      <c r="K1157" s="7" t="s">
        <v>65</v>
      </c>
    </row>
    <row r="1158" spans="1:11" x14ac:dyDescent="0.25">
      <c r="A1158" s="2" t="s">
        <v>1590</v>
      </c>
      <c r="B1158" s="3" t="s">
        <v>55</v>
      </c>
      <c r="C1158" s="13" t="s">
        <v>218</v>
      </c>
      <c r="D1158" s="3" t="s">
        <v>22</v>
      </c>
      <c r="E1158" s="3" t="s">
        <v>16</v>
      </c>
      <c r="F1158" s="3" t="s">
        <v>78</v>
      </c>
      <c r="G1158" s="4">
        <v>4</v>
      </c>
      <c r="H1158" s="5">
        <v>59</v>
      </c>
      <c r="I1158" s="5">
        <v>28.64</v>
      </c>
      <c r="J1158" s="5">
        <f t="shared" si="29"/>
        <v>207.36</v>
      </c>
      <c r="K1158" s="3" t="s">
        <v>89</v>
      </c>
    </row>
    <row r="1159" spans="1:11" x14ac:dyDescent="0.25">
      <c r="A1159" s="6" t="s">
        <v>1591</v>
      </c>
      <c r="B1159" s="7" t="s">
        <v>37</v>
      </c>
      <c r="C1159" s="14" t="s">
        <v>1553</v>
      </c>
      <c r="D1159" s="7" t="s">
        <v>15</v>
      </c>
      <c r="E1159" s="7" t="s">
        <v>16</v>
      </c>
      <c r="F1159" s="7" t="s">
        <v>78</v>
      </c>
      <c r="G1159" s="8">
        <v>2</v>
      </c>
      <c r="H1159" s="9">
        <v>59</v>
      </c>
      <c r="I1159" s="9">
        <v>5.87</v>
      </c>
      <c r="J1159" s="9">
        <f t="shared" si="29"/>
        <v>112.13</v>
      </c>
      <c r="K1159" s="7" t="s">
        <v>44</v>
      </c>
    </row>
    <row r="1160" spans="1:11" x14ac:dyDescent="0.25">
      <c r="A1160" s="2" t="s">
        <v>1592</v>
      </c>
      <c r="B1160" s="3" t="s">
        <v>41</v>
      </c>
      <c r="C1160" s="13" t="s">
        <v>527</v>
      </c>
      <c r="D1160" s="3" t="s">
        <v>29</v>
      </c>
      <c r="E1160" s="3" t="s">
        <v>23</v>
      </c>
      <c r="F1160" s="3" t="s">
        <v>24</v>
      </c>
      <c r="G1160" s="4">
        <v>1</v>
      </c>
      <c r="H1160" s="5">
        <v>180</v>
      </c>
      <c r="I1160" s="5">
        <v>0</v>
      </c>
      <c r="J1160" s="5">
        <f t="shared" si="29"/>
        <v>180</v>
      </c>
      <c r="K1160" s="3" t="s">
        <v>65</v>
      </c>
    </row>
    <row r="1161" spans="1:11" x14ac:dyDescent="0.25">
      <c r="A1161" s="6" t="s">
        <v>1593</v>
      </c>
      <c r="B1161" s="7" t="s">
        <v>101</v>
      </c>
      <c r="C1161" s="14" t="s">
        <v>452</v>
      </c>
      <c r="D1161" s="7" t="s">
        <v>22</v>
      </c>
      <c r="E1161" s="7" t="s">
        <v>16</v>
      </c>
      <c r="F1161" s="7" t="s">
        <v>78</v>
      </c>
      <c r="G1161" s="8">
        <v>2</v>
      </c>
      <c r="H1161" s="9">
        <v>59</v>
      </c>
      <c r="I1161" s="9">
        <v>11.75</v>
      </c>
      <c r="J1161" s="9">
        <f t="shared" si="29"/>
        <v>106.25</v>
      </c>
      <c r="K1161" s="7" t="s">
        <v>65</v>
      </c>
    </row>
    <row r="1162" spans="1:11" x14ac:dyDescent="0.25">
      <c r="A1162" s="2" t="s">
        <v>1594</v>
      </c>
      <c r="B1162" s="3" t="s">
        <v>55</v>
      </c>
      <c r="C1162" s="13" t="s">
        <v>159</v>
      </c>
      <c r="D1162" s="3" t="s">
        <v>47</v>
      </c>
      <c r="E1162" s="3" t="s">
        <v>52</v>
      </c>
      <c r="F1162" s="3" t="s">
        <v>53</v>
      </c>
      <c r="G1162" s="4">
        <v>4</v>
      </c>
      <c r="H1162" s="5">
        <v>149</v>
      </c>
      <c r="I1162" s="5">
        <v>50</v>
      </c>
      <c r="J1162" s="5">
        <f t="shared" si="29"/>
        <v>546</v>
      </c>
      <c r="K1162" s="3" t="s">
        <v>89</v>
      </c>
    </row>
    <row r="1163" spans="1:11" x14ac:dyDescent="0.25">
      <c r="A1163" s="6" t="s">
        <v>1595</v>
      </c>
      <c r="B1163" s="7" t="s">
        <v>27</v>
      </c>
      <c r="C1163" s="14" t="s">
        <v>200</v>
      </c>
      <c r="D1163" s="7" t="s">
        <v>47</v>
      </c>
      <c r="E1163" s="7" t="s">
        <v>16</v>
      </c>
      <c r="F1163" s="7" t="s">
        <v>103</v>
      </c>
      <c r="G1163" s="8">
        <v>3</v>
      </c>
      <c r="H1163" s="9">
        <v>89</v>
      </c>
      <c r="I1163" s="9">
        <v>0</v>
      </c>
      <c r="J1163" s="9">
        <f t="shared" si="29"/>
        <v>267</v>
      </c>
      <c r="K1163" s="7" t="s">
        <v>89</v>
      </c>
    </row>
    <row r="1164" spans="1:11" x14ac:dyDescent="0.25">
      <c r="A1164" s="2" t="s">
        <v>1596</v>
      </c>
      <c r="B1164" s="3" t="s">
        <v>110</v>
      </c>
      <c r="C1164" s="13" t="s">
        <v>464</v>
      </c>
      <c r="D1164" s="3" t="s">
        <v>22</v>
      </c>
      <c r="E1164" s="3" t="s">
        <v>16</v>
      </c>
      <c r="F1164" s="3" t="s">
        <v>103</v>
      </c>
      <c r="G1164" s="4">
        <v>1</v>
      </c>
      <c r="H1164" s="5">
        <v>89</v>
      </c>
      <c r="I1164" s="5">
        <v>0</v>
      </c>
      <c r="J1164" s="5">
        <f t="shared" si="29"/>
        <v>89</v>
      </c>
      <c r="K1164" s="3" t="s">
        <v>44</v>
      </c>
    </row>
    <row r="1165" spans="1:11" x14ac:dyDescent="0.25">
      <c r="A1165" s="6" t="s">
        <v>1597</v>
      </c>
      <c r="B1165" s="7" t="s">
        <v>71</v>
      </c>
      <c r="C1165" s="14" t="s">
        <v>726</v>
      </c>
      <c r="D1165" s="7" t="s">
        <v>29</v>
      </c>
      <c r="E1165" s="7" t="s">
        <v>23</v>
      </c>
      <c r="F1165" s="7" t="s">
        <v>43</v>
      </c>
      <c r="G1165" s="8">
        <v>2</v>
      </c>
      <c r="H1165" s="9">
        <v>350</v>
      </c>
      <c r="I1165" s="9">
        <v>0</v>
      </c>
      <c r="J1165" s="9">
        <f t="shared" si="29"/>
        <v>700</v>
      </c>
      <c r="K1165" s="7" t="s">
        <v>18</v>
      </c>
    </row>
    <row r="1166" spans="1:11" x14ac:dyDescent="0.25">
      <c r="A1166" s="2" t="s">
        <v>1598</v>
      </c>
      <c r="B1166" s="3" t="s">
        <v>55</v>
      </c>
      <c r="C1166" s="13" t="s">
        <v>198</v>
      </c>
      <c r="D1166" s="3" t="s">
        <v>29</v>
      </c>
      <c r="E1166" s="3" t="s">
        <v>16</v>
      </c>
      <c r="F1166" s="3" t="s">
        <v>78</v>
      </c>
      <c r="G1166" s="4">
        <v>1</v>
      </c>
      <c r="H1166" s="5">
        <v>59</v>
      </c>
      <c r="I1166" s="5">
        <v>4.01</v>
      </c>
      <c r="J1166" s="5">
        <f t="shared" si="29"/>
        <v>54.99</v>
      </c>
      <c r="K1166" s="3" t="s">
        <v>18</v>
      </c>
    </row>
    <row r="1167" spans="1:11" x14ac:dyDescent="0.25">
      <c r="A1167" s="6" t="s">
        <v>1599</v>
      </c>
      <c r="B1167" s="7" t="s">
        <v>110</v>
      </c>
      <c r="C1167" s="14" t="s">
        <v>599</v>
      </c>
      <c r="D1167" s="7" t="s">
        <v>22</v>
      </c>
      <c r="E1167" s="7" t="s">
        <v>16</v>
      </c>
      <c r="F1167" s="7" t="s">
        <v>17</v>
      </c>
      <c r="G1167" s="8">
        <v>3</v>
      </c>
      <c r="H1167" s="9">
        <v>39</v>
      </c>
      <c r="I1167" s="9">
        <v>3.54</v>
      </c>
      <c r="J1167" s="9">
        <f t="shared" si="29"/>
        <v>113.46</v>
      </c>
      <c r="K1167" s="7" t="s">
        <v>69</v>
      </c>
    </row>
    <row r="1168" spans="1:11" x14ac:dyDescent="0.25">
      <c r="A1168" s="2" t="s">
        <v>1600</v>
      </c>
      <c r="B1168" s="3" t="s">
        <v>27</v>
      </c>
      <c r="C1168" s="13" t="s">
        <v>96</v>
      </c>
      <c r="D1168" s="3" t="s">
        <v>22</v>
      </c>
      <c r="E1168" s="3" t="s">
        <v>23</v>
      </c>
      <c r="F1168" s="3" t="s">
        <v>43</v>
      </c>
      <c r="G1168" s="4">
        <v>4</v>
      </c>
      <c r="H1168" s="5">
        <v>350</v>
      </c>
      <c r="I1168" s="5">
        <v>3.34</v>
      </c>
      <c r="J1168" s="5">
        <f t="shared" si="29"/>
        <v>1396.66</v>
      </c>
      <c r="K1168" s="3" t="s">
        <v>49</v>
      </c>
    </row>
    <row r="1169" spans="1:11" x14ac:dyDescent="0.25">
      <c r="A1169" s="6" t="s">
        <v>1601</v>
      </c>
      <c r="B1169" s="7" t="s">
        <v>71</v>
      </c>
      <c r="C1169" s="14" t="s">
        <v>1058</v>
      </c>
      <c r="D1169" s="7" t="s">
        <v>15</v>
      </c>
      <c r="E1169" s="7" t="s">
        <v>23</v>
      </c>
      <c r="F1169" s="7" t="s">
        <v>43</v>
      </c>
      <c r="G1169" s="8">
        <v>1</v>
      </c>
      <c r="H1169" s="9">
        <v>350</v>
      </c>
      <c r="I1169" s="9">
        <v>23.06</v>
      </c>
      <c r="J1169" s="9">
        <f t="shared" si="29"/>
        <v>326.94</v>
      </c>
      <c r="K1169" s="7" t="s">
        <v>69</v>
      </c>
    </row>
    <row r="1170" spans="1:11" x14ac:dyDescent="0.25">
      <c r="A1170" s="2" t="s">
        <v>1602</v>
      </c>
      <c r="B1170" s="3" t="s">
        <v>13</v>
      </c>
      <c r="C1170" s="13" t="s">
        <v>320</v>
      </c>
      <c r="D1170" s="3" t="s">
        <v>29</v>
      </c>
      <c r="E1170" s="3" t="s">
        <v>23</v>
      </c>
      <c r="F1170" s="3" t="s">
        <v>48</v>
      </c>
      <c r="G1170" s="4">
        <v>3</v>
      </c>
      <c r="H1170" s="5">
        <v>450</v>
      </c>
      <c r="I1170" s="5">
        <v>57.06</v>
      </c>
      <c r="J1170" s="5">
        <f t="shared" si="29"/>
        <v>1292.94</v>
      </c>
      <c r="K1170" s="3" t="s">
        <v>49</v>
      </c>
    </row>
    <row r="1171" spans="1:11" x14ac:dyDescent="0.25">
      <c r="A1171" s="6" t="s">
        <v>1603</v>
      </c>
      <c r="B1171" s="7" t="s">
        <v>63</v>
      </c>
      <c r="C1171" s="14" t="s">
        <v>340</v>
      </c>
      <c r="D1171" s="7" t="s">
        <v>15</v>
      </c>
      <c r="E1171" s="7" t="s">
        <v>16</v>
      </c>
      <c r="F1171" s="7" t="s">
        <v>103</v>
      </c>
      <c r="G1171" s="8">
        <v>2</v>
      </c>
      <c r="H1171" s="9">
        <v>89</v>
      </c>
      <c r="I1171" s="9">
        <v>0</v>
      </c>
      <c r="J1171" s="9">
        <f t="shared" si="29"/>
        <v>178</v>
      </c>
      <c r="K1171" s="7" t="s">
        <v>65</v>
      </c>
    </row>
    <row r="1172" spans="1:11" x14ac:dyDescent="0.25">
      <c r="A1172" s="2" t="s">
        <v>1604</v>
      </c>
      <c r="B1172" s="3" t="s">
        <v>20</v>
      </c>
      <c r="C1172" s="13" t="s">
        <v>1056</v>
      </c>
      <c r="D1172" s="3" t="s">
        <v>22</v>
      </c>
      <c r="E1172" s="3" t="s">
        <v>23</v>
      </c>
      <c r="F1172" s="3" t="s">
        <v>48</v>
      </c>
      <c r="G1172" s="4">
        <v>4</v>
      </c>
      <c r="H1172" s="5">
        <v>450</v>
      </c>
      <c r="I1172" s="5">
        <v>0</v>
      </c>
      <c r="J1172" s="5">
        <f t="shared" si="29"/>
        <v>1800</v>
      </c>
      <c r="K1172" s="3" t="s">
        <v>65</v>
      </c>
    </row>
    <row r="1173" spans="1:11" x14ac:dyDescent="0.25">
      <c r="A1173" s="6" t="s">
        <v>1605</v>
      </c>
      <c r="B1173" s="7" t="s">
        <v>55</v>
      </c>
      <c r="C1173" s="14" t="s">
        <v>1606</v>
      </c>
      <c r="D1173" s="7" t="s">
        <v>29</v>
      </c>
      <c r="E1173" s="7" t="s">
        <v>52</v>
      </c>
      <c r="F1173" s="7" t="s">
        <v>75</v>
      </c>
      <c r="G1173" s="8">
        <v>3</v>
      </c>
      <c r="H1173" s="9">
        <v>249</v>
      </c>
      <c r="I1173" s="9">
        <v>52.26</v>
      </c>
      <c r="J1173" s="9">
        <f t="shared" si="29"/>
        <v>694.74</v>
      </c>
      <c r="K1173" s="7" t="s">
        <v>18</v>
      </c>
    </row>
    <row r="1174" spans="1:11" x14ac:dyDescent="0.25">
      <c r="A1174" s="2" t="s">
        <v>1607</v>
      </c>
      <c r="B1174" s="3" t="s">
        <v>34</v>
      </c>
      <c r="C1174" s="13" t="s">
        <v>14</v>
      </c>
      <c r="D1174" s="3" t="s">
        <v>15</v>
      </c>
      <c r="E1174" s="3" t="s">
        <v>52</v>
      </c>
      <c r="F1174" s="3" t="s">
        <v>99</v>
      </c>
      <c r="G1174" s="4">
        <v>1</v>
      </c>
      <c r="H1174" s="5">
        <v>79</v>
      </c>
      <c r="I1174" s="5">
        <v>4.54</v>
      </c>
      <c r="J1174" s="5">
        <f t="shared" si="29"/>
        <v>74.459999999999994</v>
      </c>
      <c r="K1174" s="3" t="s">
        <v>18</v>
      </c>
    </row>
    <row r="1175" spans="1:11" x14ac:dyDescent="0.25">
      <c r="A1175" s="6" t="s">
        <v>1608</v>
      </c>
      <c r="B1175" s="7" t="s">
        <v>34</v>
      </c>
      <c r="C1175" s="14" t="s">
        <v>756</v>
      </c>
      <c r="D1175" s="7" t="s">
        <v>29</v>
      </c>
      <c r="E1175" s="7" t="s">
        <v>23</v>
      </c>
      <c r="F1175" s="7" t="s">
        <v>24</v>
      </c>
      <c r="G1175" s="8">
        <v>2</v>
      </c>
      <c r="H1175" s="9">
        <v>180</v>
      </c>
      <c r="I1175" s="9">
        <v>0</v>
      </c>
      <c r="J1175" s="9">
        <f t="shared" si="29"/>
        <v>360</v>
      </c>
      <c r="K1175" s="7" t="s">
        <v>18</v>
      </c>
    </row>
    <row r="1176" spans="1:11" x14ac:dyDescent="0.25">
      <c r="A1176" s="2" t="s">
        <v>1609</v>
      </c>
      <c r="B1176" s="3" t="s">
        <v>34</v>
      </c>
      <c r="C1176" s="13" t="s">
        <v>349</v>
      </c>
      <c r="D1176" s="3" t="s">
        <v>22</v>
      </c>
      <c r="E1176" s="3" t="s">
        <v>52</v>
      </c>
      <c r="F1176" s="3" t="s">
        <v>99</v>
      </c>
      <c r="G1176" s="4">
        <v>4</v>
      </c>
      <c r="H1176" s="5">
        <v>79</v>
      </c>
      <c r="I1176" s="5">
        <v>0</v>
      </c>
      <c r="J1176" s="5">
        <f t="shared" si="29"/>
        <v>316</v>
      </c>
      <c r="K1176" s="3" t="s">
        <v>65</v>
      </c>
    </row>
    <row r="1177" spans="1:11" x14ac:dyDescent="0.25">
      <c r="A1177" s="6" t="s">
        <v>1610</v>
      </c>
      <c r="B1177" s="7" t="s">
        <v>55</v>
      </c>
      <c r="C1177" s="14" t="s">
        <v>144</v>
      </c>
      <c r="D1177" s="7" t="s">
        <v>39</v>
      </c>
      <c r="E1177" s="7" t="s">
        <v>16</v>
      </c>
      <c r="F1177" s="7" t="s">
        <v>78</v>
      </c>
      <c r="G1177" s="8">
        <v>5</v>
      </c>
      <c r="H1177" s="9">
        <v>59</v>
      </c>
      <c r="I1177" s="9">
        <v>0</v>
      </c>
      <c r="J1177" s="9">
        <f t="shared" si="29"/>
        <v>295</v>
      </c>
      <c r="K1177" s="7" t="s">
        <v>18</v>
      </c>
    </row>
    <row r="1178" spans="1:11" x14ac:dyDescent="0.25">
      <c r="A1178" s="2" t="s">
        <v>1611</v>
      </c>
      <c r="B1178" s="3" t="s">
        <v>20</v>
      </c>
      <c r="C1178" s="13" t="s">
        <v>1037</v>
      </c>
      <c r="D1178" s="3" t="s">
        <v>47</v>
      </c>
      <c r="E1178" s="3" t="s">
        <v>30</v>
      </c>
      <c r="F1178" s="3" t="s">
        <v>68</v>
      </c>
      <c r="G1178" s="4">
        <v>5</v>
      </c>
      <c r="H1178" s="5">
        <v>799</v>
      </c>
      <c r="I1178" s="5">
        <v>555.57000000000005</v>
      </c>
      <c r="J1178" s="5">
        <f t="shared" si="29"/>
        <v>3439.43</v>
      </c>
      <c r="K1178" s="3" t="s">
        <v>65</v>
      </c>
    </row>
    <row r="1179" spans="1:11" x14ac:dyDescent="0.25">
      <c r="A1179" s="6" t="s">
        <v>1612</v>
      </c>
      <c r="B1179" s="7" t="s">
        <v>55</v>
      </c>
      <c r="C1179" s="14" t="s">
        <v>225</v>
      </c>
      <c r="D1179" s="7" t="s">
        <v>47</v>
      </c>
      <c r="E1179" s="7" t="s">
        <v>30</v>
      </c>
      <c r="F1179" s="7" t="s">
        <v>68</v>
      </c>
      <c r="G1179" s="8">
        <v>1</v>
      </c>
      <c r="H1179" s="9">
        <v>799</v>
      </c>
      <c r="I1179" s="9">
        <v>0</v>
      </c>
      <c r="J1179" s="9">
        <f t="shared" si="29"/>
        <v>799</v>
      </c>
      <c r="K1179" s="7" t="s">
        <v>65</v>
      </c>
    </row>
    <row r="1180" spans="1:11" x14ac:dyDescent="0.25">
      <c r="A1180" s="2" t="s">
        <v>1613</v>
      </c>
      <c r="B1180" s="3" t="s">
        <v>13</v>
      </c>
      <c r="C1180" s="13" t="s">
        <v>115</v>
      </c>
      <c r="D1180" s="3" t="s">
        <v>15</v>
      </c>
      <c r="E1180" s="3" t="s">
        <v>16</v>
      </c>
      <c r="F1180" s="3" t="s">
        <v>78</v>
      </c>
      <c r="G1180" s="4">
        <v>4</v>
      </c>
      <c r="H1180" s="5">
        <v>59</v>
      </c>
      <c r="I1180" s="5">
        <v>4.99</v>
      </c>
      <c r="J1180" s="5">
        <f t="shared" si="29"/>
        <v>231.01</v>
      </c>
      <c r="K1180" s="3" t="s">
        <v>89</v>
      </c>
    </row>
    <row r="1181" spans="1:11" x14ac:dyDescent="0.25">
      <c r="A1181" s="6" t="s">
        <v>1614</v>
      </c>
      <c r="B1181" s="7" t="s">
        <v>37</v>
      </c>
      <c r="C1181" s="14" t="s">
        <v>902</v>
      </c>
      <c r="D1181" s="7" t="s">
        <v>22</v>
      </c>
      <c r="E1181" s="7" t="s">
        <v>52</v>
      </c>
      <c r="F1181" s="7" t="s">
        <v>61</v>
      </c>
      <c r="G1181" s="8">
        <v>1</v>
      </c>
      <c r="H1181" s="9">
        <v>199</v>
      </c>
      <c r="I1181" s="9">
        <v>0</v>
      </c>
      <c r="J1181" s="9">
        <f t="shared" si="29"/>
        <v>199</v>
      </c>
      <c r="K1181" s="7" t="s">
        <v>69</v>
      </c>
    </row>
    <row r="1182" spans="1:11" x14ac:dyDescent="0.25">
      <c r="A1182" s="2" t="s">
        <v>1615</v>
      </c>
      <c r="B1182" s="3" t="s">
        <v>55</v>
      </c>
      <c r="C1182" s="13" t="s">
        <v>421</v>
      </c>
      <c r="D1182" s="3" t="s">
        <v>47</v>
      </c>
      <c r="E1182" s="3" t="s">
        <v>52</v>
      </c>
      <c r="F1182" s="3" t="s">
        <v>61</v>
      </c>
      <c r="G1182" s="4">
        <v>4</v>
      </c>
      <c r="H1182" s="5">
        <v>199</v>
      </c>
      <c r="I1182" s="5">
        <v>45.78</v>
      </c>
      <c r="J1182" s="5">
        <f t="shared" si="29"/>
        <v>750.22</v>
      </c>
      <c r="K1182" s="3" t="s">
        <v>49</v>
      </c>
    </row>
    <row r="1183" spans="1:11" x14ac:dyDescent="0.25">
      <c r="A1183" s="6" t="s">
        <v>1616</v>
      </c>
      <c r="B1183" s="7" t="s">
        <v>41</v>
      </c>
      <c r="C1183" s="14" t="s">
        <v>1084</v>
      </c>
      <c r="D1183" s="7"/>
      <c r="E1183" s="7"/>
      <c r="F1183" s="7" t="s">
        <v>43</v>
      </c>
      <c r="G1183" s="8">
        <v>5</v>
      </c>
      <c r="H1183" s="9">
        <v>350</v>
      </c>
      <c r="I1183" s="9">
        <v>0</v>
      </c>
      <c r="J1183" s="9">
        <f t="shared" si="29"/>
        <v>1750</v>
      </c>
      <c r="K1183" s="7" t="s">
        <v>69</v>
      </c>
    </row>
    <row r="1184" spans="1:11" x14ac:dyDescent="0.25">
      <c r="A1184" s="2" t="s">
        <v>1617</v>
      </c>
      <c r="B1184" s="3" t="s">
        <v>20</v>
      </c>
      <c r="C1184" s="13" t="s">
        <v>257</v>
      </c>
      <c r="D1184" s="3" t="s">
        <v>39</v>
      </c>
      <c r="E1184" s="3" t="s">
        <v>16</v>
      </c>
      <c r="F1184" s="3" t="s">
        <v>78</v>
      </c>
      <c r="G1184" s="4">
        <v>1</v>
      </c>
      <c r="H1184" s="5">
        <v>59</v>
      </c>
      <c r="I1184" s="5">
        <v>2.57</v>
      </c>
      <c r="J1184" s="5">
        <f t="shared" si="29"/>
        <v>56.43</v>
      </c>
      <c r="K1184" s="3" t="s">
        <v>69</v>
      </c>
    </row>
    <row r="1185" spans="1:11" x14ac:dyDescent="0.25">
      <c r="A1185" s="6" t="s">
        <v>1618</v>
      </c>
      <c r="B1185" s="7" t="s">
        <v>34</v>
      </c>
      <c r="C1185" s="14" t="s">
        <v>1034</v>
      </c>
      <c r="D1185" s="7" t="s">
        <v>47</v>
      </c>
      <c r="E1185" s="7" t="s">
        <v>23</v>
      </c>
      <c r="F1185" s="7" t="s">
        <v>88</v>
      </c>
      <c r="G1185" s="8">
        <v>2</v>
      </c>
      <c r="H1185" s="9">
        <v>650</v>
      </c>
      <c r="I1185" s="9">
        <v>0</v>
      </c>
      <c r="J1185" s="9">
        <f t="shared" si="29"/>
        <v>1300</v>
      </c>
      <c r="K1185" s="7" t="s">
        <v>65</v>
      </c>
    </row>
    <row r="1186" spans="1:11" x14ac:dyDescent="0.25">
      <c r="A1186" s="2" t="s">
        <v>1619</v>
      </c>
      <c r="B1186" s="3" t="s">
        <v>37</v>
      </c>
      <c r="C1186" s="13" t="s">
        <v>938</v>
      </c>
      <c r="D1186" s="3" t="s">
        <v>39</v>
      </c>
      <c r="E1186" s="3" t="s">
        <v>30</v>
      </c>
      <c r="F1186" s="3" t="s">
        <v>31</v>
      </c>
      <c r="G1186" s="4">
        <v>1</v>
      </c>
      <c r="H1186" s="5">
        <v>2500</v>
      </c>
      <c r="I1186" s="5">
        <v>197.65</v>
      </c>
      <c r="J1186" s="5">
        <f t="shared" si="29"/>
        <v>2302.35</v>
      </c>
      <c r="K1186" s="3" t="s">
        <v>32</v>
      </c>
    </row>
    <row r="1187" spans="1:11" x14ac:dyDescent="0.25">
      <c r="A1187" s="6" t="s">
        <v>1620</v>
      </c>
      <c r="B1187" s="7" t="s">
        <v>95</v>
      </c>
      <c r="C1187" s="14" t="s">
        <v>93</v>
      </c>
      <c r="D1187" s="7" t="s">
        <v>22</v>
      </c>
      <c r="E1187" s="7" t="s">
        <v>23</v>
      </c>
      <c r="F1187" s="7" t="s">
        <v>43</v>
      </c>
      <c r="G1187" s="8">
        <v>5</v>
      </c>
      <c r="H1187" s="9">
        <v>350</v>
      </c>
      <c r="I1187" s="9">
        <v>101.87</v>
      </c>
      <c r="J1187" s="9">
        <f t="shared" si="29"/>
        <v>1648.13</v>
      </c>
      <c r="K1187" s="7" t="s">
        <v>18</v>
      </c>
    </row>
    <row r="1188" spans="1:11" x14ac:dyDescent="0.25">
      <c r="A1188" s="2" t="s">
        <v>1621</v>
      </c>
      <c r="B1188" s="3" t="s">
        <v>20</v>
      </c>
      <c r="C1188" s="13" t="s">
        <v>176</v>
      </c>
      <c r="D1188" s="3" t="s">
        <v>39</v>
      </c>
      <c r="E1188" s="3" t="s">
        <v>52</v>
      </c>
      <c r="F1188" s="3" t="s">
        <v>99</v>
      </c>
      <c r="G1188" s="4">
        <v>5</v>
      </c>
      <c r="H1188" s="5">
        <v>79</v>
      </c>
      <c r="I1188" s="5">
        <v>0</v>
      </c>
      <c r="J1188" s="5">
        <f t="shared" si="29"/>
        <v>395</v>
      </c>
      <c r="K1188" s="3" t="s">
        <v>89</v>
      </c>
    </row>
    <row r="1189" spans="1:11" x14ac:dyDescent="0.25">
      <c r="A1189" s="6" t="s">
        <v>1622</v>
      </c>
      <c r="B1189" s="7" t="s">
        <v>37</v>
      </c>
      <c r="C1189" s="14" t="s">
        <v>1623</v>
      </c>
      <c r="D1189" s="7" t="s">
        <v>15</v>
      </c>
      <c r="E1189" s="7" t="s">
        <v>52</v>
      </c>
      <c r="F1189" s="7" t="s">
        <v>61</v>
      </c>
      <c r="G1189" s="8">
        <v>4</v>
      </c>
      <c r="H1189" s="9">
        <v>199</v>
      </c>
      <c r="I1189" s="9">
        <v>0</v>
      </c>
      <c r="J1189" s="9">
        <f t="shared" si="29"/>
        <v>796</v>
      </c>
      <c r="K1189" s="7" t="s">
        <v>32</v>
      </c>
    </row>
    <row r="1190" spans="1:11" x14ac:dyDescent="0.25">
      <c r="A1190" s="2" t="s">
        <v>1624</v>
      </c>
      <c r="B1190" s="3" t="s">
        <v>101</v>
      </c>
      <c r="C1190" s="13" t="s">
        <v>484</v>
      </c>
      <c r="D1190" s="3" t="s">
        <v>22</v>
      </c>
      <c r="E1190" s="3" t="s">
        <v>52</v>
      </c>
      <c r="F1190" s="3" t="s">
        <v>61</v>
      </c>
      <c r="G1190" s="4">
        <v>1</v>
      </c>
      <c r="H1190" s="5">
        <v>199</v>
      </c>
      <c r="I1190" s="5">
        <v>0</v>
      </c>
      <c r="J1190" s="5">
        <f t="shared" si="29"/>
        <v>199</v>
      </c>
      <c r="K1190" s="3" t="s">
        <v>44</v>
      </c>
    </row>
    <row r="1191" spans="1:11" x14ac:dyDescent="0.25">
      <c r="A1191" s="6" t="s">
        <v>1625</v>
      </c>
      <c r="B1191" s="7" t="s">
        <v>101</v>
      </c>
      <c r="C1191" s="14" t="s">
        <v>452</v>
      </c>
      <c r="D1191" s="7" t="s">
        <v>29</v>
      </c>
      <c r="E1191" s="7" t="s">
        <v>30</v>
      </c>
      <c r="F1191" s="7" t="s">
        <v>106</v>
      </c>
      <c r="G1191" s="8">
        <v>2</v>
      </c>
      <c r="H1191" s="9">
        <v>299</v>
      </c>
      <c r="I1191" s="9">
        <v>69.010000000000005</v>
      </c>
      <c r="J1191" s="9">
        <f t="shared" si="29"/>
        <v>528.99</v>
      </c>
      <c r="K1191" s="7" t="s">
        <v>49</v>
      </c>
    </row>
    <row r="1192" spans="1:11" x14ac:dyDescent="0.25">
      <c r="A1192" s="2" t="s">
        <v>1626</v>
      </c>
      <c r="B1192" s="3" t="s">
        <v>101</v>
      </c>
      <c r="C1192" s="13" t="s">
        <v>192</v>
      </c>
      <c r="D1192" s="3" t="s">
        <v>47</v>
      </c>
      <c r="E1192" s="3" t="s">
        <v>16</v>
      </c>
      <c r="F1192" s="3" t="s">
        <v>78</v>
      </c>
      <c r="G1192" s="4">
        <v>2</v>
      </c>
      <c r="H1192" s="5">
        <v>59</v>
      </c>
      <c r="I1192" s="5">
        <v>0</v>
      </c>
      <c r="J1192" s="5">
        <f t="shared" si="29"/>
        <v>118</v>
      </c>
      <c r="K1192" s="3" t="s">
        <v>89</v>
      </c>
    </row>
    <row r="1193" spans="1:11" x14ac:dyDescent="0.25">
      <c r="A1193" s="6" t="s">
        <v>1627</v>
      </c>
      <c r="B1193" s="7" t="s">
        <v>55</v>
      </c>
      <c r="C1193" s="14" t="s">
        <v>969</v>
      </c>
      <c r="D1193" s="7" t="s">
        <v>29</v>
      </c>
      <c r="E1193" s="7" t="s">
        <v>16</v>
      </c>
      <c r="F1193" s="7" t="s">
        <v>116</v>
      </c>
      <c r="G1193" s="8">
        <v>2</v>
      </c>
      <c r="H1193" s="9">
        <v>45</v>
      </c>
      <c r="I1193" s="9">
        <v>0</v>
      </c>
      <c r="J1193" s="9">
        <f t="shared" si="29"/>
        <v>90</v>
      </c>
      <c r="K1193" s="7" t="s">
        <v>49</v>
      </c>
    </row>
    <row r="1194" spans="1:11" x14ac:dyDescent="0.25">
      <c r="A1194" s="2" t="s">
        <v>1628</v>
      </c>
      <c r="B1194" s="3" t="s">
        <v>20</v>
      </c>
      <c r="C1194" s="13" t="s">
        <v>938</v>
      </c>
      <c r="D1194" s="3" t="s">
        <v>47</v>
      </c>
      <c r="E1194" s="3" t="s">
        <v>30</v>
      </c>
      <c r="F1194" s="3" t="s">
        <v>68</v>
      </c>
      <c r="G1194" s="4">
        <v>4</v>
      </c>
      <c r="H1194" s="5">
        <v>799</v>
      </c>
      <c r="I1194" s="5">
        <v>0</v>
      </c>
      <c r="J1194" s="5">
        <f t="shared" si="29"/>
        <v>3196</v>
      </c>
      <c r="K1194" s="3" t="s">
        <v>65</v>
      </c>
    </row>
    <row r="1195" spans="1:11" x14ac:dyDescent="0.25">
      <c r="A1195" s="6" t="s">
        <v>1629</v>
      </c>
      <c r="B1195" s="7" t="s">
        <v>95</v>
      </c>
      <c r="C1195" s="14" t="s">
        <v>906</v>
      </c>
      <c r="D1195" s="7" t="s">
        <v>47</v>
      </c>
      <c r="E1195" s="7" t="s">
        <v>16</v>
      </c>
      <c r="F1195" s="7" t="s">
        <v>116</v>
      </c>
      <c r="G1195" s="8">
        <v>2</v>
      </c>
      <c r="H1195" s="9">
        <v>45</v>
      </c>
      <c r="I1195" s="9">
        <v>0</v>
      </c>
      <c r="J1195" s="9">
        <f t="shared" si="29"/>
        <v>90</v>
      </c>
      <c r="K1195" s="7" t="s">
        <v>44</v>
      </c>
    </row>
    <row r="1196" spans="1:11" x14ac:dyDescent="0.25">
      <c r="A1196" s="2" t="s">
        <v>1630</v>
      </c>
      <c r="B1196" s="3" t="s">
        <v>41</v>
      </c>
      <c r="C1196" s="13" t="s">
        <v>516</v>
      </c>
      <c r="D1196" s="3" t="s">
        <v>15</v>
      </c>
      <c r="E1196" s="3" t="s">
        <v>23</v>
      </c>
      <c r="F1196" s="3" t="s">
        <v>48</v>
      </c>
      <c r="G1196" s="4">
        <v>4</v>
      </c>
      <c r="H1196" s="5">
        <v>450</v>
      </c>
      <c r="I1196" s="5">
        <v>6.57</v>
      </c>
      <c r="J1196" s="5">
        <f t="shared" si="29"/>
        <v>1793.43</v>
      </c>
      <c r="K1196" s="3" t="s">
        <v>18</v>
      </c>
    </row>
    <row r="1197" spans="1:11" x14ac:dyDescent="0.25">
      <c r="A1197" s="6" t="s">
        <v>1631</v>
      </c>
      <c r="B1197" s="7" t="s">
        <v>13</v>
      </c>
      <c r="C1197" s="14" t="s">
        <v>1632</v>
      </c>
      <c r="D1197" s="7" t="s">
        <v>47</v>
      </c>
      <c r="E1197" s="7" t="s">
        <v>23</v>
      </c>
      <c r="F1197" s="7" t="s">
        <v>43</v>
      </c>
      <c r="G1197" s="8">
        <v>2</v>
      </c>
      <c r="H1197" s="9">
        <v>350</v>
      </c>
      <c r="I1197" s="9">
        <v>92.35</v>
      </c>
      <c r="J1197" s="9">
        <f t="shared" si="29"/>
        <v>607.65</v>
      </c>
      <c r="K1197" s="7" t="s">
        <v>69</v>
      </c>
    </row>
    <row r="1198" spans="1:11" x14ac:dyDescent="0.25">
      <c r="A1198" s="2" t="s">
        <v>1633</v>
      </c>
      <c r="B1198" s="3" t="s">
        <v>101</v>
      </c>
      <c r="C1198" s="13" t="s">
        <v>105</v>
      </c>
      <c r="D1198" s="3" t="s">
        <v>22</v>
      </c>
      <c r="E1198" s="3" t="s">
        <v>30</v>
      </c>
      <c r="F1198" s="3" t="s">
        <v>31</v>
      </c>
      <c r="G1198" s="4">
        <v>3</v>
      </c>
      <c r="H1198" s="5">
        <v>2500</v>
      </c>
      <c r="I1198" s="5">
        <v>191.98</v>
      </c>
      <c r="J1198" s="5">
        <f t="shared" si="29"/>
        <v>7308.02</v>
      </c>
      <c r="K1198" s="3" t="s">
        <v>49</v>
      </c>
    </row>
    <row r="1199" spans="1:11" x14ac:dyDescent="0.25">
      <c r="A1199" s="6" t="s">
        <v>1634</v>
      </c>
      <c r="B1199" s="7" t="s">
        <v>134</v>
      </c>
      <c r="C1199" s="14" t="s">
        <v>523</v>
      </c>
      <c r="D1199" s="7" t="s">
        <v>39</v>
      </c>
      <c r="E1199" s="7" t="s">
        <v>52</v>
      </c>
      <c r="F1199" s="7" t="s">
        <v>61</v>
      </c>
      <c r="G1199" s="8">
        <v>3</v>
      </c>
      <c r="H1199" s="9">
        <v>199</v>
      </c>
      <c r="I1199" s="9">
        <v>53.51</v>
      </c>
      <c r="J1199" s="9">
        <f t="shared" si="29"/>
        <v>543.49</v>
      </c>
      <c r="K1199" s="7" t="s">
        <v>69</v>
      </c>
    </row>
    <row r="1200" spans="1:11" x14ac:dyDescent="0.25">
      <c r="A1200" s="2" t="s">
        <v>1635</v>
      </c>
      <c r="B1200" s="3" t="s">
        <v>34</v>
      </c>
      <c r="C1200" s="13" t="s">
        <v>390</v>
      </c>
      <c r="D1200" s="3" t="s">
        <v>29</v>
      </c>
      <c r="E1200" s="3" t="s">
        <v>16</v>
      </c>
      <c r="F1200" s="3" t="s">
        <v>78</v>
      </c>
      <c r="G1200" s="4">
        <v>3</v>
      </c>
      <c r="H1200" s="5">
        <v>59</v>
      </c>
      <c r="I1200" s="5">
        <v>0</v>
      </c>
      <c r="J1200" s="5">
        <f t="shared" si="29"/>
        <v>177</v>
      </c>
      <c r="K1200" s="3" t="s">
        <v>65</v>
      </c>
    </row>
    <row r="1201" spans="1:11" x14ac:dyDescent="0.25">
      <c r="A1201" s="6" t="s">
        <v>1636</v>
      </c>
      <c r="B1201" s="7" t="s">
        <v>95</v>
      </c>
      <c r="C1201" s="14" t="s">
        <v>748</v>
      </c>
      <c r="D1201" s="7" t="s">
        <v>22</v>
      </c>
      <c r="E1201" s="7" t="s">
        <v>23</v>
      </c>
      <c r="F1201" s="7" t="s">
        <v>43</v>
      </c>
      <c r="G1201" s="8">
        <v>5</v>
      </c>
      <c r="H1201" s="9">
        <v>350</v>
      </c>
      <c r="I1201" s="9">
        <v>114.39</v>
      </c>
      <c r="J1201" s="9">
        <f t="shared" si="29"/>
        <v>1635.61</v>
      </c>
      <c r="K1201" s="7" t="s">
        <v>89</v>
      </c>
    </row>
    <row r="1202" spans="1:11" x14ac:dyDescent="0.25">
      <c r="A1202" s="2" t="s">
        <v>1637</v>
      </c>
      <c r="B1202" s="3" t="s">
        <v>13</v>
      </c>
      <c r="C1202" s="13" t="s">
        <v>931</v>
      </c>
      <c r="D1202" s="3" t="s">
        <v>47</v>
      </c>
      <c r="E1202" s="3" t="s">
        <v>30</v>
      </c>
      <c r="F1202" s="3" t="s">
        <v>68</v>
      </c>
      <c r="G1202" s="4">
        <v>2</v>
      </c>
      <c r="H1202" s="5">
        <v>799</v>
      </c>
      <c r="I1202" s="5">
        <v>0</v>
      </c>
      <c r="J1202" s="5">
        <f t="shared" si="29"/>
        <v>1598</v>
      </c>
      <c r="K1202" s="3" t="s">
        <v>65</v>
      </c>
    </row>
    <row r="1203" spans="1:11" x14ac:dyDescent="0.25">
      <c r="A1203" s="6" t="s">
        <v>1638</v>
      </c>
      <c r="B1203" s="7" t="s">
        <v>101</v>
      </c>
      <c r="C1203" s="14" t="s">
        <v>115</v>
      </c>
      <c r="D1203" s="7" t="s">
        <v>47</v>
      </c>
      <c r="E1203" s="7" t="s">
        <v>30</v>
      </c>
      <c r="F1203" s="7" t="s">
        <v>152</v>
      </c>
      <c r="G1203" s="8">
        <v>2</v>
      </c>
      <c r="H1203" s="9">
        <v>4500</v>
      </c>
      <c r="I1203" s="9">
        <v>1064.29</v>
      </c>
      <c r="J1203" s="9">
        <f t="shared" si="29"/>
        <v>7935.71</v>
      </c>
      <c r="K1203" s="7" t="s">
        <v>25</v>
      </c>
    </row>
    <row r="1204" spans="1:11" x14ac:dyDescent="0.25">
      <c r="A1204" s="2" t="s">
        <v>1639</v>
      </c>
      <c r="B1204" s="3" t="s">
        <v>63</v>
      </c>
      <c r="C1204" s="13" t="s">
        <v>787</v>
      </c>
      <c r="D1204" s="3" t="s">
        <v>39</v>
      </c>
      <c r="E1204" s="3" t="s">
        <v>16</v>
      </c>
      <c r="F1204" s="3" t="s">
        <v>17</v>
      </c>
      <c r="G1204" s="4">
        <v>3</v>
      </c>
      <c r="H1204" s="5">
        <v>39</v>
      </c>
      <c r="I1204" s="5">
        <v>0.95</v>
      </c>
      <c r="J1204" s="5">
        <f t="shared" si="29"/>
        <v>116.05</v>
      </c>
      <c r="K1204" s="3" t="s">
        <v>44</v>
      </c>
    </row>
    <row r="1205" spans="1:11" x14ac:dyDescent="0.25">
      <c r="A1205" s="6" t="s">
        <v>1640</v>
      </c>
      <c r="B1205" s="7" t="s">
        <v>34</v>
      </c>
      <c r="C1205" s="14" t="s">
        <v>427</v>
      </c>
      <c r="D1205" s="7" t="s">
        <v>15</v>
      </c>
      <c r="E1205" s="7" t="s">
        <v>52</v>
      </c>
      <c r="F1205" s="7" t="s">
        <v>61</v>
      </c>
      <c r="G1205" s="8">
        <v>4</v>
      </c>
      <c r="H1205" s="9">
        <v>199</v>
      </c>
      <c r="I1205" s="9">
        <v>0</v>
      </c>
      <c r="J1205" s="9">
        <f t="shared" si="29"/>
        <v>796</v>
      </c>
      <c r="K1205" s="7" t="s">
        <v>25</v>
      </c>
    </row>
    <row r="1206" spans="1:11" x14ac:dyDescent="0.25">
      <c r="A1206" s="2" t="s">
        <v>1641</v>
      </c>
      <c r="B1206" s="3" t="s">
        <v>37</v>
      </c>
      <c r="C1206" s="13" t="s">
        <v>282</v>
      </c>
      <c r="D1206" s="3" t="s">
        <v>22</v>
      </c>
      <c r="E1206" s="3" t="s">
        <v>16</v>
      </c>
      <c r="F1206" s="3" t="s">
        <v>17</v>
      </c>
      <c r="G1206" s="4">
        <v>1</v>
      </c>
      <c r="H1206" s="5">
        <v>39</v>
      </c>
      <c r="I1206" s="5">
        <v>0</v>
      </c>
      <c r="J1206" s="5">
        <f t="shared" si="29"/>
        <v>39</v>
      </c>
      <c r="K1206" s="3" t="s">
        <v>69</v>
      </c>
    </row>
    <row r="1207" spans="1:11" x14ac:dyDescent="0.25">
      <c r="A1207" s="6" t="s">
        <v>1642</v>
      </c>
      <c r="B1207" s="7" t="s">
        <v>110</v>
      </c>
      <c r="C1207" s="14" t="s">
        <v>423</v>
      </c>
      <c r="D1207" s="7" t="s">
        <v>15</v>
      </c>
      <c r="E1207" s="7" t="s">
        <v>16</v>
      </c>
      <c r="F1207" s="7" t="s">
        <v>116</v>
      </c>
      <c r="G1207" s="8">
        <v>1</v>
      </c>
      <c r="H1207" s="9">
        <v>45</v>
      </c>
      <c r="I1207" s="9">
        <v>4.53</v>
      </c>
      <c r="J1207" s="9">
        <f t="shared" si="29"/>
        <v>40.47</v>
      </c>
      <c r="K1207" s="7" t="s">
        <v>18</v>
      </c>
    </row>
    <row r="1208" spans="1:11" x14ac:dyDescent="0.25">
      <c r="A1208" s="2" t="s">
        <v>1643</v>
      </c>
      <c r="B1208" s="3" t="s">
        <v>13</v>
      </c>
      <c r="C1208" s="13" t="s">
        <v>38</v>
      </c>
      <c r="D1208" s="3" t="s">
        <v>29</v>
      </c>
      <c r="E1208" s="3" t="s">
        <v>16</v>
      </c>
      <c r="F1208" s="3" t="s">
        <v>103</v>
      </c>
      <c r="G1208" s="4">
        <v>1</v>
      </c>
      <c r="H1208" s="5">
        <v>89</v>
      </c>
      <c r="I1208" s="5">
        <v>4.71</v>
      </c>
      <c r="J1208" s="5">
        <f t="shared" si="29"/>
        <v>84.29</v>
      </c>
      <c r="K1208" s="3" t="s">
        <v>44</v>
      </c>
    </row>
    <row r="1209" spans="1:11" x14ac:dyDescent="0.25">
      <c r="A1209" s="6" t="s">
        <v>1644</v>
      </c>
      <c r="B1209" s="7" t="s">
        <v>95</v>
      </c>
      <c r="C1209" s="14" t="s">
        <v>513</v>
      </c>
      <c r="D1209" s="7" t="s">
        <v>47</v>
      </c>
      <c r="E1209" s="7" t="s">
        <v>16</v>
      </c>
      <c r="F1209" s="7" t="s">
        <v>17</v>
      </c>
      <c r="G1209" s="8">
        <v>5</v>
      </c>
      <c r="H1209" s="9">
        <v>39</v>
      </c>
      <c r="I1209" s="9">
        <v>22.45</v>
      </c>
      <c r="J1209" s="9">
        <f t="shared" si="29"/>
        <v>172.55</v>
      </c>
      <c r="K1209" s="7" t="s">
        <v>25</v>
      </c>
    </row>
    <row r="1210" spans="1:11" x14ac:dyDescent="0.25">
      <c r="A1210" s="2" t="s">
        <v>1645</v>
      </c>
      <c r="B1210" s="3" t="s">
        <v>37</v>
      </c>
      <c r="C1210" s="13" t="s">
        <v>427</v>
      </c>
      <c r="D1210" s="3" t="s">
        <v>29</v>
      </c>
      <c r="E1210" s="3" t="s">
        <v>16</v>
      </c>
      <c r="F1210" s="3" t="s">
        <v>103</v>
      </c>
      <c r="G1210" s="4">
        <v>3</v>
      </c>
      <c r="H1210" s="5">
        <v>89</v>
      </c>
      <c r="I1210" s="5">
        <v>30.63</v>
      </c>
      <c r="J1210" s="5">
        <f t="shared" si="29"/>
        <v>236.37</v>
      </c>
      <c r="K1210" s="3" t="s">
        <v>32</v>
      </c>
    </row>
    <row r="1211" spans="1:11" x14ac:dyDescent="0.25">
      <c r="A1211" s="6" t="s">
        <v>1646</v>
      </c>
      <c r="B1211" s="7" t="s">
        <v>95</v>
      </c>
      <c r="C1211" s="14" t="s">
        <v>591</v>
      </c>
      <c r="D1211" s="7" t="s">
        <v>39</v>
      </c>
      <c r="E1211" s="7" t="s">
        <v>23</v>
      </c>
      <c r="F1211" s="7" t="s">
        <v>43</v>
      </c>
      <c r="G1211" s="8">
        <v>3</v>
      </c>
      <c r="H1211" s="9">
        <v>350</v>
      </c>
      <c r="I1211" s="9">
        <v>88.75</v>
      </c>
      <c r="J1211" s="9">
        <f t="shared" si="29"/>
        <v>961.25</v>
      </c>
      <c r="K1211" s="7" t="s">
        <v>89</v>
      </c>
    </row>
    <row r="1212" spans="1:11" x14ac:dyDescent="0.25">
      <c r="A1212" s="2" t="s">
        <v>1647</v>
      </c>
      <c r="B1212" s="3" t="s">
        <v>37</v>
      </c>
      <c r="C1212" s="13" t="s">
        <v>409</v>
      </c>
      <c r="D1212" s="3" t="s">
        <v>22</v>
      </c>
      <c r="E1212" s="3" t="s">
        <v>30</v>
      </c>
      <c r="F1212" s="3" t="s">
        <v>152</v>
      </c>
      <c r="G1212" s="4">
        <v>3</v>
      </c>
      <c r="H1212" s="5">
        <v>4500</v>
      </c>
      <c r="I1212" s="5">
        <v>0</v>
      </c>
      <c r="J1212" s="5">
        <f t="shared" si="29"/>
        <v>13500</v>
      </c>
      <c r="K1212" s="3" t="s">
        <v>89</v>
      </c>
    </row>
    <row r="1213" spans="1:11" x14ac:dyDescent="0.25">
      <c r="A1213" s="6" t="s">
        <v>1648</v>
      </c>
      <c r="B1213" s="7" t="s">
        <v>71</v>
      </c>
      <c r="C1213" s="14" t="s">
        <v>531</v>
      </c>
      <c r="D1213" s="7" t="s">
        <v>39</v>
      </c>
      <c r="E1213" s="7" t="s">
        <v>23</v>
      </c>
      <c r="F1213" s="7" t="s">
        <v>48</v>
      </c>
      <c r="G1213" s="8">
        <v>1</v>
      </c>
      <c r="H1213" s="9">
        <v>450</v>
      </c>
      <c r="I1213" s="9">
        <v>0</v>
      </c>
      <c r="J1213" s="9">
        <f t="shared" si="29"/>
        <v>450</v>
      </c>
      <c r="K1213" s="7" t="s">
        <v>69</v>
      </c>
    </row>
    <row r="1214" spans="1:11" x14ac:dyDescent="0.25">
      <c r="A1214" s="2" t="s">
        <v>1649</v>
      </c>
      <c r="B1214" s="3" t="s">
        <v>34</v>
      </c>
      <c r="C1214" s="13" t="s">
        <v>904</v>
      </c>
      <c r="D1214" s="3" t="s">
        <v>29</v>
      </c>
      <c r="E1214" s="3" t="s">
        <v>30</v>
      </c>
      <c r="F1214" s="3" t="s">
        <v>68</v>
      </c>
      <c r="G1214" s="4">
        <v>3</v>
      </c>
      <c r="H1214" s="5">
        <v>799</v>
      </c>
      <c r="I1214" s="5">
        <v>0</v>
      </c>
      <c r="J1214" s="5">
        <f t="shared" si="29"/>
        <v>2397</v>
      </c>
      <c r="K1214" s="3" t="s">
        <v>49</v>
      </c>
    </row>
    <row r="1215" spans="1:11" x14ac:dyDescent="0.25">
      <c r="A1215" s="6" t="s">
        <v>1650</v>
      </c>
      <c r="B1215" s="7" t="s">
        <v>37</v>
      </c>
      <c r="C1215" s="14" t="s">
        <v>671</v>
      </c>
      <c r="D1215" s="7" t="s">
        <v>29</v>
      </c>
      <c r="E1215" s="7" t="s">
        <v>16</v>
      </c>
      <c r="F1215" s="7" t="s">
        <v>103</v>
      </c>
      <c r="G1215" s="8">
        <v>4</v>
      </c>
      <c r="H1215" s="9">
        <v>89</v>
      </c>
      <c r="I1215" s="9">
        <v>0</v>
      </c>
      <c r="J1215" s="9">
        <f t="shared" ref="J1215:J1278" si="30">(G1215*H1215)-I1215</f>
        <v>356</v>
      </c>
      <c r="K1215" s="7" t="s">
        <v>89</v>
      </c>
    </row>
    <row r="1216" spans="1:11" x14ac:dyDescent="0.25">
      <c r="A1216" s="2" t="s">
        <v>1651</v>
      </c>
      <c r="B1216" s="3" t="s">
        <v>20</v>
      </c>
      <c r="C1216" s="13" t="s">
        <v>998</v>
      </c>
      <c r="D1216" s="3" t="s">
        <v>22</v>
      </c>
      <c r="E1216" s="3" t="s">
        <v>52</v>
      </c>
      <c r="F1216" s="3" t="s">
        <v>53</v>
      </c>
      <c r="G1216" s="4">
        <v>3</v>
      </c>
      <c r="H1216" s="5">
        <v>149</v>
      </c>
      <c r="I1216" s="5">
        <v>6.05</v>
      </c>
      <c r="J1216" s="5">
        <f t="shared" si="30"/>
        <v>440.95</v>
      </c>
      <c r="K1216" s="3" t="s">
        <v>18</v>
      </c>
    </row>
    <row r="1217" spans="1:11" x14ac:dyDescent="0.25">
      <c r="A1217" s="6" t="s">
        <v>1652</v>
      </c>
      <c r="B1217" s="7" t="s">
        <v>37</v>
      </c>
      <c r="C1217" s="14" t="s">
        <v>720</v>
      </c>
      <c r="D1217" s="7" t="s">
        <v>15</v>
      </c>
      <c r="E1217" s="7" t="s">
        <v>23</v>
      </c>
      <c r="F1217" s="7" t="s">
        <v>43</v>
      </c>
      <c r="G1217" s="8">
        <v>2</v>
      </c>
      <c r="H1217" s="9">
        <v>350</v>
      </c>
      <c r="I1217" s="9">
        <v>0</v>
      </c>
      <c r="J1217" s="9">
        <f t="shared" si="30"/>
        <v>700</v>
      </c>
      <c r="K1217" s="7" t="s">
        <v>89</v>
      </c>
    </row>
    <row r="1218" spans="1:11" x14ac:dyDescent="0.25">
      <c r="A1218" s="2" t="s">
        <v>1653</v>
      </c>
      <c r="B1218" s="3" t="s">
        <v>41</v>
      </c>
      <c r="C1218" s="13" t="s">
        <v>275</v>
      </c>
      <c r="D1218" s="3" t="s">
        <v>29</v>
      </c>
      <c r="E1218" s="3" t="s">
        <v>16</v>
      </c>
      <c r="F1218" s="3" t="s">
        <v>116</v>
      </c>
      <c r="G1218" s="4">
        <v>1</v>
      </c>
      <c r="H1218" s="5">
        <v>45</v>
      </c>
      <c r="I1218" s="5">
        <v>3.01</v>
      </c>
      <c r="J1218" s="5">
        <f t="shared" si="30"/>
        <v>41.99</v>
      </c>
      <c r="K1218" s="3" t="s">
        <v>65</v>
      </c>
    </row>
    <row r="1219" spans="1:11" x14ac:dyDescent="0.25">
      <c r="A1219" s="6" t="s">
        <v>1654</v>
      </c>
      <c r="B1219" s="7" t="s">
        <v>20</v>
      </c>
      <c r="C1219" s="14" t="s">
        <v>42</v>
      </c>
      <c r="D1219" s="7" t="s">
        <v>39</v>
      </c>
      <c r="E1219" s="7" t="s">
        <v>52</v>
      </c>
      <c r="F1219" s="7" t="s">
        <v>61</v>
      </c>
      <c r="G1219" s="8">
        <v>3</v>
      </c>
      <c r="H1219" s="9">
        <v>199</v>
      </c>
      <c r="I1219" s="9">
        <v>0</v>
      </c>
      <c r="J1219" s="9">
        <f t="shared" si="30"/>
        <v>597</v>
      </c>
      <c r="K1219" s="7" t="s">
        <v>32</v>
      </c>
    </row>
    <row r="1220" spans="1:11" x14ac:dyDescent="0.25">
      <c r="A1220" s="2" t="s">
        <v>1655</v>
      </c>
      <c r="B1220" s="3" t="s">
        <v>101</v>
      </c>
      <c r="C1220" s="13" t="s">
        <v>684</v>
      </c>
      <c r="D1220" s="3" t="s">
        <v>15</v>
      </c>
      <c r="E1220" s="3" t="s">
        <v>23</v>
      </c>
      <c r="F1220" s="3" t="s">
        <v>24</v>
      </c>
      <c r="G1220" s="4">
        <v>4</v>
      </c>
      <c r="H1220" s="5">
        <v>180</v>
      </c>
      <c r="I1220" s="5">
        <v>76.069999999999993</v>
      </c>
      <c r="J1220" s="5">
        <f t="shared" si="30"/>
        <v>643.93000000000006</v>
      </c>
      <c r="K1220" s="3" t="s">
        <v>32</v>
      </c>
    </row>
    <row r="1221" spans="1:11" x14ac:dyDescent="0.25">
      <c r="A1221" s="6" t="s">
        <v>1656</v>
      </c>
      <c r="B1221" s="7" t="s">
        <v>95</v>
      </c>
      <c r="C1221" s="14" t="s">
        <v>492</v>
      </c>
      <c r="D1221" s="7" t="s">
        <v>47</v>
      </c>
      <c r="E1221" s="7" t="s">
        <v>52</v>
      </c>
      <c r="F1221" s="7" t="s">
        <v>99</v>
      </c>
      <c r="G1221" s="8">
        <v>3</v>
      </c>
      <c r="H1221" s="9">
        <v>79</v>
      </c>
      <c r="I1221" s="9">
        <v>0</v>
      </c>
      <c r="J1221" s="9">
        <f t="shared" si="30"/>
        <v>237</v>
      </c>
      <c r="K1221" s="7" t="s">
        <v>65</v>
      </c>
    </row>
    <row r="1222" spans="1:11" x14ac:dyDescent="0.25">
      <c r="A1222" s="2" t="s">
        <v>1657</v>
      </c>
      <c r="B1222" s="3" t="s">
        <v>41</v>
      </c>
      <c r="C1222" s="13" t="s">
        <v>318</v>
      </c>
      <c r="D1222" s="3" t="s">
        <v>15</v>
      </c>
      <c r="E1222" s="3" t="s">
        <v>52</v>
      </c>
      <c r="F1222" s="3" t="s">
        <v>75</v>
      </c>
      <c r="G1222" s="4">
        <v>1</v>
      </c>
      <c r="H1222" s="5">
        <v>249</v>
      </c>
      <c r="I1222" s="5">
        <v>3.99</v>
      </c>
      <c r="J1222" s="5">
        <f t="shared" si="30"/>
        <v>245.01</v>
      </c>
      <c r="K1222" s="3" t="s">
        <v>69</v>
      </c>
    </row>
    <row r="1223" spans="1:11" x14ac:dyDescent="0.25">
      <c r="A1223" s="6" t="s">
        <v>1658</v>
      </c>
      <c r="B1223" s="7" t="s">
        <v>20</v>
      </c>
      <c r="C1223" s="14" t="s">
        <v>1027</v>
      </c>
      <c r="D1223" s="7" t="s">
        <v>29</v>
      </c>
      <c r="E1223" s="7" t="s">
        <v>23</v>
      </c>
      <c r="F1223" s="7" t="s">
        <v>48</v>
      </c>
      <c r="G1223" s="8">
        <v>5</v>
      </c>
      <c r="H1223" s="9">
        <v>450</v>
      </c>
      <c r="I1223" s="9">
        <v>99.44</v>
      </c>
      <c r="J1223" s="9">
        <f t="shared" si="30"/>
        <v>2150.56</v>
      </c>
      <c r="K1223" s="7" t="s">
        <v>32</v>
      </c>
    </row>
    <row r="1224" spans="1:11" x14ac:dyDescent="0.25">
      <c r="A1224" s="2" t="s">
        <v>1659</v>
      </c>
      <c r="B1224" s="3" t="s">
        <v>95</v>
      </c>
      <c r="C1224" s="13" t="s">
        <v>469</v>
      </c>
      <c r="D1224" s="3" t="s">
        <v>15</v>
      </c>
      <c r="E1224" s="3" t="s">
        <v>16</v>
      </c>
      <c r="F1224" s="3" t="s">
        <v>116</v>
      </c>
      <c r="G1224" s="4">
        <v>3</v>
      </c>
      <c r="H1224" s="5">
        <v>45</v>
      </c>
      <c r="I1224" s="5">
        <v>0</v>
      </c>
      <c r="J1224" s="5">
        <f t="shared" si="30"/>
        <v>135</v>
      </c>
      <c r="K1224" s="3" t="s">
        <v>32</v>
      </c>
    </row>
    <row r="1225" spans="1:11" x14ac:dyDescent="0.25">
      <c r="A1225" s="6" t="s">
        <v>1660</v>
      </c>
      <c r="B1225" s="7" t="s">
        <v>37</v>
      </c>
      <c r="C1225" s="14" t="s">
        <v>443</v>
      </c>
      <c r="D1225" s="7" t="s">
        <v>29</v>
      </c>
      <c r="E1225" s="7" t="s">
        <v>52</v>
      </c>
      <c r="F1225" s="7" t="s">
        <v>99</v>
      </c>
      <c r="G1225" s="8">
        <v>4</v>
      </c>
      <c r="H1225" s="9">
        <v>79</v>
      </c>
      <c r="I1225" s="9">
        <v>0</v>
      </c>
      <c r="J1225" s="9">
        <f t="shared" si="30"/>
        <v>316</v>
      </c>
      <c r="K1225" s="7" t="s">
        <v>25</v>
      </c>
    </row>
    <row r="1226" spans="1:11" x14ac:dyDescent="0.25">
      <c r="A1226" s="2" t="s">
        <v>1661</v>
      </c>
      <c r="B1226" s="3" t="s">
        <v>34</v>
      </c>
      <c r="C1226" s="13" t="s">
        <v>304</v>
      </c>
      <c r="D1226" s="3" t="s">
        <v>47</v>
      </c>
      <c r="E1226" s="3" t="s">
        <v>23</v>
      </c>
      <c r="F1226" s="3" t="s">
        <v>48</v>
      </c>
      <c r="G1226" s="4">
        <v>3</v>
      </c>
      <c r="H1226" s="5">
        <v>450</v>
      </c>
      <c r="I1226" s="5">
        <v>0</v>
      </c>
      <c r="J1226" s="5">
        <f t="shared" si="30"/>
        <v>1350</v>
      </c>
      <c r="K1226" s="3" t="s">
        <v>49</v>
      </c>
    </row>
    <row r="1227" spans="1:11" x14ac:dyDescent="0.25">
      <c r="A1227" s="6" t="s">
        <v>1662</v>
      </c>
      <c r="B1227" s="7" t="s">
        <v>63</v>
      </c>
      <c r="C1227" s="14" t="s">
        <v>985</v>
      </c>
      <c r="D1227" s="7" t="s">
        <v>22</v>
      </c>
      <c r="E1227" s="7" t="s">
        <v>23</v>
      </c>
      <c r="F1227" s="7" t="s">
        <v>24</v>
      </c>
      <c r="G1227" s="8">
        <v>2</v>
      </c>
      <c r="H1227" s="9">
        <v>180</v>
      </c>
      <c r="I1227" s="9">
        <v>17.420000000000002</v>
      </c>
      <c r="J1227" s="9">
        <f t="shared" si="30"/>
        <v>342.58</v>
      </c>
      <c r="K1227" s="7" t="s">
        <v>32</v>
      </c>
    </row>
    <row r="1228" spans="1:11" x14ac:dyDescent="0.25">
      <c r="A1228" s="2" t="s">
        <v>1663</v>
      </c>
      <c r="B1228" s="3" t="s">
        <v>101</v>
      </c>
      <c r="C1228" s="13" t="s">
        <v>1606</v>
      </c>
      <c r="D1228" s="3" t="s">
        <v>22</v>
      </c>
      <c r="E1228" s="3" t="s">
        <v>30</v>
      </c>
      <c r="F1228" s="3" t="s">
        <v>106</v>
      </c>
      <c r="G1228" s="4">
        <v>2</v>
      </c>
      <c r="H1228" s="5">
        <v>299</v>
      </c>
      <c r="I1228" s="5">
        <v>4.37</v>
      </c>
      <c r="J1228" s="5">
        <f t="shared" si="30"/>
        <v>593.63</v>
      </c>
      <c r="K1228" s="3" t="s">
        <v>32</v>
      </c>
    </row>
    <row r="1229" spans="1:11" x14ac:dyDescent="0.25">
      <c r="A1229" s="6" t="s">
        <v>1664</v>
      </c>
      <c r="B1229" s="7" t="s">
        <v>101</v>
      </c>
      <c r="C1229" s="14" t="s">
        <v>655</v>
      </c>
      <c r="D1229" s="7" t="s">
        <v>15</v>
      </c>
      <c r="E1229" s="7" t="s">
        <v>16</v>
      </c>
      <c r="F1229" s="7" t="s">
        <v>103</v>
      </c>
      <c r="G1229" s="8">
        <v>5</v>
      </c>
      <c r="H1229" s="9">
        <v>89</v>
      </c>
      <c r="I1229" s="9">
        <v>0</v>
      </c>
      <c r="J1229" s="9">
        <f t="shared" si="30"/>
        <v>445</v>
      </c>
      <c r="K1229" s="7" t="s">
        <v>89</v>
      </c>
    </row>
    <row r="1230" spans="1:11" x14ac:dyDescent="0.25">
      <c r="A1230" s="2" t="s">
        <v>1665</v>
      </c>
      <c r="B1230" s="3" t="s">
        <v>71</v>
      </c>
      <c r="C1230" s="13" t="s">
        <v>1058</v>
      </c>
      <c r="D1230" s="3" t="s">
        <v>22</v>
      </c>
      <c r="E1230" s="3" t="s">
        <v>30</v>
      </c>
      <c r="F1230" s="3" t="s">
        <v>152</v>
      </c>
      <c r="G1230" s="4">
        <v>1</v>
      </c>
      <c r="H1230" s="5">
        <v>4500</v>
      </c>
      <c r="I1230" s="5">
        <v>0</v>
      </c>
      <c r="J1230" s="5">
        <f t="shared" si="30"/>
        <v>4500</v>
      </c>
      <c r="K1230" s="3" t="s">
        <v>49</v>
      </c>
    </row>
    <row r="1231" spans="1:11" x14ac:dyDescent="0.25">
      <c r="A1231" s="6" t="s">
        <v>1666</v>
      </c>
      <c r="B1231" s="7" t="s">
        <v>41</v>
      </c>
      <c r="C1231" s="14" t="s">
        <v>529</v>
      </c>
      <c r="D1231" s="7" t="s">
        <v>39</v>
      </c>
      <c r="E1231" s="7" t="s">
        <v>30</v>
      </c>
      <c r="F1231" s="7" t="s">
        <v>106</v>
      </c>
      <c r="G1231" s="8">
        <v>1</v>
      </c>
      <c r="H1231" s="9">
        <v>299</v>
      </c>
      <c r="I1231" s="9">
        <v>27.17</v>
      </c>
      <c r="J1231" s="9">
        <f t="shared" si="30"/>
        <v>271.83</v>
      </c>
      <c r="K1231" s="7" t="s">
        <v>89</v>
      </c>
    </row>
    <row r="1232" spans="1:11" x14ac:dyDescent="0.25">
      <c r="A1232" s="2" t="s">
        <v>1667</v>
      </c>
      <c r="B1232" s="3" t="s">
        <v>110</v>
      </c>
      <c r="C1232" s="13" t="s">
        <v>151</v>
      </c>
      <c r="D1232" s="3" t="s">
        <v>39</v>
      </c>
      <c r="E1232" s="3" t="s">
        <v>52</v>
      </c>
      <c r="F1232" s="3" t="s">
        <v>99</v>
      </c>
      <c r="G1232" s="4">
        <v>2</v>
      </c>
      <c r="H1232" s="5">
        <v>79</v>
      </c>
      <c r="I1232" s="5">
        <v>13.49</v>
      </c>
      <c r="J1232" s="5">
        <f t="shared" si="30"/>
        <v>144.51</v>
      </c>
      <c r="K1232" s="3" t="s">
        <v>69</v>
      </c>
    </row>
    <row r="1233" spans="1:11" x14ac:dyDescent="0.25">
      <c r="A1233" s="6" t="s">
        <v>1668</v>
      </c>
      <c r="B1233" s="7" t="s">
        <v>71</v>
      </c>
      <c r="C1233" s="14" t="s">
        <v>673</v>
      </c>
      <c r="D1233" s="7" t="s">
        <v>22</v>
      </c>
      <c r="E1233" s="7" t="s">
        <v>23</v>
      </c>
      <c r="F1233" s="7" t="s">
        <v>48</v>
      </c>
      <c r="G1233" s="8">
        <v>5</v>
      </c>
      <c r="H1233" s="9">
        <v>450</v>
      </c>
      <c r="I1233" s="9">
        <v>0</v>
      </c>
      <c r="J1233" s="9">
        <f t="shared" si="30"/>
        <v>2250</v>
      </c>
      <c r="K1233" s="7" t="s">
        <v>65</v>
      </c>
    </row>
    <row r="1234" spans="1:11" x14ac:dyDescent="0.25">
      <c r="A1234" s="2" t="s">
        <v>1669</v>
      </c>
      <c r="B1234" s="3" t="s">
        <v>95</v>
      </c>
      <c r="C1234" s="13" t="s">
        <v>1050</v>
      </c>
      <c r="D1234" s="3" t="s">
        <v>22</v>
      </c>
      <c r="E1234" s="3" t="s">
        <v>16</v>
      </c>
      <c r="F1234" s="3" t="s">
        <v>103</v>
      </c>
      <c r="G1234" s="4">
        <v>1</v>
      </c>
      <c r="H1234" s="5">
        <v>89</v>
      </c>
      <c r="I1234" s="5">
        <v>2.2999999999999998</v>
      </c>
      <c r="J1234" s="5">
        <f t="shared" si="30"/>
        <v>86.7</v>
      </c>
      <c r="K1234" s="3" t="s">
        <v>32</v>
      </c>
    </row>
    <row r="1235" spans="1:11" x14ac:dyDescent="0.25">
      <c r="A1235" s="6" t="s">
        <v>1670</v>
      </c>
      <c r="B1235" s="7" t="s">
        <v>95</v>
      </c>
      <c r="C1235" s="14" t="s">
        <v>237</v>
      </c>
      <c r="D1235" s="7" t="s">
        <v>15</v>
      </c>
      <c r="E1235" s="7" t="s">
        <v>52</v>
      </c>
      <c r="F1235" s="7" t="s">
        <v>75</v>
      </c>
      <c r="G1235" s="8">
        <v>3</v>
      </c>
      <c r="H1235" s="9">
        <v>249</v>
      </c>
      <c r="I1235" s="9">
        <v>110.32</v>
      </c>
      <c r="J1235" s="9">
        <f t="shared" si="30"/>
        <v>636.68000000000006</v>
      </c>
      <c r="K1235" s="7" t="s">
        <v>69</v>
      </c>
    </row>
    <row r="1236" spans="1:11" x14ac:dyDescent="0.25">
      <c r="A1236" s="2" t="s">
        <v>1671</v>
      </c>
      <c r="B1236" s="3" t="s">
        <v>110</v>
      </c>
      <c r="C1236" s="13" t="s">
        <v>331</v>
      </c>
      <c r="D1236" s="3" t="s">
        <v>47</v>
      </c>
      <c r="E1236" s="3" t="s">
        <v>30</v>
      </c>
      <c r="F1236" s="3"/>
      <c r="G1236" s="4">
        <v>2</v>
      </c>
      <c r="H1236" s="5">
        <v>799</v>
      </c>
      <c r="I1236" s="5">
        <v>0</v>
      </c>
      <c r="J1236" s="5">
        <f t="shared" si="30"/>
        <v>1598</v>
      </c>
      <c r="K1236" s="3" t="s">
        <v>89</v>
      </c>
    </row>
    <row r="1237" spans="1:11" x14ac:dyDescent="0.25">
      <c r="A1237" s="6" t="s">
        <v>1672</v>
      </c>
      <c r="B1237" s="7" t="s">
        <v>63</v>
      </c>
      <c r="C1237" s="14" t="s">
        <v>1673</v>
      </c>
      <c r="D1237" s="7" t="s">
        <v>15</v>
      </c>
      <c r="E1237" s="7"/>
      <c r="F1237" s="7" t="s">
        <v>43</v>
      </c>
      <c r="G1237" s="8">
        <v>3</v>
      </c>
      <c r="H1237" s="9">
        <v>350</v>
      </c>
      <c r="I1237" s="9">
        <v>0</v>
      </c>
      <c r="J1237" s="9">
        <f t="shared" si="30"/>
        <v>1050</v>
      </c>
      <c r="K1237" s="7" t="s">
        <v>25</v>
      </c>
    </row>
    <row r="1238" spans="1:11" x14ac:dyDescent="0.25">
      <c r="A1238" s="2" t="s">
        <v>1674</v>
      </c>
      <c r="B1238" s="3" t="s">
        <v>37</v>
      </c>
      <c r="C1238" s="13" t="s">
        <v>1050</v>
      </c>
      <c r="D1238" s="3" t="s">
        <v>22</v>
      </c>
      <c r="E1238" s="3" t="s">
        <v>16</v>
      </c>
      <c r="F1238" s="3" t="s">
        <v>116</v>
      </c>
      <c r="G1238" s="4">
        <v>4</v>
      </c>
      <c r="H1238" s="5">
        <v>45</v>
      </c>
      <c r="I1238" s="5">
        <v>19.84</v>
      </c>
      <c r="J1238" s="5">
        <f t="shared" si="30"/>
        <v>160.16</v>
      </c>
      <c r="K1238" s="3" t="s">
        <v>25</v>
      </c>
    </row>
    <row r="1239" spans="1:11" x14ac:dyDescent="0.25">
      <c r="A1239" s="6" t="s">
        <v>1675</v>
      </c>
      <c r="B1239" s="7" t="s">
        <v>63</v>
      </c>
      <c r="C1239" s="14" t="s">
        <v>684</v>
      </c>
      <c r="D1239" s="7" t="s">
        <v>149</v>
      </c>
      <c r="E1239" s="7" t="s">
        <v>16</v>
      </c>
      <c r="F1239" s="7" t="s">
        <v>103</v>
      </c>
      <c r="G1239" s="8">
        <v>2</v>
      </c>
      <c r="H1239" s="9">
        <v>89</v>
      </c>
      <c r="I1239" s="9">
        <v>16.82</v>
      </c>
      <c r="J1239" s="9">
        <f t="shared" si="30"/>
        <v>161.18</v>
      </c>
      <c r="K1239" s="7" t="s">
        <v>89</v>
      </c>
    </row>
    <row r="1240" spans="1:11" x14ac:dyDescent="0.25">
      <c r="A1240" s="2" t="s">
        <v>1676</v>
      </c>
      <c r="B1240" s="3" t="s">
        <v>13</v>
      </c>
      <c r="C1240" s="13" t="s">
        <v>711</v>
      </c>
      <c r="D1240" s="3" t="s">
        <v>22</v>
      </c>
      <c r="E1240" s="3" t="s">
        <v>30</v>
      </c>
      <c r="F1240" s="3" t="s">
        <v>106</v>
      </c>
      <c r="G1240" s="4">
        <v>2</v>
      </c>
      <c r="H1240" s="5">
        <v>299</v>
      </c>
      <c r="I1240" s="5">
        <v>0</v>
      </c>
      <c r="J1240" s="5">
        <f t="shared" si="30"/>
        <v>598</v>
      </c>
      <c r="K1240" s="3" t="s">
        <v>32</v>
      </c>
    </row>
    <row r="1241" spans="1:11" x14ac:dyDescent="0.25">
      <c r="A1241" s="6" t="s">
        <v>1677</v>
      </c>
      <c r="B1241" s="7" t="s">
        <v>41</v>
      </c>
      <c r="C1241" s="14" t="s">
        <v>618</v>
      </c>
      <c r="D1241" s="7" t="s">
        <v>47</v>
      </c>
      <c r="E1241" s="7" t="s">
        <v>16</v>
      </c>
      <c r="F1241" s="7" t="s">
        <v>17</v>
      </c>
      <c r="G1241" s="8">
        <v>3</v>
      </c>
      <c r="H1241" s="9">
        <v>39</v>
      </c>
      <c r="I1241" s="9">
        <v>0</v>
      </c>
      <c r="J1241" s="9">
        <f t="shared" si="30"/>
        <v>117</v>
      </c>
      <c r="K1241" s="7" t="s">
        <v>44</v>
      </c>
    </row>
    <row r="1242" spans="1:11" x14ac:dyDescent="0.25">
      <c r="A1242" s="2" t="s">
        <v>1678</v>
      </c>
      <c r="B1242" s="3" t="s">
        <v>34</v>
      </c>
      <c r="C1242" s="13" t="s">
        <v>314</v>
      </c>
      <c r="D1242" s="3" t="s">
        <v>47</v>
      </c>
      <c r="E1242" s="3" t="s">
        <v>16</v>
      </c>
      <c r="F1242" s="3" t="s">
        <v>116</v>
      </c>
      <c r="G1242" s="4">
        <v>2</v>
      </c>
      <c r="H1242" s="5">
        <v>45</v>
      </c>
      <c r="I1242" s="5">
        <v>4.83</v>
      </c>
      <c r="J1242" s="5">
        <f t="shared" si="30"/>
        <v>85.17</v>
      </c>
      <c r="K1242" s="3" t="s">
        <v>69</v>
      </c>
    </row>
    <row r="1243" spans="1:11" x14ac:dyDescent="0.25">
      <c r="A1243" s="6" t="s">
        <v>1679</v>
      </c>
      <c r="B1243" s="7" t="s">
        <v>63</v>
      </c>
      <c r="C1243" s="14" t="s">
        <v>900</v>
      </c>
      <c r="D1243" s="7" t="s">
        <v>29</v>
      </c>
      <c r="E1243" s="7" t="s">
        <v>23</v>
      </c>
      <c r="F1243" s="7" t="s">
        <v>24</v>
      </c>
      <c r="G1243" s="8">
        <v>5</v>
      </c>
      <c r="H1243" s="9">
        <v>180</v>
      </c>
      <c r="I1243" s="9">
        <v>0</v>
      </c>
      <c r="J1243" s="9">
        <f t="shared" si="30"/>
        <v>900</v>
      </c>
      <c r="K1243" s="7" t="s">
        <v>65</v>
      </c>
    </row>
    <row r="1244" spans="1:11" x14ac:dyDescent="0.25">
      <c r="A1244" s="2" t="s">
        <v>1680</v>
      </c>
      <c r="B1244" s="3" t="s">
        <v>101</v>
      </c>
      <c r="C1244" s="13" t="s">
        <v>72</v>
      </c>
      <c r="D1244" s="3" t="s">
        <v>22</v>
      </c>
      <c r="E1244" s="3" t="s">
        <v>30</v>
      </c>
      <c r="F1244" s="3" t="s">
        <v>152</v>
      </c>
      <c r="G1244" s="4">
        <v>3</v>
      </c>
      <c r="H1244" s="5">
        <v>4500</v>
      </c>
      <c r="I1244" s="5">
        <v>647.85</v>
      </c>
      <c r="J1244" s="5">
        <f t="shared" si="30"/>
        <v>12852.15</v>
      </c>
      <c r="K1244" s="3" t="s">
        <v>65</v>
      </c>
    </row>
    <row r="1245" spans="1:11" x14ac:dyDescent="0.25">
      <c r="A1245" s="6" t="s">
        <v>1681</v>
      </c>
      <c r="B1245" s="7" t="s">
        <v>34</v>
      </c>
      <c r="C1245" s="14" t="s">
        <v>83</v>
      </c>
      <c r="D1245" s="7" t="s">
        <v>39</v>
      </c>
      <c r="E1245" s="7" t="s">
        <v>30</v>
      </c>
      <c r="F1245" s="7" t="s">
        <v>106</v>
      </c>
      <c r="G1245" s="8">
        <v>3</v>
      </c>
      <c r="H1245" s="9">
        <v>299</v>
      </c>
      <c r="I1245" s="9">
        <v>116.55</v>
      </c>
      <c r="J1245" s="9">
        <f t="shared" si="30"/>
        <v>780.45</v>
      </c>
      <c r="K1245" s="7" t="s">
        <v>65</v>
      </c>
    </row>
    <row r="1246" spans="1:11" x14ac:dyDescent="0.25">
      <c r="A1246" s="2" t="s">
        <v>1682</v>
      </c>
      <c r="B1246" s="3" t="s">
        <v>95</v>
      </c>
      <c r="C1246" s="13" t="s">
        <v>87</v>
      </c>
      <c r="D1246" s="3" t="s">
        <v>15</v>
      </c>
      <c r="E1246" s="3" t="s">
        <v>23</v>
      </c>
      <c r="F1246" s="3" t="s">
        <v>24</v>
      </c>
      <c r="G1246" s="4">
        <v>1</v>
      </c>
      <c r="H1246" s="5">
        <v>180</v>
      </c>
      <c r="I1246" s="5">
        <v>17.440000000000001</v>
      </c>
      <c r="J1246" s="5">
        <f t="shared" si="30"/>
        <v>162.56</v>
      </c>
      <c r="K1246" s="3" t="s">
        <v>18</v>
      </c>
    </row>
    <row r="1247" spans="1:11" x14ac:dyDescent="0.25">
      <c r="A1247" s="6" t="s">
        <v>1683</v>
      </c>
      <c r="B1247" s="7" t="s">
        <v>277</v>
      </c>
      <c r="C1247" s="14" t="s">
        <v>591</v>
      </c>
      <c r="D1247" s="7" t="s">
        <v>15</v>
      </c>
      <c r="E1247" s="7" t="s">
        <v>30</v>
      </c>
      <c r="F1247" s="7" t="s">
        <v>31</v>
      </c>
      <c r="G1247" s="8">
        <v>2</v>
      </c>
      <c r="H1247" s="9">
        <v>2500</v>
      </c>
      <c r="I1247" s="9">
        <v>0</v>
      </c>
      <c r="J1247" s="9">
        <f t="shared" si="30"/>
        <v>5000</v>
      </c>
      <c r="K1247" s="7" t="s">
        <v>65</v>
      </c>
    </row>
    <row r="1248" spans="1:11" x14ac:dyDescent="0.25">
      <c r="A1248" s="2" t="s">
        <v>1684</v>
      </c>
      <c r="B1248" s="3" t="s">
        <v>71</v>
      </c>
      <c r="C1248" s="13" t="s">
        <v>1685</v>
      </c>
      <c r="D1248" s="3" t="s">
        <v>39</v>
      </c>
      <c r="E1248" s="3" t="s">
        <v>23</v>
      </c>
      <c r="F1248" s="3" t="s">
        <v>88</v>
      </c>
      <c r="G1248" s="4">
        <v>4</v>
      </c>
      <c r="H1248" s="5">
        <v>650</v>
      </c>
      <c r="I1248" s="5">
        <v>0</v>
      </c>
      <c r="J1248" s="5">
        <f t="shared" si="30"/>
        <v>2600</v>
      </c>
      <c r="K1248" s="3" t="s">
        <v>44</v>
      </c>
    </row>
    <row r="1249" spans="1:11" x14ac:dyDescent="0.25">
      <c r="A1249" s="6" t="s">
        <v>1686</v>
      </c>
      <c r="B1249" s="7" t="s">
        <v>71</v>
      </c>
      <c r="C1249" s="14" t="s">
        <v>1027</v>
      </c>
      <c r="D1249" s="7" t="s">
        <v>15</v>
      </c>
      <c r="E1249" s="7" t="s">
        <v>16</v>
      </c>
      <c r="F1249" s="7" t="s">
        <v>116</v>
      </c>
      <c r="G1249" s="8">
        <v>2</v>
      </c>
      <c r="H1249" s="9">
        <v>45</v>
      </c>
      <c r="I1249" s="9">
        <v>7.38</v>
      </c>
      <c r="J1249" s="9">
        <f t="shared" si="30"/>
        <v>82.62</v>
      </c>
      <c r="K1249" s="7" t="s">
        <v>25</v>
      </c>
    </row>
    <row r="1250" spans="1:11" x14ac:dyDescent="0.25">
      <c r="A1250" s="2" t="s">
        <v>1687</v>
      </c>
      <c r="B1250" s="3" t="s">
        <v>37</v>
      </c>
      <c r="C1250" s="13" t="s">
        <v>230</v>
      </c>
      <c r="D1250" s="3" t="s">
        <v>22</v>
      </c>
      <c r="E1250" s="3" t="s">
        <v>30</v>
      </c>
      <c r="F1250" s="3" t="s">
        <v>106</v>
      </c>
      <c r="G1250" s="4">
        <v>2</v>
      </c>
      <c r="H1250" s="5">
        <v>299</v>
      </c>
      <c r="I1250" s="5">
        <v>0</v>
      </c>
      <c r="J1250" s="5">
        <f t="shared" si="30"/>
        <v>598</v>
      </c>
      <c r="K1250" s="3" t="s">
        <v>25</v>
      </c>
    </row>
    <row r="1251" spans="1:11" x14ac:dyDescent="0.25">
      <c r="A1251" s="6" t="s">
        <v>1688</v>
      </c>
      <c r="B1251" s="7" t="s">
        <v>110</v>
      </c>
      <c r="C1251" s="14" t="s">
        <v>1018</v>
      </c>
      <c r="D1251" s="7" t="s">
        <v>15</v>
      </c>
      <c r="E1251" s="7" t="s">
        <v>30</v>
      </c>
      <c r="F1251" s="7" t="s">
        <v>68</v>
      </c>
      <c r="G1251" s="8">
        <v>2</v>
      </c>
      <c r="H1251" s="9">
        <v>799</v>
      </c>
      <c r="I1251" s="9">
        <v>0</v>
      </c>
      <c r="J1251" s="9">
        <f t="shared" si="30"/>
        <v>1598</v>
      </c>
      <c r="K1251" s="7" t="s">
        <v>89</v>
      </c>
    </row>
    <row r="1252" spans="1:11" x14ac:dyDescent="0.25">
      <c r="A1252" s="2" t="s">
        <v>1559</v>
      </c>
      <c r="B1252" s="3" t="s">
        <v>20</v>
      </c>
      <c r="C1252" s="13" t="s">
        <v>756</v>
      </c>
      <c r="D1252" s="3" t="s">
        <v>22</v>
      </c>
      <c r="E1252" s="3" t="s">
        <v>16</v>
      </c>
      <c r="F1252" s="3" t="s">
        <v>78</v>
      </c>
      <c r="G1252" s="4">
        <v>2</v>
      </c>
      <c r="H1252" s="5">
        <v>59</v>
      </c>
      <c r="I1252" s="5">
        <v>9.93</v>
      </c>
      <c r="J1252" s="5">
        <f t="shared" si="30"/>
        <v>108.07</v>
      </c>
      <c r="K1252" s="3" t="s">
        <v>44</v>
      </c>
    </row>
    <row r="1253" spans="1:11" x14ac:dyDescent="0.25">
      <c r="A1253" s="6" t="s">
        <v>1521</v>
      </c>
      <c r="B1253" s="7" t="s">
        <v>27</v>
      </c>
      <c r="C1253" s="14" t="s">
        <v>510</v>
      </c>
      <c r="D1253" s="7" t="s">
        <v>149</v>
      </c>
      <c r="E1253" s="7" t="s">
        <v>52</v>
      </c>
      <c r="F1253" s="7" t="s">
        <v>61</v>
      </c>
      <c r="G1253" s="8">
        <v>5</v>
      </c>
      <c r="H1253" s="9">
        <v>199</v>
      </c>
      <c r="I1253" s="9">
        <v>90.53</v>
      </c>
      <c r="J1253" s="9">
        <f t="shared" si="30"/>
        <v>904.47</v>
      </c>
      <c r="K1253" s="7" t="s">
        <v>25</v>
      </c>
    </row>
    <row r="1254" spans="1:11" x14ac:dyDescent="0.25">
      <c r="A1254" s="2" t="s">
        <v>1386</v>
      </c>
      <c r="B1254" s="3" t="s">
        <v>95</v>
      </c>
      <c r="C1254" s="13" t="s">
        <v>835</v>
      </c>
      <c r="D1254" s="3" t="s">
        <v>39</v>
      </c>
      <c r="E1254" s="3" t="s">
        <v>23</v>
      </c>
      <c r="F1254" s="3" t="s">
        <v>48</v>
      </c>
      <c r="G1254" s="4">
        <v>1</v>
      </c>
      <c r="H1254" s="5">
        <v>450</v>
      </c>
      <c r="I1254" s="5">
        <v>0</v>
      </c>
      <c r="J1254" s="5">
        <f t="shared" si="30"/>
        <v>450</v>
      </c>
      <c r="K1254" s="3" t="s">
        <v>25</v>
      </c>
    </row>
    <row r="1255" spans="1:11" x14ac:dyDescent="0.25">
      <c r="A1255" s="6" t="s">
        <v>478</v>
      </c>
      <c r="B1255" s="7" t="s">
        <v>110</v>
      </c>
      <c r="C1255" s="14" t="s">
        <v>151</v>
      </c>
      <c r="D1255" s="7" t="s">
        <v>29</v>
      </c>
      <c r="E1255" s="7" t="s">
        <v>52</v>
      </c>
      <c r="F1255" s="7" t="s">
        <v>75</v>
      </c>
      <c r="G1255" s="8">
        <v>2</v>
      </c>
      <c r="H1255" s="9">
        <v>249</v>
      </c>
      <c r="I1255" s="9">
        <v>64.17</v>
      </c>
      <c r="J1255" s="9">
        <f t="shared" si="30"/>
        <v>433.83</v>
      </c>
      <c r="K1255" s="7" t="s">
        <v>89</v>
      </c>
    </row>
    <row r="1256" spans="1:11" x14ac:dyDescent="0.25">
      <c r="A1256" s="2" t="s">
        <v>1135</v>
      </c>
      <c r="B1256" s="3" t="s">
        <v>63</v>
      </c>
      <c r="C1256" s="13" t="s">
        <v>784</v>
      </c>
      <c r="D1256" s="3" t="s">
        <v>22</v>
      </c>
      <c r="E1256" s="3" t="s">
        <v>52</v>
      </c>
      <c r="F1256" s="3" t="s">
        <v>99</v>
      </c>
      <c r="G1256" s="4">
        <v>1</v>
      </c>
      <c r="H1256" s="5">
        <v>79</v>
      </c>
      <c r="I1256" s="5">
        <v>4.28</v>
      </c>
      <c r="J1256" s="5">
        <f t="shared" si="30"/>
        <v>74.72</v>
      </c>
      <c r="K1256" s="3" t="s">
        <v>49</v>
      </c>
    </row>
    <row r="1257" spans="1:11" x14ac:dyDescent="0.25">
      <c r="A1257" s="6" t="s">
        <v>883</v>
      </c>
      <c r="B1257" s="7" t="s">
        <v>37</v>
      </c>
      <c r="C1257" s="14" t="s">
        <v>884</v>
      </c>
      <c r="D1257" s="7" t="s">
        <v>29</v>
      </c>
      <c r="E1257" s="7" t="s">
        <v>23</v>
      </c>
      <c r="F1257" s="7" t="s">
        <v>24</v>
      </c>
      <c r="G1257" s="8">
        <v>2</v>
      </c>
      <c r="H1257" s="9">
        <v>180</v>
      </c>
      <c r="I1257" s="9">
        <v>0</v>
      </c>
      <c r="J1257" s="9">
        <f t="shared" si="30"/>
        <v>360</v>
      </c>
      <c r="K1257" s="7" t="s">
        <v>89</v>
      </c>
    </row>
    <row r="1258" spans="1:11" x14ac:dyDescent="0.25">
      <c r="A1258" s="2" t="s">
        <v>448</v>
      </c>
      <c r="B1258" s="3" t="s">
        <v>101</v>
      </c>
      <c r="C1258" s="13" t="s">
        <v>449</v>
      </c>
      <c r="D1258" s="3" t="s">
        <v>39</v>
      </c>
      <c r="E1258" s="3" t="s">
        <v>30</v>
      </c>
      <c r="F1258" s="3" t="s">
        <v>152</v>
      </c>
      <c r="G1258" s="4">
        <v>1</v>
      </c>
      <c r="H1258" s="5">
        <v>4500</v>
      </c>
      <c r="I1258" s="5">
        <v>0</v>
      </c>
      <c r="J1258" s="5">
        <f t="shared" si="30"/>
        <v>4500</v>
      </c>
      <c r="K1258" s="3" t="s">
        <v>18</v>
      </c>
    </row>
    <row r="1259" spans="1:11" x14ac:dyDescent="0.25">
      <c r="A1259" s="6" t="s">
        <v>393</v>
      </c>
      <c r="B1259" s="7" t="s">
        <v>95</v>
      </c>
      <c r="C1259" s="14" t="s">
        <v>394</v>
      </c>
      <c r="D1259" s="7" t="s">
        <v>22</v>
      </c>
      <c r="E1259" s="7" t="s">
        <v>16</v>
      </c>
      <c r="F1259" s="7" t="s">
        <v>116</v>
      </c>
      <c r="G1259" s="8">
        <v>5</v>
      </c>
      <c r="H1259" s="9">
        <v>45</v>
      </c>
      <c r="I1259" s="9">
        <v>8.09</v>
      </c>
      <c r="J1259" s="9">
        <f t="shared" si="30"/>
        <v>216.91</v>
      </c>
      <c r="K1259" s="7" t="s">
        <v>32</v>
      </c>
    </row>
    <row r="1260" spans="1:11" x14ac:dyDescent="0.25">
      <c r="A1260" s="2" t="s">
        <v>1251</v>
      </c>
      <c r="B1260" s="3" t="s">
        <v>13</v>
      </c>
      <c r="C1260" s="13" t="s">
        <v>579</v>
      </c>
      <c r="D1260" s="3" t="s">
        <v>47</v>
      </c>
      <c r="E1260" s="3" t="s">
        <v>30</v>
      </c>
      <c r="F1260" s="3" t="s">
        <v>68</v>
      </c>
      <c r="G1260" s="4">
        <v>2</v>
      </c>
      <c r="H1260" s="5">
        <v>799</v>
      </c>
      <c r="I1260" s="5">
        <v>126.95</v>
      </c>
      <c r="J1260" s="5">
        <f t="shared" si="30"/>
        <v>1471.05</v>
      </c>
      <c r="K1260" s="3" t="s">
        <v>18</v>
      </c>
    </row>
    <row r="1261" spans="1:11" x14ac:dyDescent="0.25">
      <c r="A1261" s="6" t="s">
        <v>1594</v>
      </c>
      <c r="B1261" s="7" t="s">
        <v>55</v>
      </c>
      <c r="C1261" s="14" t="s">
        <v>159</v>
      </c>
      <c r="D1261" s="7" t="s">
        <v>47</v>
      </c>
      <c r="E1261" s="7" t="s">
        <v>52</v>
      </c>
      <c r="F1261" s="7" t="s">
        <v>53</v>
      </c>
      <c r="G1261" s="8">
        <v>4</v>
      </c>
      <c r="H1261" s="9">
        <v>149</v>
      </c>
      <c r="I1261" s="9">
        <v>50</v>
      </c>
      <c r="J1261" s="9">
        <f t="shared" si="30"/>
        <v>546</v>
      </c>
      <c r="K1261" s="7" t="s">
        <v>89</v>
      </c>
    </row>
    <row r="1262" spans="1:11" x14ac:dyDescent="0.25">
      <c r="A1262" s="2" t="s">
        <v>1156</v>
      </c>
      <c r="B1262" s="3" t="s">
        <v>71</v>
      </c>
      <c r="C1262" s="13" t="s">
        <v>206</v>
      </c>
      <c r="D1262" s="3" t="s">
        <v>47</v>
      </c>
      <c r="E1262" s="3" t="s">
        <v>16</v>
      </c>
      <c r="F1262" s="3" t="s">
        <v>17</v>
      </c>
      <c r="G1262" s="4">
        <v>3</v>
      </c>
      <c r="H1262" s="5">
        <v>39</v>
      </c>
      <c r="I1262" s="5">
        <v>0</v>
      </c>
      <c r="J1262" s="5">
        <f t="shared" si="30"/>
        <v>117</v>
      </c>
      <c r="K1262" s="3" t="s">
        <v>25</v>
      </c>
    </row>
    <row r="1263" spans="1:11" x14ac:dyDescent="0.25">
      <c r="A1263" s="6" t="s">
        <v>1653</v>
      </c>
      <c r="B1263" s="7" t="s">
        <v>41</v>
      </c>
      <c r="C1263" s="14" t="s">
        <v>275</v>
      </c>
      <c r="D1263" s="7" t="s">
        <v>29</v>
      </c>
      <c r="E1263" s="7" t="s">
        <v>16</v>
      </c>
      <c r="F1263" s="7"/>
      <c r="G1263" s="8">
        <v>1</v>
      </c>
      <c r="H1263" s="9">
        <v>45</v>
      </c>
      <c r="I1263" s="9">
        <v>3.01</v>
      </c>
      <c r="J1263" s="9">
        <f t="shared" si="30"/>
        <v>41.99</v>
      </c>
      <c r="K1263" s="7" t="s">
        <v>65</v>
      </c>
    </row>
    <row r="1264" spans="1:11" x14ac:dyDescent="0.25">
      <c r="A1264" s="2" t="s">
        <v>986</v>
      </c>
      <c r="B1264" s="3" t="s">
        <v>95</v>
      </c>
      <c r="C1264" s="13" t="s">
        <v>46</v>
      </c>
      <c r="D1264" s="3" t="s">
        <v>29</v>
      </c>
      <c r="E1264" s="3" t="s">
        <v>16</v>
      </c>
      <c r="F1264" s="3" t="s">
        <v>17</v>
      </c>
      <c r="G1264" s="4">
        <v>3</v>
      </c>
      <c r="H1264" s="5">
        <v>39</v>
      </c>
      <c r="I1264" s="5">
        <v>13.54</v>
      </c>
      <c r="J1264" s="5">
        <f t="shared" si="30"/>
        <v>103.46000000000001</v>
      </c>
      <c r="K1264" s="3" t="s">
        <v>49</v>
      </c>
    </row>
    <row r="1265" spans="1:11" x14ac:dyDescent="0.25">
      <c r="A1265" s="6" t="s">
        <v>474</v>
      </c>
      <c r="B1265" s="7" t="s">
        <v>63</v>
      </c>
      <c r="C1265" s="14" t="s">
        <v>388</v>
      </c>
      <c r="D1265" s="7" t="s">
        <v>15</v>
      </c>
      <c r="E1265" s="7" t="s">
        <v>30</v>
      </c>
      <c r="F1265" s="7" t="s">
        <v>152</v>
      </c>
      <c r="G1265" s="8">
        <v>2</v>
      </c>
      <c r="H1265" s="9">
        <v>4500</v>
      </c>
      <c r="I1265" s="9">
        <v>659.98</v>
      </c>
      <c r="J1265" s="9">
        <f t="shared" si="30"/>
        <v>8340.02</v>
      </c>
      <c r="K1265" s="7" t="s">
        <v>49</v>
      </c>
    </row>
    <row r="1266" spans="1:11" x14ac:dyDescent="0.25">
      <c r="A1266" s="2" t="s">
        <v>1089</v>
      </c>
      <c r="B1266" s="3" t="s">
        <v>27</v>
      </c>
      <c r="C1266" s="13" t="s">
        <v>1090</v>
      </c>
      <c r="D1266" s="3" t="s">
        <v>47</v>
      </c>
      <c r="E1266" s="3" t="s">
        <v>52</v>
      </c>
      <c r="F1266" s="3" t="s">
        <v>75</v>
      </c>
      <c r="G1266" s="4">
        <v>5</v>
      </c>
      <c r="H1266" s="5">
        <v>249</v>
      </c>
      <c r="I1266" s="5">
        <v>0</v>
      </c>
      <c r="J1266" s="5">
        <f t="shared" si="30"/>
        <v>1245</v>
      </c>
      <c r="K1266" s="3" t="s">
        <v>69</v>
      </c>
    </row>
    <row r="1267" spans="1:11" x14ac:dyDescent="0.25">
      <c r="A1267" s="6" t="s">
        <v>1325</v>
      </c>
      <c r="B1267" s="7" t="s">
        <v>95</v>
      </c>
      <c r="C1267" s="14" t="s">
        <v>684</v>
      </c>
      <c r="D1267" s="7" t="s">
        <v>29</v>
      </c>
      <c r="E1267" s="7" t="s">
        <v>52</v>
      </c>
      <c r="F1267" s="7" t="s">
        <v>99</v>
      </c>
      <c r="G1267" s="8">
        <v>3</v>
      </c>
      <c r="H1267" s="9">
        <v>79</v>
      </c>
      <c r="I1267" s="9">
        <v>0</v>
      </c>
      <c r="J1267" s="9">
        <f t="shared" si="30"/>
        <v>237</v>
      </c>
      <c r="K1267" s="7" t="s">
        <v>44</v>
      </c>
    </row>
    <row r="1268" spans="1:11" x14ac:dyDescent="0.25">
      <c r="A1268" s="2" t="s">
        <v>300</v>
      </c>
      <c r="B1268" s="3" t="s">
        <v>101</v>
      </c>
      <c r="C1268" s="13" t="s">
        <v>301</v>
      </c>
      <c r="D1268" s="3" t="s">
        <v>22</v>
      </c>
      <c r="E1268" s="3" t="s">
        <v>30</v>
      </c>
      <c r="F1268" s="3" t="s">
        <v>106</v>
      </c>
      <c r="G1268" s="4">
        <v>2</v>
      </c>
      <c r="H1268" s="5">
        <v>299</v>
      </c>
      <c r="I1268" s="5">
        <v>4.3899999999999997</v>
      </c>
      <c r="J1268" s="5">
        <f t="shared" si="30"/>
        <v>593.61</v>
      </c>
      <c r="K1268" s="3" t="s">
        <v>49</v>
      </c>
    </row>
    <row r="1269" spans="1:11" x14ac:dyDescent="0.25">
      <c r="A1269" s="6" t="s">
        <v>731</v>
      </c>
      <c r="B1269" s="7" t="s">
        <v>95</v>
      </c>
      <c r="C1269" s="14" t="s">
        <v>85</v>
      </c>
      <c r="D1269" s="7" t="s">
        <v>15</v>
      </c>
      <c r="E1269" s="7" t="s">
        <v>23</v>
      </c>
      <c r="F1269" s="7" t="s">
        <v>88</v>
      </c>
      <c r="G1269" s="8">
        <v>1</v>
      </c>
      <c r="H1269" s="9">
        <v>650</v>
      </c>
      <c r="I1269" s="9">
        <v>0</v>
      </c>
      <c r="J1269" s="9">
        <f t="shared" si="30"/>
        <v>650</v>
      </c>
      <c r="K1269" s="7" t="s">
        <v>49</v>
      </c>
    </row>
    <row r="1270" spans="1:11" x14ac:dyDescent="0.25">
      <c r="A1270" s="2" t="s">
        <v>1406</v>
      </c>
      <c r="B1270" s="3" t="s">
        <v>63</v>
      </c>
      <c r="C1270" s="13" t="s">
        <v>223</v>
      </c>
      <c r="D1270" s="3" t="s">
        <v>22</v>
      </c>
      <c r="E1270" s="3" t="s">
        <v>30</v>
      </c>
      <c r="F1270" s="3" t="s">
        <v>152</v>
      </c>
      <c r="G1270" s="4">
        <v>2</v>
      </c>
      <c r="H1270" s="5">
        <v>4500</v>
      </c>
      <c r="I1270" s="5">
        <v>512.13</v>
      </c>
      <c r="J1270" s="5">
        <f t="shared" si="30"/>
        <v>8487.8700000000008</v>
      </c>
      <c r="K1270" s="3" t="s">
        <v>25</v>
      </c>
    </row>
    <row r="1271" spans="1:11" x14ac:dyDescent="0.25">
      <c r="A1271" s="6" t="s">
        <v>1662</v>
      </c>
      <c r="B1271" s="7" t="s">
        <v>63</v>
      </c>
      <c r="C1271" s="14" t="s">
        <v>985</v>
      </c>
      <c r="D1271" s="7" t="s">
        <v>22</v>
      </c>
      <c r="E1271" s="7" t="s">
        <v>23</v>
      </c>
      <c r="F1271" s="7" t="s">
        <v>24</v>
      </c>
      <c r="G1271" s="8">
        <v>2</v>
      </c>
      <c r="H1271" s="9">
        <v>180</v>
      </c>
      <c r="I1271" s="9">
        <v>17.420000000000002</v>
      </c>
      <c r="J1271" s="9">
        <f t="shared" si="30"/>
        <v>342.58</v>
      </c>
      <c r="K1271" s="7" t="s">
        <v>32</v>
      </c>
    </row>
    <row r="1272" spans="1:11" x14ac:dyDescent="0.25">
      <c r="A1272" s="2" t="s">
        <v>1269</v>
      </c>
      <c r="B1272" s="3" t="s">
        <v>55</v>
      </c>
      <c r="C1272" s="13" t="s">
        <v>752</v>
      </c>
      <c r="D1272" s="3" t="s">
        <v>15</v>
      </c>
      <c r="E1272" s="3" t="s">
        <v>23</v>
      </c>
      <c r="F1272" s="3" t="s">
        <v>88</v>
      </c>
      <c r="G1272" s="4">
        <v>5</v>
      </c>
      <c r="H1272" s="5">
        <v>650</v>
      </c>
      <c r="I1272" s="5">
        <v>227.52</v>
      </c>
      <c r="J1272" s="5">
        <f t="shared" si="30"/>
        <v>3022.48</v>
      </c>
      <c r="K1272" s="3" t="s">
        <v>32</v>
      </c>
    </row>
    <row r="1273" spans="1:11" x14ac:dyDescent="0.25">
      <c r="A1273" s="6" t="s">
        <v>1129</v>
      </c>
      <c r="B1273" s="7" t="s">
        <v>101</v>
      </c>
      <c r="C1273" s="14" t="s">
        <v>174</v>
      </c>
      <c r="D1273" s="7" t="s">
        <v>39</v>
      </c>
      <c r="E1273" s="7" t="s">
        <v>52</v>
      </c>
      <c r="F1273" s="7" t="s">
        <v>99</v>
      </c>
      <c r="G1273" s="8">
        <v>4</v>
      </c>
      <c r="H1273" s="9">
        <v>79</v>
      </c>
      <c r="I1273" s="9">
        <v>33.67</v>
      </c>
      <c r="J1273" s="9">
        <f t="shared" si="30"/>
        <v>282.33</v>
      </c>
      <c r="K1273" s="7" t="s">
        <v>32</v>
      </c>
    </row>
    <row r="1274" spans="1:11" x14ac:dyDescent="0.25">
      <c r="A1274" s="2" t="s">
        <v>1620</v>
      </c>
      <c r="B1274" s="3" t="s">
        <v>95</v>
      </c>
      <c r="C1274" s="13" t="s">
        <v>458</v>
      </c>
      <c r="D1274" s="3" t="s">
        <v>22</v>
      </c>
      <c r="E1274" s="3" t="s">
        <v>23</v>
      </c>
      <c r="F1274" s="3" t="s">
        <v>43</v>
      </c>
      <c r="G1274" s="4">
        <v>5</v>
      </c>
      <c r="H1274" s="5">
        <v>350</v>
      </c>
      <c r="I1274" s="5">
        <v>101.87</v>
      </c>
      <c r="J1274" s="5">
        <f t="shared" si="30"/>
        <v>1648.13</v>
      </c>
      <c r="K1274" s="3" t="s">
        <v>18</v>
      </c>
    </row>
    <row r="1275" spans="1:11" x14ac:dyDescent="0.25">
      <c r="A1275" s="6" t="s">
        <v>1483</v>
      </c>
      <c r="B1275" s="7" t="s">
        <v>20</v>
      </c>
      <c r="C1275" s="14" t="s">
        <v>21</v>
      </c>
      <c r="D1275" s="7" t="s">
        <v>22</v>
      </c>
      <c r="E1275" s="7" t="s">
        <v>52</v>
      </c>
      <c r="F1275" s="7" t="s">
        <v>99</v>
      </c>
      <c r="G1275" s="8">
        <v>3</v>
      </c>
      <c r="H1275" s="9">
        <v>79</v>
      </c>
      <c r="I1275" s="9">
        <v>0</v>
      </c>
      <c r="J1275" s="9">
        <f t="shared" si="30"/>
        <v>237</v>
      </c>
      <c r="K1275" s="7" t="s">
        <v>65</v>
      </c>
    </row>
    <row r="1276" spans="1:11" x14ac:dyDescent="0.25">
      <c r="A1276" s="2" t="s">
        <v>592</v>
      </c>
      <c r="B1276" s="3" t="s">
        <v>34</v>
      </c>
      <c r="C1276" s="13" t="s">
        <v>170</v>
      </c>
      <c r="D1276" s="3" t="s">
        <v>22</v>
      </c>
      <c r="E1276" s="3" t="s">
        <v>30</v>
      </c>
      <c r="F1276" s="3" t="s">
        <v>31</v>
      </c>
      <c r="G1276" s="4">
        <v>1</v>
      </c>
      <c r="H1276" s="5">
        <v>2500</v>
      </c>
      <c r="I1276" s="5">
        <v>334.31</v>
      </c>
      <c r="J1276" s="5">
        <f t="shared" si="30"/>
        <v>2165.69</v>
      </c>
      <c r="K1276" s="3" t="s">
        <v>65</v>
      </c>
    </row>
    <row r="1277" spans="1:11" x14ac:dyDescent="0.25">
      <c r="A1277" s="6" t="s">
        <v>485</v>
      </c>
      <c r="B1277" s="7" t="s">
        <v>101</v>
      </c>
      <c r="C1277" s="14" t="s">
        <v>486</v>
      </c>
      <c r="D1277" s="7" t="s">
        <v>15</v>
      </c>
      <c r="E1277" s="7" t="s">
        <v>23</v>
      </c>
      <c r="F1277" s="7" t="s">
        <v>43</v>
      </c>
      <c r="G1277" s="8">
        <v>2</v>
      </c>
      <c r="H1277" s="9">
        <v>350</v>
      </c>
      <c r="I1277" s="9">
        <v>0</v>
      </c>
      <c r="J1277" s="9">
        <f t="shared" si="30"/>
        <v>700</v>
      </c>
      <c r="K1277" s="7" t="s">
        <v>25</v>
      </c>
    </row>
    <row r="1278" spans="1:11" x14ac:dyDescent="0.25">
      <c r="A1278" s="2" t="s">
        <v>1559</v>
      </c>
      <c r="B1278" s="3" t="s">
        <v>20</v>
      </c>
      <c r="C1278" s="13" t="s">
        <v>756</v>
      </c>
      <c r="D1278" s="3" t="s">
        <v>22</v>
      </c>
      <c r="E1278" s="3" t="s">
        <v>16</v>
      </c>
      <c r="F1278" s="3" t="s">
        <v>78</v>
      </c>
      <c r="G1278" s="4">
        <v>2</v>
      </c>
      <c r="H1278" s="5">
        <v>59</v>
      </c>
      <c r="I1278" s="5">
        <v>9.93</v>
      </c>
      <c r="J1278" s="5">
        <f t="shared" si="30"/>
        <v>108.07</v>
      </c>
      <c r="K1278" s="3" t="s">
        <v>44</v>
      </c>
    </row>
    <row r="1279" spans="1:11" x14ac:dyDescent="0.25">
      <c r="A1279" s="6" t="s">
        <v>1594</v>
      </c>
      <c r="B1279" s="7" t="s">
        <v>55</v>
      </c>
      <c r="C1279" s="14" t="s">
        <v>159</v>
      </c>
      <c r="D1279" s="7" t="s">
        <v>47</v>
      </c>
      <c r="E1279" s="7" t="s">
        <v>52</v>
      </c>
      <c r="F1279" s="7" t="s">
        <v>53</v>
      </c>
      <c r="G1279" s="8">
        <v>4</v>
      </c>
      <c r="H1279" s="9">
        <v>149</v>
      </c>
      <c r="I1279" s="9">
        <v>50</v>
      </c>
      <c r="J1279" s="9">
        <f t="shared" ref="J1279:J1286" si="31">(G1279*H1279)-I1279</f>
        <v>546</v>
      </c>
      <c r="K1279" s="7" t="s">
        <v>89</v>
      </c>
    </row>
    <row r="1280" spans="1:11" x14ac:dyDescent="0.25">
      <c r="A1280" s="2" t="s">
        <v>1434</v>
      </c>
      <c r="B1280" s="3" t="s">
        <v>277</v>
      </c>
      <c r="C1280" s="13" t="s">
        <v>1151</v>
      </c>
      <c r="D1280" s="3" t="s">
        <v>22</v>
      </c>
      <c r="E1280" s="3" t="s">
        <v>52</v>
      </c>
      <c r="F1280" s="3" t="s">
        <v>99</v>
      </c>
      <c r="G1280" s="4">
        <v>2</v>
      </c>
      <c r="H1280" s="5">
        <v>79</v>
      </c>
      <c r="I1280" s="5">
        <v>14.97</v>
      </c>
      <c r="J1280" s="5">
        <f t="shared" si="31"/>
        <v>143.03</v>
      </c>
      <c r="K1280" s="3" t="s">
        <v>44</v>
      </c>
    </row>
    <row r="1281" spans="1:11" x14ac:dyDescent="0.25">
      <c r="A1281" s="6" t="s">
        <v>890</v>
      </c>
      <c r="B1281" s="7" t="s">
        <v>13</v>
      </c>
      <c r="C1281" s="14" t="s">
        <v>273</v>
      </c>
      <c r="D1281" s="7" t="s">
        <v>47</v>
      </c>
      <c r="E1281" s="7" t="s">
        <v>23</v>
      </c>
      <c r="F1281" s="7" t="s">
        <v>43</v>
      </c>
      <c r="G1281" s="8">
        <v>5</v>
      </c>
      <c r="H1281" s="9">
        <v>350</v>
      </c>
      <c r="I1281" s="9">
        <v>0</v>
      </c>
      <c r="J1281" s="9">
        <f t="shared" si="31"/>
        <v>1750</v>
      </c>
      <c r="K1281" s="7" t="s">
        <v>89</v>
      </c>
    </row>
    <row r="1282" spans="1:11" x14ac:dyDescent="0.25">
      <c r="A1282" s="2" t="s">
        <v>1681</v>
      </c>
      <c r="B1282" s="3" t="s">
        <v>277</v>
      </c>
      <c r="C1282" s="13" t="s">
        <v>83</v>
      </c>
      <c r="D1282" s="3" t="s">
        <v>39</v>
      </c>
      <c r="E1282" s="3" t="s">
        <v>30</v>
      </c>
      <c r="F1282" s="3" t="s">
        <v>106</v>
      </c>
      <c r="G1282" s="4">
        <v>3</v>
      </c>
      <c r="H1282" s="5">
        <v>299</v>
      </c>
      <c r="I1282" s="5">
        <v>116.55</v>
      </c>
      <c r="J1282" s="5">
        <f t="shared" si="31"/>
        <v>780.45</v>
      </c>
      <c r="K1282" s="3" t="s">
        <v>65</v>
      </c>
    </row>
    <row r="1283" spans="1:11" x14ac:dyDescent="0.25">
      <c r="A1283" s="6" t="s">
        <v>380</v>
      </c>
      <c r="B1283" s="7" t="s">
        <v>37</v>
      </c>
      <c r="C1283" s="14" t="s">
        <v>726</v>
      </c>
      <c r="D1283" s="7" t="s">
        <v>15</v>
      </c>
      <c r="E1283" s="7" t="s">
        <v>23</v>
      </c>
      <c r="F1283" s="7" t="s">
        <v>48</v>
      </c>
      <c r="G1283" s="8">
        <v>2</v>
      </c>
      <c r="H1283" s="9">
        <v>450</v>
      </c>
      <c r="I1283" s="9">
        <v>0</v>
      </c>
      <c r="J1283" s="9">
        <f t="shared" si="31"/>
        <v>900</v>
      </c>
      <c r="K1283" s="7" t="s">
        <v>89</v>
      </c>
    </row>
    <row r="1284" spans="1:11" x14ac:dyDescent="0.25">
      <c r="A1284" s="2" t="s">
        <v>760</v>
      </c>
      <c r="B1284" s="3" t="s">
        <v>110</v>
      </c>
      <c r="C1284" s="13" t="s">
        <v>761</v>
      </c>
      <c r="D1284" s="3" t="s">
        <v>22</v>
      </c>
      <c r="E1284" s="3" t="s">
        <v>23</v>
      </c>
      <c r="F1284" s="3" t="s">
        <v>88</v>
      </c>
      <c r="G1284" s="4">
        <v>5</v>
      </c>
      <c r="H1284" s="5">
        <v>650</v>
      </c>
      <c r="I1284" s="5">
        <v>0</v>
      </c>
      <c r="J1284" s="5">
        <f t="shared" si="31"/>
        <v>3250</v>
      </c>
      <c r="K1284" s="3" t="s">
        <v>25</v>
      </c>
    </row>
    <row r="1285" spans="1:11" x14ac:dyDescent="0.25">
      <c r="A1285" s="6" t="s">
        <v>1519</v>
      </c>
      <c r="B1285" s="7" t="s">
        <v>13</v>
      </c>
      <c r="C1285" s="14" t="s">
        <v>761</v>
      </c>
      <c r="D1285" s="7" t="s">
        <v>39</v>
      </c>
      <c r="E1285" s="7" t="s">
        <v>30</v>
      </c>
      <c r="F1285" s="7" t="s">
        <v>68</v>
      </c>
      <c r="G1285" s="8">
        <v>1</v>
      </c>
      <c r="H1285" s="9">
        <v>799</v>
      </c>
      <c r="I1285" s="9">
        <v>78.23</v>
      </c>
      <c r="J1285" s="9">
        <f t="shared" si="31"/>
        <v>720.77</v>
      </c>
      <c r="K1285" s="7" t="s">
        <v>32</v>
      </c>
    </row>
    <row r="1286" spans="1:11" x14ac:dyDescent="0.25">
      <c r="A1286" s="2" t="s">
        <v>1204</v>
      </c>
      <c r="B1286" s="3" t="s">
        <v>71</v>
      </c>
      <c r="C1286" s="13" t="s">
        <v>750</v>
      </c>
      <c r="D1286" s="3" t="s">
        <v>22</v>
      </c>
      <c r="E1286" s="3" t="s">
        <v>23</v>
      </c>
      <c r="F1286" s="3" t="s">
        <v>24</v>
      </c>
      <c r="G1286" s="4">
        <v>4</v>
      </c>
      <c r="H1286" s="5">
        <v>180</v>
      </c>
      <c r="I1286" s="5">
        <v>0</v>
      </c>
      <c r="J1286" s="5">
        <f t="shared" si="31"/>
        <v>720</v>
      </c>
      <c r="K1286" s="3" t="s">
        <v>69</v>
      </c>
    </row>
  </sheetData>
  <autoFilter ref="A1:K128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11A0-232B-4F3B-A042-F0D874D4F0C8}">
  <dimension ref="A1:AB1257"/>
  <sheetViews>
    <sheetView zoomScaleNormal="100" workbookViewId="0">
      <selection activeCell="C3" sqref="C3"/>
    </sheetView>
  </sheetViews>
  <sheetFormatPr defaultRowHeight="15" x14ac:dyDescent="0.25"/>
  <cols>
    <col min="1" max="1" width="10.28515625" style="20" bestFit="1" customWidth="1"/>
    <col min="2" max="3" width="16.5703125" style="20" bestFit="1" customWidth="1"/>
    <col min="4" max="4" width="16.28515625" bestFit="1" customWidth="1"/>
    <col min="5" max="5" width="10.42578125" style="20" bestFit="1" customWidth="1"/>
    <col min="6" max="6" width="15.5703125" style="20" bestFit="1" customWidth="1"/>
    <col min="7" max="7" width="15" style="20" customWidth="1"/>
    <col min="8" max="8" width="15.5703125" style="20" bestFit="1" customWidth="1"/>
    <col min="9" max="9" width="21" style="20" bestFit="1" customWidth="1"/>
    <col min="10" max="10" width="12.85546875" style="19" bestFit="1" customWidth="1"/>
    <col min="11" max="11" width="15.42578125" style="20" bestFit="1" customWidth="1"/>
    <col min="12" max="12" width="10.7109375" style="20" customWidth="1"/>
    <col min="13" max="13" width="11.5703125" style="20" bestFit="1" customWidth="1"/>
    <col min="14" max="14" width="13.42578125" style="20" bestFit="1" customWidth="1"/>
    <col min="17" max="17" width="10.28515625" style="20" bestFit="1" customWidth="1"/>
    <col min="18" max="18" width="16.7109375" bestFit="1" customWidth="1"/>
    <col min="19" max="19" width="16.7109375" style="19" customWidth="1"/>
    <col min="20" max="20" width="13.28515625" bestFit="1" customWidth="1"/>
    <col min="21" max="21" width="15.5703125" bestFit="1" customWidth="1"/>
    <col min="22" max="22" width="21" style="20" bestFit="1" customWidth="1"/>
    <col min="23" max="23" width="12.85546875" style="20" bestFit="1" customWidth="1"/>
    <col min="24" max="24" width="15.42578125" style="19" bestFit="1" customWidth="1"/>
    <col min="25" max="25" width="15.42578125" style="39" bestFit="1" customWidth="1"/>
    <col min="26" max="26" width="11.5703125" style="39" bestFit="1" customWidth="1"/>
    <col min="27" max="27" width="13.42578125" style="39" bestFit="1" customWidth="1"/>
    <col min="28" max="28" width="13.42578125" style="20" bestFit="1" customWidth="1"/>
  </cols>
  <sheetData>
    <row r="1" spans="1:28" ht="16.5" x14ac:dyDescent="0.25">
      <c r="A1" s="1" t="s">
        <v>1</v>
      </c>
      <c r="B1" s="1" t="s">
        <v>2</v>
      </c>
      <c r="C1" s="62"/>
      <c r="D1" s="24" t="s">
        <v>3</v>
      </c>
      <c r="E1" s="61"/>
      <c r="F1" s="1" t="s">
        <v>4</v>
      </c>
      <c r="G1" s="60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8" t="s">
        <v>10</v>
      </c>
      <c r="N1" s="1" t="s">
        <v>11</v>
      </c>
      <c r="Q1" s="40" t="s">
        <v>1</v>
      </c>
      <c r="R1" s="40" t="s">
        <v>2</v>
      </c>
      <c r="S1" s="40" t="s">
        <v>3</v>
      </c>
      <c r="T1" s="40" t="s">
        <v>4</v>
      </c>
      <c r="U1" s="40" t="s">
        <v>5</v>
      </c>
      <c r="V1" s="40" t="s">
        <v>6</v>
      </c>
      <c r="W1" s="40" t="s">
        <v>7</v>
      </c>
      <c r="X1" s="40" t="s">
        <v>8</v>
      </c>
      <c r="Y1" s="41" t="s">
        <v>9</v>
      </c>
      <c r="Z1" s="41" t="s">
        <v>1692</v>
      </c>
      <c r="AA1" s="41" t="s">
        <v>11</v>
      </c>
      <c r="AB1"/>
    </row>
    <row r="2" spans="1:28" x14ac:dyDescent="0.25">
      <c r="A2" s="26" t="s">
        <v>12</v>
      </c>
      <c r="B2" s="26" t="s">
        <v>13</v>
      </c>
      <c r="C2" s="26" t="str">
        <f>SUBSTITUTE(SUBSTITUTE(SUBSTITUTE(SUBSTITUTE(PROPER(B2)," Da "," ")," De "," ")," Do "," ")," Dos "," ")</f>
        <v>Lucas Almeida</v>
      </c>
      <c r="D2" s="37" t="s">
        <v>14</v>
      </c>
      <c r="E2" s="27">
        <f>DATEVALUE(D2)</f>
        <v>45918</v>
      </c>
      <c r="F2" s="26" t="s">
        <v>29</v>
      </c>
      <c r="G2" s="26" t="str">
        <f>SUBSTITUTE(SUBSTITUTE(SUBSTITUTE(SUBSTITUTE(PROPER(F2)," Da "," ")," De "," ")," Do "," ")," Dos "," ")</f>
        <v>Camila Rocha</v>
      </c>
      <c r="H2" s="26" t="s">
        <v>23</v>
      </c>
      <c r="I2" s="26" t="s">
        <v>88</v>
      </c>
      <c r="J2" s="28">
        <v>2</v>
      </c>
      <c r="K2" s="29">
        <v>650</v>
      </c>
      <c r="L2" s="29">
        <v>148.37</v>
      </c>
      <c r="M2" s="30">
        <f t="shared" ref="M2:M15" si="0">(J2*K2)-L2</f>
        <v>1151.6300000000001</v>
      </c>
      <c r="N2" s="26" t="s">
        <v>89</v>
      </c>
      <c r="Q2" s="42" t="s">
        <v>12</v>
      </c>
      <c r="R2" s="42" t="s">
        <v>13</v>
      </c>
      <c r="S2" s="57">
        <f>DATEVALUE(D2)</f>
        <v>45918</v>
      </c>
      <c r="T2" s="44" t="s">
        <v>29</v>
      </c>
      <c r="U2" s="43" t="s">
        <v>23</v>
      </c>
      <c r="V2" s="42" t="s">
        <v>88</v>
      </c>
      <c r="W2" s="45">
        <v>2</v>
      </c>
      <c r="X2" s="46">
        <v>650</v>
      </c>
      <c r="Y2" s="46">
        <v>148.37</v>
      </c>
      <c r="Z2" s="47">
        <f t="shared" ref="Z2:Z15" si="1">(W2*X2)-Y2</f>
        <v>1151.6300000000001</v>
      </c>
      <c r="AA2" s="48" t="s">
        <v>89</v>
      </c>
      <c r="AB2"/>
    </row>
    <row r="3" spans="1:28" x14ac:dyDescent="0.25">
      <c r="A3" s="31" t="s">
        <v>19</v>
      </c>
      <c r="B3" s="31" t="s">
        <v>20</v>
      </c>
      <c r="C3" s="32" t="str">
        <f t="shared" ref="C3:C66" si="2">SUBSTITUTE(SUBSTITUTE(SUBSTITUTE(SUBSTITUTE(PROPER(B3)," Da "," ")," De "," ")," Do "," ")," Dos "," ")</f>
        <v>Beatriz Ribeiro</v>
      </c>
      <c r="D3" s="38" t="s">
        <v>21</v>
      </c>
      <c r="E3" s="33">
        <f t="shared" ref="E3:E66" si="3">DATEVALUE(D3)</f>
        <v>45985</v>
      </c>
      <c r="F3" s="32" t="s">
        <v>47</v>
      </c>
      <c r="G3" s="32" t="str">
        <f>SUBSTITUTE(SUBSTITUTE(SUBSTITUTE(SUBSTITUTE(PROPER(F3)," Da "," ")," De "," ")," Do "," ")," Dos "," ")</f>
        <v>Bruno Martins</v>
      </c>
      <c r="H3" s="32" t="s">
        <v>16</v>
      </c>
      <c r="I3" s="32" t="s">
        <v>103</v>
      </c>
      <c r="J3" s="34">
        <v>3</v>
      </c>
      <c r="K3" s="35">
        <v>89</v>
      </c>
      <c r="L3" s="35">
        <v>0</v>
      </c>
      <c r="M3" s="36">
        <f t="shared" si="0"/>
        <v>267</v>
      </c>
      <c r="N3" s="32" t="s">
        <v>49</v>
      </c>
      <c r="Q3" s="49" t="s">
        <v>19</v>
      </c>
      <c r="R3" s="49" t="s">
        <v>20</v>
      </c>
      <c r="S3" s="58">
        <f>DATEVALUE(D3)</f>
        <v>45985</v>
      </c>
      <c r="T3" s="51" t="s">
        <v>47</v>
      </c>
      <c r="U3" s="50" t="s">
        <v>16</v>
      </c>
      <c r="V3" s="52" t="s">
        <v>103</v>
      </c>
      <c r="W3" s="53">
        <v>3</v>
      </c>
      <c r="X3" s="54">
        <v>89</v>
      </c>
      <c r="Y3" s="54">
        <v>0</v>
      </c>
      <c r="Z3" s="55">
        <f t="shared" si="1"/>
        <v>267</v>
      </c>
      <c r="AA3" s="56" t="s">
        <v>49</v>
      </c>
      <c r="AB3"/>
    </row>
    <row r="4" spans="1:28" x14ac:dyDescent="0.25">
      <c r="A4" s="26" t="s">
        <v>26</v>
      </c>
      <c r="B4" s="26" t="s">
        <v>27</v>
      </c>
      <c r="C4" s="26" t="str">
        <f t="shared" si="2"/>
        <v>Roberto Santos</v>
      </c>
      <c r="D4" s="37" t="s">
        <v>28</v>
      </c>
      <c r="E4" s="27">
        <f t="shared" si="3"/>
        <v>45901</v>
      </c>
      <c r="F4" s="26" t="s">
        <v>29</v>
      </c>
      <c r="G4" s="26" t="str">
        <f t="shared" ref="G4:G66" si="4">SUBSTITUTE(SUBSTITUTE(SUBSTITUTE(SUBSTITUTE(PROPER(F4)," Da "," ")," De "," ")," Do "," ")," Dos "," ")</f>
        <v>Camila Rocha</v>
      </c>
      <c r="H4" s="26" t="s">
        <v>16</v>
      </c>
      <c r="I4" s="26" t="s">
        <v>103</v>
      </c>
      <c r="J4" s="28">
        <v>4</v>
      </c>
      <c r="K4" s="29">
        <v>89</v>
      </c>
      <c r="L4" s="29">
        <v>11.91</v>
      </c>
      <c r="M4" s="30">
        <f t="shared" si="0"/>
        <v>344.09</v>
      </c>
      <c r="N4" s="26" t="s">
        <v>25</v>
      </c>
      <c r="Q4" s="42" t="s">
        <v>26</v>
      </c>
      <c r="R4" s="42" t="s">
        <v>27</v>
      </c>
      <c r="S4" s="57">
        <f>DATEVALUE(D4)</f>
        <v>45901</v>
      </c>
      <c r="T4" s="44" t="s">
        <v>29</v>
      </c>
      <c r="U4" s="43" t="s">
        <v>16</v>
      </c>
      <c r="V4" s="42" t="s">
        <v>103</v>
      </c>
      <c r="W4" s="45">
        <v>4</v>
      </c>
      <c r="X4" s="46">
        <v>89</v>
      </c>
      <c r="Y4" s="46">
        <v>11.91</v>
      </c>
      <c r="Z4" s="47">
        <f t="shared" si="1"/>
        <v>344.09</v>
      </c>
      <c r="AA4" s="48" t="s">
        <v>25</v>
      </c>
      <c r="AB4"/>
    </row>
    <row r="5" spans="1:28" x14ac:dyDescent="0.25">
      <c r="A5" s="31" t="s">
        <v>33</v>
      </c>
      <c r="B5" s="31" t="s">
        <v>34</v>
      </c>
      <c r="C5" s="32" t="str">
        <f t="shared" si="2"/>
        <v>Carlos Silva</v>
      </c>
      <c r="D5" s="38" t="s">
        <v>35</v>
      </c>
      <c r="E5" s="33">
        <f t="shared" si="3"/>
        <v>45809</v>
      </c>
      <c r="F5" s="32" t="s">
        <v>39</v>
      </c>
      <c r="G5" s="32" t="str">
        <f t="shared" si="4"/>
        <v>Rodrigo Mello</v>
      </c>
      <c r="H5" s="32" t="s">
        <v>52</v>
      </c>
      <c r="I5" s="32" t="s">
        <v>99</v>
      </c>
      <c r="J5" s="34">
        <v>3</v>
      </c>
      <c r="K5" s="35">
        <v>79</v>
      </c>
      <c r="L5" s="35">
        <v>27.37</v>
      </c>
      <c r="M5" s="36">
        <f t="shared" si="0"/>
        <v>209.63</v>
      </c>
      <c r="N5" s="32" t="s">
        <v>32</v>
      </c>
      <c r="Q5" s="49" t="s">
        <v>33</v>
      </c>
      <c r="R5" s="49" t="s">
        <v>34</v>
      </c>
      <c r="S5" s="58">
        <f>DATEVALUE(D5)</f>
        <v>45809</v>
      </c>
      <c r="T5" s="51" t="s">
        <v>39</v>
      </c>
      <c r="U5" s="50" t="s">
        <v>52</v>
      </c>
      <c r="V5" s="52" t="s">
        <v>99</v>
      </c>
      <c r="W5" s="53">
        <v>3</v>
      </c>
      <c r="X5" s="54">
        <v>79</v>
      </c>
      <c r="Y5" s="54">
        <v>27.37</v>
      </c>
      <c r="Z5" s="55">
        <f t="shared" si="1"/>
        <v>209.63</v>
      </c>
      <c r="AA5" s="56" t="s">
        <v>32</v>
      </c>
      <c r="AB5"/>
    </row>
    <row r="6" spans="1:28" x14ac:dyDescent="0.25">
      <c r="A6" s="26" t="s">
        <v>36</v>
      </c>
      <c r="B6" s="26" t="s">
        <v>37</v>
      </c>
      <c r="C6" s="26" t="str">
        <f t="shared" si="2"/>
        <v>Patricia Gomes</v>
      </c>
      <c r="D6" s="37" t="s">
        <v>38</v>
      </c>
      <c r="E6" s="27">
        <f t="shared" si="3"/>
        <v>45662</v>
      </c>
      <c r="F6" s="26" t="s">
        <v>22</v>
      </c>
      <c r="G6" s="26" t="str">
        <f t="shared" si="4"/>
        <v>Amanda Costa</v>
      </c>
      <c r="H6" s="26" t="s">
        <v>30</v>
      </c>
      <c r="I6" s="26" t="s">
        <v>106</v>
      </c>
      <c r="J6" s="28">
        <v>2</v>
      </c>
      <c r="K6" s="29">
        <v>299</v>
      </c>
      <c r="L6" s="29">
        <v>4.37</v>
      </c>
      <c r="M6" s="30">
        <f t="shared" si="0"/>
        <v>593.63</v>
      </c>
      <c r="N6" s="26" t="s">
        <v>32</v>
      </c>
      <c r="Q6" s="42" t="s">
        <v>36</v>
      </c>
      <c r="R6" s="42" t="s">
        <v>37</v>
      </c>
      <c r="S6" s="57">
        <f t="shared" ref="S6:S69" si="5">DATEVALUE(D6)</f>
        <v>45662</v>
      </c>
      <c r="T6" s="44" t="s">
        <v>22</v>
      </c>
      <c r="U6" s="43" t="s">
        <v>30</v>
      </c>
      <c r="V6" s="42" t="s">
        <v>106</v>
      </c>
      <c r="W6" s="45">
        <v>2</v>
      </c>
      <c r="X6" s="46">
        <v>299</v>
      </c>
      <c r="Y6" s="46">
        <v>4.37</v>
      </c>
      <c r="Z6" s="47">
        <f t="shared" si="1"/>
        <v>593.63</v>
      </c>
      <c r="AA6" s="48" t="s">
        <v>32</v>
      </c>
      <c r="AB6"/>
    </row>
    <row r="7" spans="1:28" x14ac:dyDescent="0.25">
      <c r="A7" s="31" t="s">
        <v>40</v>
      </c>
      <c r="B7" s="31" t="s">
        <v>41</v>
      </c>
      <c r="C7" s="32" t="str">
        <f t="shared" si="2"/>
        <v>João Pereira</v>
      </c>
      <c r="D7" s="38" t="s">
        <v>42</v>
      </c>
      <c r="E7" s="33">
        <f t="shared" si="3"/>
        <v>46004</v>
      </c>
      <c r="F7" s="32" t="s">
        <v>47</v>
      </c>
      <c r="G7" s="32" t="str">
        <f t="shared" si="4"/>
        <v>Bruno Martins</v>
      </c>
      <c r="H7" s="32" t="s">
        <v>23</v>
      </c>
      <c r="I7" s="32" t="s">
        <v>48</v>
      </c>
      <c r="J7" s="34">
        <v>3</v>
      </c>
      <c r="K7" s="35">
        <v>450</v>
      </c>
      <c r="L7" s="35">
        <v>82.14</v>
      </c>
      <c r="M7" s="36">
        <f t="shared" si="0"/>
        <v>1267.8599999999999</v>
      </c>
      <c r="N7" s="32" t="s">
        <v>18</v>
      </c>
      <c r="Q7" s="49" t="s">
        <v>40</v>
      </c>
      <c r="R7" s="49" t="s">
        <v>41</v>
      </c>
      <c r="S7" s="58">
        <f t="shared" si="5"/>
        <v>46004</v>
      </c>
      <c r="T7" s="51" t="s">
        <v>47</v>
      </c>
      <c r="U7" s="50" t="s">
        <v>23</v>
      </c>
      <c r="V7" s="52" t="s">
        <v>48</v>
      </c>
      <c r="W7" s="53">
        <v>3</v>
      </c>
      <c r="X7" s="54">
        <v>450</v>
      </c>
      <c r="Y7" s="54">
        <v>82.14</v>
      </c>
      <c r="Z7" s="55">
        <f t="shared" si="1"/>
        <v>1267.8599999999999</v>
      </c>
      <c r="AA7" s="56" t="s">
        <v>18</v>
      </c>
      <c r="AB7"/>
    </row>
    <row r="8" spans="1:28" x14ac:dyDescent="0.25">
      <c r="A8" s="26" t="s">
        <v>45</v>
      </c>
      <c r="B8" s="26" t="s">
        <v>20</v>
      </c>
      <c r="C8" s="26" t="str">
        <f t="shared" si="2"/>
        <v>Beatriz Ribeiro</v>
      </c>
      <c r="D8" s="37" t="s">
        <v>46</v>
      </c>
      <c r="E8" s="27">
        <f t="shared" si="3"/>
        <v>45723</v>
      </c>
      <c r="F8" s="26" t="s">
        <v>22</v>
      </c>
      <c r="G8" s="26" t="str">
        <f t="shared" si="4"/>
        <v>Amanda Costa</v>
      </c>
      <c r="H8" s="26" t="s">
        <v>16</v>
      </c>
      <c r="I8" s="26" t="s">
        <v>116</v>
      </c>
      <c r="J8" s="28">
        <v>5</v>
      </c>
      <c r="K8" s="29">
        <v>45</v>
      </c>
      <c r="L8" s="29">
        <v>18.760000000000002</v>
      </c>
      <c r="M8" s="30">
        <f t="shared" si="0"/>
        <v>206.24</v>
      </c>
      <c r="N8" s="26" t="s">
        <v>18</v>
      </c>
      <c r="Q8" s="42" t="s">
        <v>45</v>
      </c>
      <c r="R8" s="42" t="s">
        <v>20</v>
      </c>
      <c r="S8" s="57">
        <f t="shared" si="5"/>
        <v>45723</v>
      </c>
      <c r="T8" s="44" t="s">
        <v>22</v>
      </c>
      <c r="U8" s="43" t="s">
        <v>16</v>
      </c>
      <c r="V8" s="42" t="s">
        <v>116</v>
      </c>
      <c r="W8" s="45">
        <v>5</v>
      </c>
      <c r="X8" s="46">
        <v>45</v>
      </c>
      <c r="Y8" s="46">
        <v>18.760000000000002</v>
      </c>
      <c r="Z8" s="47">
        <f t="shared" si="1"/>
        <v>206.24</v>
      </c>
      <c r="AA8" s="48" t="s">
        <v>18</v>
      </c>
      <c r="AB8"/>
    </row>
    <row r="9" spans="1:28" x14ac:dyDescent="0.25">
      <c r="A9" s="31" t="s">
        <v>50</v>
      </c>
      <c r="B9" s="31" t="s">
        <v>20</v>
      </c>
      <c r="C9" s="32" t="str">
        <f t="shared" si="2"/>
        <v>Beatriz Ribeiro</v>
      </c>
      <c r="D9" s="38" t="s">
        <v>51</v>
      </c>
      <c r="E9" s="33">
        <f t="shared" si="3"/>
        <v>45659</v>
      </c>
      <c r="F9" s="32" t="s">
        <v>22</v>
      </c>
      <c r="G9" s="32" t="str">
        <f t="shared" si="4"/>
        <v>Amanda Costa</v>
      </c>
      <c r="H9" s="32" t="s">
        <v>16</v>
      </c>
      <c r="I9" s="32" t="s">
        <v>116</v>
      </c>
      <c r="J9" s="34">
        <v>4</v>
      </c>
      <c r="K9" s="35">
        <v>45</v>
      </c>
      <c r="L9" s="35">
        <v>19.84</v>
      </c>
      <c r="M9" s="36">
        <f t="shared" si="0"/>
        <v>160.16</v>
      </c>
      <c r="N9" s="32" t="s">
        <v>25</v>
      </c>
      <c r="Q9" s="49" t="s">
        <v>50</v>
      </c>
      <c r="R9" s="49" t="s">
        <v>20</v>
      </c>
      <c r="S9" s="58">
        <f t="shared" si="5"/>
        <v>45659</v>
      </c>
      <c r="T9" s="51" t="s">
        <v>22</v>
      </c>
      <c r="U9" s="50" t="s">
        <v>16</v>
      </c>
      <c r="V9" s="52" t="s">
        <v>116</v>
      </c>
      <c r="W9" s="53">
        <v>4</v>
      </c>
      <c r="X9" s="54">
        <v>45</v>
      </c>
      <c r="Y9" s="54">
        <v>19.84</v>
      </c>
      <c r="Z9" s="55">
        <f t="shared" si="1"/>
        <v>160.16</v>
      </c>
      <c r="AA9" s="56" t="s">
        <v>25</v>
      </c>
      <c r="AB9"/>
    </row>
    <row r="10" spans="1:28" x14ac:dyDescent="0.25">
      <c r="A10" s="26" t="s">
        <v>54</v>
      </c>
      <c r="B10" s="26" t="s">
        <v>55</v>
      </c>
      <c r="C10" s="26" t="str">
        <f t="shared" si="2"/>
        <v>Ricardo Carvalho</v>
      </c>
      <c r="D10" s="37" t="s">
        <v>56</v>
      </c>
      <c r="E10" s="27">
        <f t="shared" si="3"/>
        <v>45965</v>
      </c>
      <c r="F10" s="26" t="s">
        <v>47</v>
      </c>
      <c r="G10" s="26" t="str">
        <f t="shared" si="4"/>
        <v>Bruno Martins</v>
      </c>
      <c r="H10" s="26" t="s">
        <v>16</v>
      </c>
      <c r="I10" s="26" t="s">
        <v>116</v>
      </c>
      <c r="J10" s="28">
        <v>2</v>
      </c>
      <c r="K10" s="29">
        <v>45</v>
      </c>
      <c r="L10" s="29">
        <v>0</v>
      </c>
      <c r="M10" s="30">
        <f t="shared" si="0"/>
        <v>90</v>
      </c>
      <c r="N10" s="26" t="s">
        <v>49</v>
      </c>
      <c r="Q10" s="42" t="s">
        <v>54</v>
      </c>
      <c r="R10" s="42" t="s">
        <v>55</v>
      </c>
      <c r="S10" s="57">
        <f t="shared" si="5"/>
        <v>45965</v>
      </c>
      <c r="T10" s="44" t="s">
        <v>47</v>
      </c>
      <c r="U10" s="43" t="s">
        <v>16</v>
      </c>
      <c r="V10" s="42" t="s">
        <v>116</v>
      </c>
      <c r="W10" s="45">
        <v>2</v>
      </c>
      <c r="X10" s="46">
        <v>45</v>
      </c>
      <c r="Y10" s="46">
        <v>0</v>
      </c>
      <c r="Z10" s="47">
        <f t="shared" si="1"/>
        <v>90</v>
      </c>
      <c r="AA10" s="48" t="s">
        <v>49</v>
      </c>
      <c r="AB10"/>
    </row>
    <row r="11" spans="1:28" x14ac:dyDescent="0.25">
      <c r="A11" s="31" t="s">
        <v>57</v>
      </c>
      <c r="B11" s="31" t="s">
        <v>27</v>
      </c>
      <c r="C11" s="32" t="str">
        <f t="shared" si="2"/>
        <v>Roberto Santos</v>
      </c>
      <c r="D11" s="38" t="s">
        <v>58</v>
      </c>
      <c r="E11" s="33">
        <f t="shared" si="3"/>
        <v>45920</v>
      </c>
      <c r="F11" s="32" t="s">
        <v>39</v>
      </c>
      <c r="G11" s="32" t="str">
        <f t="shared" si="4"/>
        <v>Rodrigo Mello</v>
      </c>
      <c r="H11" s="32" t="s">
        <v>52</v>
      </c>
      <c r="I11" s="32" t="s">
        <v>61</v>
      </c>
      <c r="J11" s="34">
        <v>1</v>
      </c>
      <c r="K11" s="35">
        <v>199</v>
      </c>
      <c r="L11" s="35">
        <v>29.32</v>
      </c>
      <c r="M11" s="36">
        <f t="shared" si="0"/>
        <v>169.68</v>
      </c>
      <c r="N11" s="32" t="s">
        <v>69</v>
      </c>
      <c r="Q11" s="49" t="s">
        <v>57</v>
      </c>
      <c r="R11" s="49" t="s">
        <v>27</v>
      </c>
      <c r="S11" s="58">
        <f t="shared" si="5"/>
        <v>45920</v>
      </c>
      <c r="T11" s="51" t="s">
        <v>39</v>
      </c>
      <c r="U11" s="50" t="s">
        <v>52</v>
      </c>
      <c r="V11" s="52" t="s">
        <v>61</v>
      </c>
      <c r="W11" s="53">
        <v>1</v>
      </c>
      <c r="X11" s="54">
        <v>199</v>
      </c>
      <c r="Y11" s="54">
        <v>29.32</v>
      </c>
      <c r="Z11" s="55">
        <f t="shared" si="1"/>
        <v>169.68</v>
      </c>
      <c r="AA11" s="56" t="s">
        <v>69</v>
      </c>
      <c r="AB11"/>
    </row>
    <row r="12" spans="1:28" x14ac:dyDescent="0.25">
      <c r="A12" s="26" t="s">
        <v>59</v>
      </c>
      <c r="B12" s="26" t="s">
        <v>34</v>
      </c>
      <c r="C12" s="26" t="str">
        <f t="shared" si="2"/>
        <v>Carlos Silva</v>
      </c>
      <c r="D12" s="37" t="s">
        <v>60</v>
      </c>
      <c r="E12" s="27">
        <f t="shared" si="3"/>
        <v>45763</v>
      </c>
      <c r="F12" s="26" t="s">
        <v>22</v>
      </c>
      <c r="G12" s="26" t="str">
        <f t="shared" si="4"/>
        <v>Amanda Costa</v>
      </c>
      <c r="H12" s="26" t="s">
        <v>30</v>
      </c>
      <c r="I12" s="26" t="s">
        <v>68</v>
      </c>
      <c r="J12" s="28">
        <v>2</v>
      </c>
      <c r="K12" s="29">
        <v>799</v>
      </c>
      <c r="L12" s="29">
        <v>0</v>
      </c>
      <c r="M12" s="30">
        <f t="shared" si="0"/>
        <v>1598</v>
      </c>
      <c r="N12" s="26" t="s">
        <v>18</v>
      </c>
      <c r="Q12" s="42" t="s">
        <v>59</v>
      </c>
      <c r="R12" s="42" t="s">
        <v>34</v>
      </c>
      <c r="S12" s="57">
        <f t="shared" si="5"/>
        <v>45763</v>
      </c>
      <c r="T12" s="44" t="s">
        <v>22</v>
      </c>
      <c r="U12" s="43" t="s">
        <v>30</v>
      </c>
      <c r="V12" s="42" t="s">
        <v>68</v>
      </c>
      <c r="W12" s="45">
        <v>2</v>
      </c>
      <c r="X12" s="46">
        <v>799</v>
      </c>
      <c r="Y12" s="46">
        <v>0</v>
      </c>
      <c r="Z12" s="47">
        <f t="shared" si="1"/>
        <v>1598</v>
      </c>
      <c r="AA12" s="48" t="s">
        <v>18</v>
      </c>
      <c r="AB12"/>
    </row>
    <row r="13" spans="1:28" x14ac:dyDescent="0.25">
      <c r="A13" s="31" t="s">
        <v>62</v>
      </c>
      <c r="B13" s="31" t="s">
        <v>63</v>
      </c>
      <c r="C13" s="32" t="str">
        <f t="shared" si="2"/>
        <v>Marcos Rodrigues</v>
      </c>
      <c r="D13" s="38" t="s">
        <v>64</v>
      </c>
      <c r="E13" s="33">
        <f t="shared" si="3"/>
        <v>45847</v>
      </c>
      <c r="F13" s="32" t="s">
        <v>29</v>
      </c>
      <c r="G13" s="32" t="str">
        <f t="shared" si="4"/>
        <v>Camila Rocha</v>
      </c>
      <c r="H13" s="32" t="s">
        <v>30</v>
      </c>
      <c r="I13" s="32" t="s">
        <v>31</v>
      </c>
      <c r="J13" s="34">
        <v>5</v>
      </c>
      <c r="K13" s="35">
        <v>2500</v>
      </c>
      <c r="L13" s="35">
        <v>1389.98</v>
      </c>
      <c r="M13" s="36">
        <f t="shared" si="0"/>
        <v>11110.02</v>
      </c>
      <c r="N13" s="32" t="s">
        <v>69</v>
      </c>
      <c r="Q13" s="49" t="s">
        <v>62</v>
      </c>
      <c r="R13" s="49" t="s">
        <v>63</v>
      </c>
      <c r="S13" s="58">
        <f t="shared" si="5"/>
        <v>45847</v>
      </c>
      <c r="T13" s="51" t="s">
        <v>29</v>
      </c>
      <c r="U13" s="50" t="s">
        <v>30</v>
      </c>
      <c r="V13" s="52" t="s">
        <v>31</v>
      </c>
      <c r="W13" s="53">
        <v>5</v>
      </c>
      <c r="X13" s="54">
        <v>2500</v>
      </c>
      <c r="Y13" s="54">
        <v>1389.98</v>
      </c>
      <c r="Z13" s="55">
        <f t="shared" si="1"/>
        <v>11110.02</v>
      </c>
      <c r="AA13" s="56" t="s">
        <v>69</v>
      </c>
      <c r="AB13"/>
    </row>
    <row r="14" spans="1:28" x14ac:dyDescent="0.25">
      <c r="A14" s="26" t="s">
        <v>66</v>
      </c>
      <c r="B14" s="26" t="s">
        <v>37</v>
      </c>
      <c r="C14" s="26" t="str">
        <f t="shared" si="2"/>
        <v>Patricia Gomes</v>
      </c>
      <c r="D14" s="37" t="s">
        <v>67</v>
      </c>
      <c r="E14" s="27">
        <f t="shared" si="3"/>
        <v>45905</v>
      </c>
      <c r="F14" s="26" t="s">
        <v>22</v>
      </c>
      <c r="G14" s="26" t="str">
        <f t="shared" si="4"/>
        <v>Amanda Costa</v>
      </c>
      <c r="H14" s="26" t="s">
        <v>52</v>
      </c>
      <c r="I14" s="26" t="s">
        <v>61</v>
      </c>
      <c r="J14" s="28">
        <v>1</v>
      </c>
      <c r="K14" s="29">
        <v>199</v>
      </c>
      <c r="L14" s="29">
        <v>28.01</v>
      </c>
      <c r="M14" s="30">
        <f t="shared" si="0"/>
        <v>170.99</v>
      </c>
      <c r="N14" s="26" t="s">
        <v>49</v>
      </c>
      <c r="Q14" s="42" t="s">
        <v>66</v>
      </c>
      <c r="R14" s="42" t="s">
        <v>37</v>
      </c>
      <c r="S14" s="57">
        <f t="shared" si="5"/>
        <v>45905</v>
      </c>
      <c r="T14" s="44" t="s">
        <v>22</v>
      </c>
      <c r="U14" s="43" t="s">
        <v>52</v>
      </c>
      <c r="V14" s="42" t="s">
        <v>61</v>
      </c>
      <c r="W14" s="45">
        <v>1</v>
      </c>
      <c r="X14" s="46">
        <v>199</v>
      </c>
      <c r="Y14" s="46">
        <v>28.01</v>
      </c>
      <c r="Z14" s="47">
        <f t="shared" si="1"/>
        <v>170.99</v>
      </c>
      <c r="AA14" s="48" t="s">
        <v>49</v>
      </c>
      <c r="AB14"/>
    </row>
    <row r="15" spans="1:28" x14ac:dyDescent="0.25">
      <c r="A15" s="31" t="s">
        <v>70</v>
      </c>
      <c r="B15" s="31" t="s">
        <v>71</v>
      </c>
      <c r="C15" s="32" t="str">
        <f t="shared" si="2"/>
        <v>Juliana Costa</v>
      </c>
      <c r="D15" s="38" t="s">
        <v>72</v>
      </c>
      <c r="E15" s="33">
        <f t="shared" si="3"/>
        <v>45765</v>
      </c>
      <c r="F15" s="32" t="s">
        <v>29</v>
      </c>
      <c r="G15" s="32" t="str">
        <f t="shared" si="4"/>
        <v>Camila Rocha</v>
      </c>
      <c r="H15" s="32" t="s">
        <v>30</v>
      </c>
      <c r="I15" s="32" t="s">
        <v>31</v>
      </c>
      <c r="J15" s="34">
        <v>2</v>
      </c>
      <c r="K15" s="35">
        <v>2500</v>
      </c>
      <c r="L15" s="35">
        <v>0</v>
      </c>
      <c r="M15" s="36">
        <f t="shared" si="0"/>
        <v>5000</v>
      </c>
      <c r="N15" s="32" t="s">
        <v>44</v>
      </c>
      <c r="Q15" s="49" t="s">
        <v>70</v>
      </c>
      <c r="R15" s="49" t="s">
        <v>71</v>
      </c>
      <c r="S15" s="58">
        <f t="shared" si="5"/>
        <v>45765</v>
      </c>
      <c r="T15" s="51" t="s">
        <v>29</v>
      </c>
      <c r="U15" s="50" t="s">
        <v>30</v>
      </c>
      <c r="V15" s="52" t="s">
        <v>31</v>
      </c>
      <c r="W15" s="53">
        <v>2</v>
      </c>
      <c r="X15" s="54">
        <v>2500</v>
      </c>
      <c r="Y15" s="54">
        <v>0</v>
      </c>
      <c r="Z15" s="55">
        <f t="shared" si="1"/>
        <v>5000</v>
      </c>
      <c r="AA15" s="56" t="s">
        <v>44</v>
      </c>
      <c r="AB15"/>
    </row>
    <row r="16" spans="1:28" x14ac:dyDescent="0.25">
      <c r="A16" s="26" t="s">
        <v>73</v>
      </c>
      <c r="B16" s="26" t="s">
        <v>63</v>
      </c>
      <c r="C16" s="26" t="str">
        <f t="shared" si="2"/>
        <v>Marcos Rodrigues</v>
      </c>
      <c r="D16" s="37" t="s">
        <v>74</v>
      </c>
      <c r="E16" s="27">
        <f t="shared" si="3"/>
        <v>45942</v>
      </c>
      <c r="F16" s="26" t="s">
        <v>22</v>
      </c>
      <c r="G16" s="26" t="str">
        <f t="shared" si="4"/>
        <v>Amanda Costa</v>
      </c>
      <c r="H16" s="26" t="s">
        <v>16</v>
      </c>
      <c r="I16" s="26" t="s">
        <v>17</v>
      </c>
      <c r="J16" s="28">
        <v>4</v>
      </c>
      <c r="K16" s="29">
        <v>39</v>
      </c>
      <c r="L16" s="29">
        <v>4.12</v>
      </c>
      <c r="M16" s="30">
        <f>(J16*K16)-L16</f>
        <v>151.88</v>
      </c>
      <c r="N16" s="26" t="s">
        <v>25</v>
      </c>
      <c r="Q16" s="42" t="s">
        <v>73</v>
      </c>
      <c r="R16" s="42" t="s">
        <v>63</v>
      </c>
      <c r="S16" s="57">
        <f t="shared" si="5"/>
        <v>45942</v>
      </c>
      <c r="T16" s="44" t="s">
        <v>22</v>
      </c>
      <c r="U16" s="43" t="s">
        <v>16</v>
      </c>
      <c r="V16" s="42" t="s">
        <v>17</v>
      </c>
      <c r="W16" s="45">
        <v>4</v>
      </c>
      <c r="X16" s="46">
        <v>39</v>
      </c>
      <c r="Y16" s="46">
        <v>4.12</v>
      </c>
      <c r="Z16" s="47">
        <f>(W16*X16)-Y16</f>
        <v>151.88</v>
      </c>
      <c r="AA16" s="48" t="s">
        <v>25</v>
      </c>
      <c r="AB16"/>
    </row>
    <row r="17" spans="1:28" x14ac:dyDescent="0.25">
      <c r="A17" s="31" t="s">
        <v>76</v>
      </c>
      <c r="B17" s="31" t="s">
        <v>63</v>
      </c>
      <c r="C17" s="32" t="str">
        <f t="shared" si="2"/>
        <v>Marcos Rodrigues</v>
      </c>
      <c r="D17" s="38" t="s">
        <v>77</v>
      </c>
      <c r="E17" s="33">
        <f t="shared" si="3"/>
        <v>45708</v>
      </c>
      <c r="F17" s="32" t="s">
        <v>22</v>
      </c>
      <c r="G17" s="32" t="str">
        <f t="shared" si="4"/>
        <v>Amanda Costa</v>
      </c>
      <c r="H17" s="32" t="s">
        <v>52</v>
      </c>
      <c r="I17" s="32" t="s">
        <v>61</v>
      </c>
      <c r="J17" s="34">
        <v>1</v>
      </c>
      <c r="K17" s="35">
        <v>199</v>
      </c>
      <c r="L17" s="35">
        <v>3.28</v>
      </c>
      <c r="M17" s="36">
        <f t="shared" ref="M17:M62" si="6">(J17*K17)-L17</f>
        <v>195.72</v>
      </c>
      <c r="N17" s="32" t="s">
        <v>25</v>
      </c>
      <c r="Q17" s="49" t="s">
        <v>76</v>
      </c>
      <c r="R17" s="49" t="s">
        <v>63</v>
      </c>
      <c r="S17" s="58">
        <f t="shared" si="5"/>
        <v>45708</v>
      </c>
      <c r="T17" s="51" t="s">
        <v>22</v>
      </c>
      <c r="U17" s="50" t="s">
        <v>52</v>
      </c>
      <c r="V17" s="52" t="s">
        <v>61</v>
      </c>
      <c r="W17" s="53">
        <v>1</v>
      </c>
      <c r="X17" s="54">
        <v>199</v>
      </c>
      <c r="Y17" s="54">
        <v>3.28</v>
      </c>
      <c r="Z17" s="55">
        <f t="shared" ref="Z17:Z62" si="7">(W17*X17)-Y17</f>
        <v>195.72</v>
      </c>
      <c r="AA17" s="56" t="s">
        <v>25</v>
      </c>
      <c r="AB17"/>
    </row>
    <row r="18" spans="1:28" x14ac:dyDescent="0.25">
      <c r="A18" s="26" t="s">
        <v>79</v>
      </c>
      <c r="B18" s="26" t="s">
        <v>13</v>
      </c>
      <c r="C18" s="26" t="str">
        <f t="shared" si="2"/>
        <v>Lucas Almeida</v>
      </c>
      <c r="D18" s="37" t="s">
        <v>80</v>
      </c>
      <c r="E18" s="27">
        <f t="shared" si="3"/>
        <v>45813</v>
      </c>
      <c r="F18" s="26" t="s">
        <v>47</v>
      </c>
      <c r="G18" s="26" t="str">
        <f t="shared" si="4"/>
        <v>Bruno Martins</v>
      </c>
      <c r="H18" s="26" t="s">
        <v>16</v>
      </c>
      <c r="I18" s="26" t="s">
        <v>17</v>
      </c>
      <c r="J18" s="28">
        <v>3</v>
      </c>
      <c r="K18" s="29">
        <v>39</v>
      </c>
      <c r="L18" s="29">
        <v>0</v>
      </c>
      <c r="M18" s="30">
        <f t="shared" si="6"/>
        <v>117</v>
      </c>
      <c r="N18" s="26" t="s">
        <v>25</v>
      </c>
      <c r="Q18" s="42" t="s">
        <v>79</v>
      </c>
      <c r="R18" s="42" t="s">
        <v>13</v>
      </c>
      <c r="S18" s="57">
        <f t="shared" si="5"/>
        <v>45813</v>
      </c>
      <c r="T18" s="44" t="s">
        <v>47</v>
      </c>
      <c r="U18" s="43" t="s">
        <v>16</v>
      </c>
      <c r="V18" s="42" t="s">
        <v>17</v>
      </c>
      <c r="W18" s="45">
        <v>3</v>
      </c>
      <c r="X18" s="46">
        <v>39</v>
      </c>
      <c r="Y18" s="46">
        <v>0</v>
      </c>
      <c r="Z18" s="47">
        <f t="shared" si="7"/>
        <v>117</v>
      </c>
      <c r="AA18" s="48" t="s">
        <v>25</v>
      </c>
      <c r="AB18"/>
    </row>
    <row r="19" spans="1:28" x14ac:dyDescent="0.25">
      <c r="A19" s="31" t="s">
        <v>81</v>
      </c>
      <c r="B19" s="31" t="s">
        <v>13</v>
      </c>
      <c r="C19" s="32" t="str">
        <f t="shared" si="2"/>
        <v>Lucas Almeida</v>
      </c>
      <c r="D19" s="38" t="s">
        <v>58</v>
      </c>
      <c r="E19" s="33">
        <f t="shared" si="3"/>
        <v>45920</v>
      </c>
      <c r="F19" s="32" t="s">
        <v>47</v>
      </c>
      <c r="G19" s="32" t="str">
        <f t="shared" si="4"/>
        <v>Bruno Martins</v>
      </c>
      <c r="H19" s="32" t="s">
        <v>23</v>
      </c>
      <c r="I19" s="32" t="s">
        <v>48</v>
      </c>
      <c r="J19" s="34">
        <v>1</v>
      </c>
      <c r="K19" s="35">
        <v>450</v>
      </c>
      <c r="L19" s="35">
        <v>0</v>
      </c>
      <c r="M19" s="36">
        <f t="shared" si="6"/>
        <v>450</v>
      </c>
      <c r="N19" s="32" t="s">
        <v>25</v>
      </c>
      <c r="Q19" s="49" t="s">
        <v>81</v>
      </c>
      <c r="R19" s="49" t="s">
        <v>13</v>
      </c>
      <c r="S19" s="58">
        <f t="shared" si="5"/>
        <v>45920</v>
      </c>
      <c r="T19" s="51" t="s">
        <v>47</v>
      </c>
      <c r="U19" s="50" t="s">
        <v>23</v>
      </c>
      <c r="V19" s="52" t="s">
        <v>48</v>
      </c>
      <c r="W19" s="53">
        <v>1</v>
      </c>
      <c r="X19" s="54">
        <v>450</v>
      </c>
      <c r="Y19" s="54">
        <v>0</v>
      </c>
      <c r="Z19" s="55">
        <f t="shared" si="7"/>
        <v>450</v>
      </c>
      <c r="AA19" s="56" t="s">
        <v>25</v>
      </c>
      <c r="AB19"/>
    </row>
    <row r="20" spans="1:28" x14ac:dyDescent="0.25">
      <c r="A20" s="26" t="s">
        <v>82</v>
      </c>
      <c r="B20" s="26" t="s">
        <v>13</v>
      </c>
      <c r="C20" s="26" t="str">
        <f t="shared" si="2"/>
        <v>Lucas Almeida</v>
      </c>
      <c r="D20" s="37" t="s">
        <v>83</v>
      </c>
      <c r="E20" s="27">
        <f t="shared" si="3"/>
        <v>45748</v>
      </c>
      <c r="F20" s="26" t="s">
        <v>47</v>
      </c>
      <c r="G20" s="26" t="str">
        <f t="shared" si="4"/>
        <v>Bruno Martins</v>
      </c>
      <c r="H20" s="26" t="s">
        <v>52</v>
      </c>
      <c r="I20" s="26" t="s">
        <v>75</v>
      </c>
      <c r="J20" s="28">
        <v>3</v>
      </c>
      <c r="K20" s="29">
        <v>249</v>
      </c>
      <c r="L20" s="29">
        <v>0</v>
      </c>
      <c r="M20" s="30">
        <f t="shared" si="6"/>
        <v>747</v>
      </c>
      <c r="N20" s="26" t="s">
        <v>44</v>
      </c>
      <c r="Q20" s="42" t="s">
        <v>82</v>
      </c>
      <c r="R20" s="42" t="s">
        <v>13</v>
      </c>
      <c r="S20" s="57">
        <f t="shared" si="5"/>
        <v>45748</v>
      </c>
      <c r="T20" s="44" t="s">
        <v>47</v>
      </c>
      <c r="U20" s="43" t="s">
        <v>52</v>
      </c>
      <c r="V20" s="42" t="s">
        <v>75</v>
      </c>
      <c r="W20" s="45">
        <v>3</v>
      </c>
      <c r="X20" s="46">
        <v>249</v>
      </c>
      <c r="Y20" s="46">
        <v>0</v>
      </c>
      <c r="Z20" s="47">
        <f t="shared" si="7"/>
        <v>747</v>
      </c>
      <c r="AA20" s="48" t="s">
        <v>44</v>
      </c>
      <c r="AB20"/>
    </row>
    <row r="21" spans="1:28" x14ac:dyDescent="0.25">
      <c r="A21" s="31" t="s">
        <v>84</v>
      </c>
      <c r="B21" s="31" t="s">
        <v>71</v>
      </c>
      <c r="C21" s="32" t="str">
        <f t="shared" si="2"/>
        <v>Juliana Costa</v>
      </c>
      <c r="D21" s="38" t="s">
        <v>85</v>
      </c>
      <c r="E21" s="33">
        <f t="shared" si="3"/>
        <v>45715</v>
      </c>
      <c r="F21" s="32" t="s">
        <v>39</v>
      </c>
      <c r="G21" s="32" t="str">
        <f t="shared" si="4"/>
        <v>Rodrigo Mello</v>
      </c>
      <c r="H21" s="32" t="s">
        <v>16</v>
      </c>
      <c r="I21" s="32" t="s">
        <v>17</v>
      </c>
      <c r="J21" s="34">
        <v>5</v>
      </c>
      <c r="K21" s="35">
        <v>39</v>
      </c>
      <c r="L21" s="35">
        <v>0</v>
      </c>
      <c r="M21" s="36">
        <f t="shared" si="6"/>
        <v>195</v>
      </c>
      <c r="N21" s="32" t="s">
        <v>32</v>
      </c>
      <c r="Q21" s="49" t="s">
        <v>84</v>
      </c>
      <c r="R21" s="49" t="s">
        <v>71</v>
      </c>
      <c r="S21" s="58">
        <f t="shared" si="5"/>
        <v>45715</v>
      </c>
      <c r="T21" s="51" t="s">
        <v>39</v>
      </c>
      <c r="U21" s="50" t="s">
        <v>16</v>
      </c>
      <c r="V21" s="52" t="s">
        <v>17</v>
      </c>
      <c r="W21" s="53">
        <v>5</v>
      </c>
      <c r="X21" s="54">
        <v>39</v>
      </c>
      <c r="Y21" s="54">
        <v>0</v>
      </c>
      <c r="Z21" s="55">
        <f t="shared" si="7"/>
        <v>195</v>
      </c>
      <c r="AA21" s="56" t="s">
        <v>32</v>
      </c>
      <c r="AB21"/>
    </row>
    <row r="22" spans="1:28" x14ac:dyDescent="0.25">
      <c r="A22" s="26" t="s">
        <v>86</v>
      </c>
      <c r="B22" s="26" t="s">
        <v>55</v>
      </c>
      <c r="C22" s="26" t="str">
        <f t="shared" si="2"/>
        <v>Ricardo Carvalho</v>
      </c>
      <c r="D22" s="37" t="s">
        <v>87</v>
      </c>
      <c r="E22" s="27">
        <f t="shared" si="3"/>
        <v>45996</v>
      </c>
      <c r="F22" s="26" t="s">
        <v>29</v>
      </c>
      <c r="G22" s="26" t="str">
        <f t="shared" si="4"/>
        <v>Camila Rocha</v>
      </c>
      <c r="H22" s="26" t="s">
        <v>52</v>
      </c>
      <c r="I22" s="26" t="s">
        <v>53</v>
      </c>
      <c r="J22" s="28">
        <v>3</v>
      </c>
      <c r="K22" s="29">
        <v>149</v>
      </c>
      <c r="L22" s="29">
        <v>29.57</v>
      </c>
      <c r="M22" s="30">
        <f t="shared" si="6"/>
        <v>417.43</v>
      </c>
      <c r="N22" s="26" t="s">
        <v>44</v>
      </c>
      <c r="Q22" s="42" t="s">
        <v>86</v>
      </c>
      <c r="R22" s="42" t="s">
        <v>55</v>
      </c>
      <c r="S22" s="57">
        <f t="shared" si="5"/>
        <v>45996</v>
      </c>
      <c r="T22" s="44" t="s">
        <v>29</v>
      </c>
      <c r="U22" s="43" t="s">
        <v>52</v>
      </c>
      <c r="V22" s="42" t="s">
        <v>53</v>
      </c>
      <c r="W22" s="45">
        <v>3</v>
      </c>
      <c r="X22" s="46">
        <v>149</v>
      </c>
      <c r="Y22" s="46">
        <v>29.57</v>
      </c>
      <c r="Z22" s="47">
        <f t="shared" si="7"/>
        <v>417.43</v>
      </c>
      <c r="AA22" s="48" t="s">
        <v>44</v>
      </c>
      <c r="AB22"/>
    </row>
    <row r="23" spans="1:28" x14ac:dyDescent="0.25">
      <c r="A23" s="31" t="s">
        <v>90</v>
      </c>
      <c r="B23" s="31" t="s">
        <v>13</v>
      </c>
      <c r="C23" s="32" t="str">
        <f t="shared" si="2"/>
        <v>Lucas Almeida</v>
      </c>
      <c r="D23" s="38" t="s">
        <v>91</v>
      </c>
      <c r="E23" s="33">
        <f t="shared" si="3"/>
        <v>45860</v>
      </c>
      <c r="F23" s="32" t="s">
        <v>47</v>
      </c>
      <c r="G23" s="32" t="str">
        <f t="shared" si="4"/>
        <v>Bruno Martins</v>
      </c>
      <c r="H23" s="32" t="s">
        <v>52</v>
      </c>
      <c r="I23" s="32" t="s">
        <v>99</v>
      </c>
      <c r="J23" s="34">
        <v>2</v>
      </c>
      <c r="K23" s="35">
        <v>79</v>
      </c>
      <c r="L23" s="35">
        <v>0</v>
      </c>
      <c r="M23" s="36">
        <f t="shared" si="6"/>
        <v>158</v>
      </c>
      <c r="N23" s="32" t="s">
        <v>25</v>
      </c>
      <c r="Q23" s="49" t="s">
        <v>90</v>
      </c>
      <c r="R23" s="49" t="s">
        <v>13</v>
      </c>
      <c r="S23" s="58">
        <f t="shared" si="5"/>
        <v>45860</v>
      </c>
      <c r="T23" s="51" t="s">
        <v>47</v>
      </c>
      <c r="U23" s="50" t="s">
        <v>52</v>
      </c>
      <c r="V23" s="52" t="s">
        <v>99</v>
      </c>
      <c r="W23" s="53">
        <v>2</v>
      </c>
      <c r="X23" s="54">
        <v>79</v>
      </c>
      <c r="Y23" s="54">
        <v>0</v>
      </c>
      <c r="Z23" s="55">
        <f t="shared" si="7"/>
        <v>158</v>
      </c>
      <c r="AA23" s="56" t="s">
        <v>25</v>
      </c>
      <c r="AB23"/>
    </row>
    <row r="24" spans="1:28" x14ac:dyDescent="0.25">
      <c r="A24" s="26" t="s">
        <v>92</v>
      </c>
      <c r="B24" s="26" t="s">
        <v>27</v>
      </c>
      <c r="C24" s="26" t="str">
        <f t="shared" si="2"/>
        <v>Roberto Santos</v>
      </c>
      <c r="D24" s="37" t="s">
        <v>1691</v>
      </c>
      <c r="E24" s="27">
        <f t="shared" si="3"/>
        <v>46023</v>
      </c>
      <c r="F24" s="26" t="s">
        <v>22</v>
      </c>
      <c r="G24" s="26" t="str">
        <f t="shared" si="4"/>
        <v>Amanda Costa</v>
      </c>
      <c r="H24" s="26" t="s">
        <v>30</v>
      </c>
      <c r="I24" s="26" t="s">
        <v>152</v>
      </c>
      <c r="J24" s="28">
        <v>3</v>
      </c>
      <c r="K24" s="29">
        <v>4500</v>
      </c>
      <c r="L24" s="29">
        <v>647.85</v>
      </c>
      <c r="M24" s="30">
        <f t="shared" si="6"/>
        <v>12852.15</v>
      </c>
      <c r="N24" s="26" t="s">
        <v>65</v>
      </c>
      <c r="Q24" s="42" t="s">
        <v>92</v>
      </c>
      <c r="R24" s="42" t="s">
        <v>27</v>
      </c>
      <c r="S24" s="57">
        <f t="shared" si="5"/>
        <v>46023</v>
      </c>
      <c r="T24" s="44" t="s">
        <v>22</v>
      </c>
      <c r="U24" s="43" t="s">
        <v>30</v>
      </c>
      <c r="V24" s="42" t="s">
        <v>152</v>
      </c>
      <c r="W24" s="45">
        <v>3</v>
      </c>
      <c r="X24" s="46">
        <v>4500</v>
      </c>
      <c r="Y24" s="46">
        <v>647.85</v>
      </c>
      <c r="Z24" s="47">
        <f t="shared" si="7"/>
        <v>12852.15</v>
      </c>
      <c r="AA24" s="48" t="s">
        <v>65</v>
      </c>
      <c r="AB24"/>
    </row>
    <row r="25" spans="1:28" x14ac:dyDescent="0.25">
      <c r="A25" s="31" t="s">
        <v>94</v>
      </c>
      <c r="B25" s="31" t="s">
        <v>95</v>
      </c>
      <c r="C25" s="32" t="str">
        <f t="shared" si="2"/>
        <v>Maria Oliveira</v>
      </c>
      <c r="D25" s="38" t="s">
        <v>96</v>
      </c>
      <c r="E25" s="33">
        <f t="shared" si="3"/>
        <v>45879</v>
      </c>
      <c r="F25" s="32" t="s">
        <v>15</v>
      </c>
      <c r="G25" s="32" t="str">
        <f t="shared" si="4"/>
        <v>Larissa Dias</v>
      </c>
      <c r="H25" s="32" t="s">
        <v>30</v>
      </c>
      <c r="I25" s="32" t="s">
        <v>152</v>
      </c>
      <c r="J25" s="34">
        <v>2</v>
      </c>
      <c r="K25" s="35">
        <v>4500</v>
      </c>
      <c r="L25" s="35">
        <v>0</v>
      </c>
      <c r="M25" s="36">
        <f t="shared" si="6"/>
        <v>9000</v>
      </c>
      <c r="N25" s="32" t="s">
        <v>25</v>
      </c>
      <c r="Q25" s="49" t="s">
        <v>94</v>
      </c>
      <c r="R25" s="49" t="s">
        <v>95</v>
      </c>
      <c r="S25" s="58">
        <f t="shared" si="5"/>
        <v>45879</v>
      </c>
      <c r="T25" s="51" t="s">
        <v>15</v>
      </c>
      <c r="U25" s="50" t="s">
        <v>30</v>
      </c>
      <c r="V25" s="52" t="s">
        <v>152</v>
      </c>
      <c r="W25" s="53">
        <v>2</v>
      </c>
      <c r="X25" s="54">
        <v>4500</v>
      </c>
      <c r="Y25" s="54">
        <v>0</v>
      </c>
      <c r="Z25" s="55">
        <f t="shared" si="7"/>
        <v>9000</v>
      </c>
      <c r="AA25" s="56" t="s">
        <v>25</v>
      </c>
      <c r="AB25"/>
    </row>
    <row r="26" spans="1:28" x14ac:dyDescent="0.25">
      <c r="A26" s="26" t="s">
        <v>97</v>
      </c>
      <c r="B26" s="26" t="s">
        <v>41</v>
      </c>
      <c r="C26" s="26" t="str">
        <f t="shared" si="2"/>
        <v>João Pereira</v>
      </c>
      <c r="D26" s="37" t="s">
        <v>98</v>
      </c>
      <c r="E26" s="27">
        <f t="shared" si="3"/>
        <v>45666</v>
      </c>
      <c r="F26" s="26" t="s">
        <v>15</v>
      </c>
      <c r="G26" s="26" t="str">
        <f t="shared" si="4"/>
        <v>Larissa Dias</v>
      </c>
      <c r="H26" s="26" t="s">
        <v>52</v>
      </c>
      <c r="I26" s="26" t="s">
        <v>75</v>
      </c>
      <c r="J26" s="28">
        <v>1</v>
      </c>
      <c r="K26" s="29">
        <v>249</v>
      </c>
      <c r="L26" s="29">
        <v>3.99</v>
      </c>
      <c r="M26" s="30">
        <f t="shared" si="6"/>
        <v>245.01</v>
      </c>
      <c r="N26" s="26" t="s">
        <v>69</v>
      </c>
      <c r="Q26" s="42" t="s">
        <v>97</v>
      </c>
      <c r="R26" s="42" t="s">
        <v>41</v>
      </c>
      <c r="S26" s="57">
        <f t="shared" si="5"/>
        <v>45666</v>
      </c>
      <c r="T26" s="44" t="s">
        <v>15</v>
      </c>
      <c r="U26" s="43" t="s">
        <v>52</v>
      </c>
      <c r="V26" s="42" t="s">
        <v>75</v>
      </c>
      <c r="W26" s="45">
        <v>1</v>
      </c>
      <c r="X26" s="46">
        <v>249</v>
      </c>
      <c r="Y26" s="46">
        <v>3.99</v>
      </c>
      <c r="Z26" s="47">
        <f t="shared" si="7"/>
        <v>245.01</v>
      </c>
      <c r="AA26" s="48" t="s">
        <v>69</v>
      </c>
      <c r="AB26"/>
    </row>
    <row r="27" spans="1:28" x14ac:dyDescent="0.25">
      <c r="A27" s="31" t="s">
        <v>100</v>
      </c>
      <c r="B27" s="31" t="s">
        <v>101</v>
      </c>
      <c r="C27" s="32" t="str">
        <f t="shared" si="2"/>
        <v>Ana Souza</v>
      </c>
      <c r="D27" s="38" t="s">
        <v>102</v>
      </c>
      <c r="E27" s="33">
        <f t="shared" si="3"/>
        <v>46055</v>
      </c>
      <c r="F27" s="32" t="s">
        <v>39</v>
      </c>
      <c r="G27" s="32" t="str">
        <f t="shared" si="4"/>
        <v>Rodrigo Mello</v>
      </c>
      <c r="H27" s="32" t="s">
        <v>23</v>
      </c>
      <c r="I27" s="32" t="s">
        <v>88</v>
      </c>
      <c r="J27" s="34">
        <v>2</v>
      </c>
      <c r="K27" s="35">
        <v>650</v>
      </c>
      <c r="L27" s="35">
        <v>158.76</v>
      </c>
      <c r="M27" s="36">
        <f t="shared" si="6"/>
        <v>1141.24</v>
      </c>
      <c r="N27" s="32" t="s">
        <v>18</v>
      </c>
      <c r="Q27" s="49" t="s">
        <v>100</v>
      </c>
      <c r="R27" s="49" t="s">
        <v>101</v>
      </c>
      <c r="S27" s="58">
        <f t="shared" si="5"/>
        <v>46055</v>
      </c>
      <c r="T27" s="51" t="s">
        <v>39</v>
      </c>
      <c r="U27" s="50" t="s">
        <v>23</v>
      </c>
      <c r="V27" s="52" t="s">
        <v>88</v>
      </c>
      <c r="W27" s="53">
        <v>2</v>
      </c>
      <c r="X27" s="54">
        <v>650</v>
      </c>
      <c r="Y27" s="54">
        <v>158.76</v>
      </c>
      <c r="Z27" s="55">
        <f t="shared" si="7"/>
        <v>1141.24</v>
      </c>
      <c r="AA27" s="56" t="s">
        <v>18</v>
      </c>
      <c r="AB27"/>
    </row>
    <row r="28" spans="1:28" x14ac:dyDescent="0.25">
      <c r="A28" s="26" t="s">
        <v>104</v>
      </c>
      <c r="B28" s="26" t="s">
        <v>41</v>
      </c>
      <c r="C28" s="26" t="str">
        <f t="shared" si="2"/>
        <v>João Pereira</v>
      </c>
      <c r="D28" s="37" t="s">
        <v>105</v>
      </c>
      <c r="E28" s="27">
        <f t="shared" si="3"/>
        <v>45902</v>
      </c>
      <c r="F28" s="26" t="s">
        <v>22</v>
      </c>
      <c r="G28" s="26" t="str">
        <f t="shared" si="4"/>
        <v>Amanda Costa</v>
      </c>
      <c r="H28" s="26" t="s">
        <v>23</v>
      </c>
      <c r="I28" s="26" t="s">
        <v>48</v>
      </c>
      <c r="J28" s="28">
        <v>3</v>
      </c>
      <c r="K28" s="29">
        <v>450</v>
      </c>
      <c r="L28" s="29">
        <v>0</v>
      </c>
      <c r="M28" s="30">
        <f t="shared" si="6"/>
        <v>1350</v>
      </c>
      <c r="N28" s="26" t="s">
        <v>65</v>
      </c>
      <c r="Q28" s="42" t="s">
        <v>104</v>
      </c>
      <c r="R28" s="42" t="s">
        <v>41</v>
      </c>
      <c r="S28" s="57">
        <f t="shared" si="5"/>
        <v>45902</v>
      </c>
      <c r="T28" s="44" t="s">
        <v>22</v>
      </c>
      <c r="U28" s="43" t="s">
        <v>23</v>
      </c>
      <c r="V28" s="42" t="s">
        <v>48</v>
      </c>
      <c r="W28" s="45">
        <v>3</v>
      </c>
      <c r="X28" s="46">
        <v>450</v>
      </c>
      <c r="Y28" s="46">
        <v>0</v>
      </c>
      <c r="Z28" s="47">
        <f t="shared" si="7"/>
        <v>1350</v>
      </c>
      <c r="AA28" s="48" t="s">
        <v>65</v>
      </c>
      <c r="AB28"/>
    </row>
    <row r="29" spans="1:28" x14ac:dyDescent="0.25">
      <c r="A29" s="31" t="s">
        <v>107</v>
      </c>
      <c r="B29" s="31" t="s">
        <v>27</v>
      </c>
      <c r="C29" s="32" t="str">
        <f t="shared" si="2"/>
        <v>Roberto Santos</v>
      </c>
      <c r="D29" s="38" t="s">
        <v>108</v>
      </c>
      <c r="E29" s="33">
        <f t="shared" si="3"/>
        <v>46003</v>
      </c>
      <c r="F29" s="32" t="s">
        <v>29</v>
      </c>
      <c r="G29" s="32" t="str">
        <f t="shared" si="4"/>
        <v>Camila Rocha</v>
      </c>
      <c r="H29" s="32" t="s">
        <v>23</v>
      </c>
      <c r="I29" s="32" t="s">
        <v>24</v>
      </c>
      <c r="J29" s="34">
        <v>4</v>
      </c>
      <c r="K29" s="35">
        <v>180</v>
      </c>
      <c r="L29" s="35">
        <v>0</v>
      </c>
      <c r="M29" s="36">
        <f t="shared" si="6"/>
        <v>720</v>
      </c>
      <c r="N29" s="32" t="s">
        <v>25</v>
      </c>
      <c r="Q29" s="49" t="s">
        <v>107</v>
      </c>
      <c r="R29" s="49" t="s">
        <v>27</v>
      </c>
      <c r="S29" s="58">
        <f t="shared" si="5"/>
        <v>46003</v>
      </c>
      <c r="T29" s="51" t="s">
        <v>29</v>
      </c>
      <c r="U29" s="50" t="s">
        <v>23</v>
      </c>
      <c r="V29" s="52" t="s">
        <v>24</v>
      </c>
      <c r="W29" s="53">
        <v>4</v>
      </c>
      <c r="X29" s="54">
        <v>180</v>
      </c>
      <c r="Y29" s="54">
        <v>0</v>
      </c>
      <c r="Z29" s="55">
        <f t="shared" si="7"/>
        <v>720</v>
      </c>
      <c r="AA29" s="56" t="s">
        <v>25</v>
      </c>
      <c r="AB29"/>
    </row>
    <row r="30" spans="1:28" x14ac:dyDescent="0.25">
      <c r="A30" s="26" t="s">
        <v>109</v>
      </c>
      <c r="B30" s="26" t="s">
        <v>110</v>
      </c>
      <c r="C30" s="26" t="str">
        <f t="shared" si="2"/>
        <v>Fernanda Lima</v>
      </c>
      <c r="D30" s="37" t="s">
        <v>111</v>
      </c>
      <c r="E30" s="27">
        <f t="shared" si="3"/>
        <v>45976</v>
      </c>
      <c r="F30" s="26" t="s">
        <v>47</v>
      </c>
      <c r="G30" s="26" t="str">
        <f t="shared" si="4"/>
        <v>Bruno Martins</v>
      </c>
      <c r="H30" s="26" t="s">
        <v>30</v>
      </c>
      <c r="I30" s="26" t="s">
        <v>152</v>
      </c>
      <c r="J30" s="28">
        <v>3</v>
      </c>
      <c r="K30" s="29">
        <v>4500</v>
      </c>
      <c r="L30" s="29">
        <v>0</v>
      </c>
      <c r="M30" s="30">
        <f t="shared" si="6"/>
        <v>13500</v>
      </c>
      <c r="N30" s="26" t="s">
        <v>32</v>
      </c>
      <c r="Q30" s="42" t="s">
        <v>109</v>
      </c>
      <c r="R30" s="42" t="s">
        <v>110</v>
      </c>
      <c r="S30" s="57">
        <f t="shared" si="5"/>
        <v>45976</v>
      </c>
      <c r="T30" s="44" t="s">
        <v>47</v>
      </c>
      <c r="U30" s="43" t="s">
        <v>30</v>
      </c>
      <c r="V30" s="42" t="s">
        <v>152</v>
      </c>
      <c r="W30" s="45">
        <v>3</v>
      </c>
      <c r="X30" s="46">
        <v>4500</v>
      </c>
      <c r="Y30" s="46">
        <v>0</v>
      </c>
      <c r="Z30" s="47">
        <f t="shared" si="7"/>
        <v>13500</v>
      </c>
      <c r="AA30" s="48" t="s">
        <v>32</v>
      </c>
      <c r="AB30"/>
    </row>
    <row r="31" spans="1:28" x14ac:dyDescent="0.25">
      <c r="A31" s="31" t="s">
        <v>112</v>
      </c>
      <c r="B31" s="31" t="s">
        <v>41</v>
      </c>
      <c r="C31" s="32" t="str">
        <f t="shared" si="2"/>
        <v>João Pereira</v>
      </c>
      <c r="D31" s="38" t="s">
        <v>113</v>
      </c>
      <c r="E31" s="33">
        <f t="shared" si="3"/>
        <v>45814</v>
      </c>
      <c r="F31" s="32" t="s">
        <v>15</v>
      </c>
      <c r="G31" s="32" t="str">
        <f t="shared" si="4"/>
        <v>Larissa Dias</v>
      </c>
      <c r="H31" s="32" t="s">
        <v>16</v>
      </c>
      <c r="I31" s="32" t="s">
        <v>116</v>
      </c>
      <c r="J31" s="34">
        <v>1</v>
      </c>
      <c r="K31" s="35">
        <v>45</v>
      </c>
      <c r="L31" s="35">
        <v>0</v>
      </c>
      <c r="M31" s="36">
        <f t="shared" si="6"/>
        <v>45</v>
      </c>
      <c r="N31" s="32" t="s">
        <v>18</v>
      </c>
      <c r="Q31" s="49" t="s">
        <v>112</v>
      </c>
      <c r="R31" s="49" t="s">
        <v>41</v>
      </c>
      <c r="S31" s="58">
        <f t="shared" si="5"/>
        <v>45814</v>
      </c>
      <c r="T31" s="51" t="s">
        <v>15</v>
      </c>
      <c r="U31" s="50" t="s">
        <v>16</v>
      </c>
      <c r="V31" s="52" t="s">
        <v>116</v>
      </c>
      <c r="W31" s="53">
        <v>1</v>
      </c>
      <c r="X31" s="54">
        <v>45</v>
      </c>
      <c r="Y31" s="54">
        <v>0</v>
      </c>
      <c r="Z31" s="55">
        <f t="shared" si="7"/>
        <v>45</v>
      </c>
      <c r="AA31" s="56" t="s">
        <v>18</v>
      </c>
      <c r="AB31"/>
    </row>
    <row r="32" spans="1:28" x14ac:dyDescent="0.25">
      <c r="A32" s="26" t="s">
        <v>114</v>
      </c>
      <c r="B32" s="26" t="s">
        <v>27</v>
      </c>
      <c r="C32" s="26" t="str">
        <f t="shared" si="2"/>
        <v>Roberto Santos</v>
      </c>
      <c r="D32" s="37" t="s">
        <v>115</v>
      </c>
      <c r="E32" s="27">
        <f t="shared" si="3"/>
        <v>45727</v>
      </c>
      <c r="F32" s="26" t="s">
        <v>29</v>
      </c>
      <c r="G32" s="26" t="str">
        <f t="shared" si="4"/>
        <v>Camila Rocha</v>
      </c>
      <c r="H32" s="26" t="s">
        <v>52</v>
      </c>
      <c r="I32" s="26" t="s">
        <v>61</v>
      </c>
      <c r="J32" s="28">
        <v>5</v>
      </c>
      <c r="K32" s="29">
        <v>199</v>
      </c>
      <c r="L32" s="29">
        <v>0</v>
      </c>
      <c r="M32" s="30">
        <f t="shared" si="6"/>
        <v>995</v>
      </c>
      <c r="N32" s="26" t="s">
        <v>25</v>
      </c>
      <c r="Q32" s="42" t="s">
        <v>114</v>
      </c>
      <c r="R32" s="42" t="s">
        <v>27</v>
      </c>
      <c r="S32" s="57">
        <f t="shared" si="5"/>
        <v>45727</v>
      </c>
      <c r="T32" s="44" t="s">
        <v>29</v>
      </c>
      <c r="U32" s="43" t="s">
        <v>52</v>
      </c>
      <c r="V32" s="42" t="s">
        <v>61</v>
      </c>
      <c r="W32" s="45">
        <v>5</v>
      </c>
      <c r="X32" s="46">
        <v>199</v>
      </c>
      <c r="Y32" s="46">
        <v>0</v>
      </c>
      <c r="Z32" s="47">
        <f t="shared" si="7"/>
        <v>995</v>
      </c>
      <c r="AA32" s="48" t="s">
        <v>25</v>
      </c>
      <c r="AB32"/>
    </row>
    <row r="33" spans="1:28" x14ac:dyDescent="0.25">
      <c r="A33" s="31" t="s">
        <v>117</v>
      </c>
      <c r="B33" s="31" t="s">
        <v>20</v>
      </c>
      <c r="C33" s="32" t="str">
        <f t="shared" si="2"/>
        <v>Beatriz Ribeiro</v>
      </c>
      <c r="D33" s="38" t="s">
        <v>118</v>
      </c>
      <c r="E33" s="33">
        <f t="shared" si="3"/>
        <v>45736</v>
      </c>
      <c r="F33" s="32" t="s">
        <v>15</v>
      </c>
      <c r="G33" s="32" t="str">
        <f t="shared" si="4"/>
        <v>Larissa Dias</v>
      </c>
      <c r="H33" s="32" t="s">
        <v>30</v>
      </c>
      <c r="I33" s="32" t="s">
        <v>31</v>
      </c>
      <c r="J33" s="34">
        <v>2</v>
      </c>
      <c r="K33" s="35">
        <v>2500</v>
      </c>
      <c r="L33" s="35">
        <v>288.57</v>
      </c>
      <c r="M33" s="36">
        <f t="shared" si="6"/>
        <v>4711.43</v>
      </c>
      <c r="N33" s="32" t="s">
        <v>69</v>
      </c>
      <c r="Q33" s="49" t="s">
        <v>117</v>
      </c>
      <c r="R33" s="49" t="s">
        <v>20</v>
      </c>
      <c r="S33" s="58">
        <f t="shared" si="5"/>
        <v>45736</v>
      </c>
      <c r="T33" s="51" t="s">
        <v>15</v>
      </c>
      <c r="U33" s="50" t="s">
        <v>30</v>
      </c>
      <c r="V33" s="52" t="s">
        <v>31</v>
      </c>
      <c r="W33" s="53">
        <v>2</v>
      </c>
      <c r="X33" s="54">
        <v>2500</v>
      </c>
      <c r="Y33" s="54">
        <v>288.57</v>
      </c>
      <c r="Z33" s="55">
        <f t="shared" si="7"/>
        <v>4711.43</v>
      </c>
      <c r="AA33" s="56" t="s">
        <v>69</v>
      </c>
      <c r="AB33"/>
    </row>
    <row r="34" spans="1:28" x14ac:dyDescent="0.25">
      <c r="A34" s="26" t="s">
        <v>119</v>
      </c>
      <c r="B34" s="26" t="s">
        <v>27</v>
      </c>
      <c r="C34" s="26" t="str">
        <f t="shared" si="2"/>
        <v>Roberto Santos</v>
      </c>
      <c r="D34" s="37" t="s">
        <v>120</v>
      </c>
      <c r="E34" s="27">
        <f t="shared" si="3"/>
        <v>45730</v>
      </c>
      <c r="F34" s="26" t="s">
        <v>39</v>
      </c>
      <c r="G34" s="26" t="str">
        <f t="shared" si="4"/>
        <v>Rodrigo Mello</v>
      </c>
      <c r="H34" s="26" t="s">
        <v>52</v>
      </c>
      <c r="I34" s="26" t="s">
        <v>53</v>
      </c>
      <c r="J34" s="28">
        <v>4</v>
      </c>
      <c r="K34" s="29">
        <v>149</v>
      </c>
      <c r="L34" s="29">
        <v>0.74</v>
      </c>
      <c r="M34" s="30">
        <f t="shared" si="6"/>
        <v>595.26</v>
      </c>
      <c r="N34" s="26" t="s">
        <v>44</v>
      </c>
      <c r="Q34" s="42" t="s">
        <v>119</v>
      </c>
      <c r="R34" s="42" t="s">
        <v>27</v>
      </c>
      <c r="S34" s="57">
        <f t="shared" si="5"/>
        <v>45730</v>
      </c>
      <c r="T34" s="44" t="s">
        <v>39</v>
      </c>
      <c r="U34" s="43" t="s">
        <v>52</v>
      </c>
      <c r="V34" s="42" t="s">
        <v>53</v>
      </c>
      <c r="W34" s="45">
        <v>4</v>
      </c>
      <c r="X34" s="46">
        <v>149</v>
      </c>
      <c r="Y34" s="46">
        <v>0.74</v>
      </c>
      <c r="Z34" s="47">
        <f t="shared" si="7"/>
        <v>595.26</v>
      </c>
      <c r="AA34" s="48" t="s">
        <v>44</v>
      </c>
      <c r="AB34"/>
    </row>
    <row r="35" spans="1:28" x14ac:dyDescent="0.25">
      <c r="A35" s="31" t="s">
        <v>121</v>
      </c>
      <c r="B35" s="31" t="s">
        <v>110</v>
      </c>
      <c r="C35" s="32" t="str">
        <f t="shared" si="2"/>
        <v>Fernanda Lima</v>
      </c>
      <c r="D35" s="38" t="s">
        <v>122</v>
      </c>
      <c r="E35" s="33">
        <f t="shared" si="3"/>
        <v>45817</v>
      </c>
      <c r="F35" s="32" t="s">
        <v>15</v>
      </c>
      <c r="G35" s="32" t="str">
        <f t="shared" si="4"/>
        <v>Larissa Dias</v>
      </c>
      <c r="H35" s="32" t="s">
        <v>30</v>
      </c>
      <c r="I35" s="32" t="s">
        <v>152</v>
      </c>
      <c r="J35" s="34">
        <v>1</v>
      </c>
      <c r="K35" s="35">
        <v>4500</v>
      </c>
      <c r="L35" s="35">
        <v>0</v>
      </c>
      <c r="M35" s="36">
        <f t="shared" si="6"/>
        <v>4500</v>
      </c>
      <c r="N35" s="32" t="s">
        <v>25</v>
      </c>
      <c r="Q35" s="49" t="s">
        <v>121</v>
      </c>
      <c r="R35" s="49" t="s">
        <v>110</v>
      </c>
      <c r="S35" s="58">
        <f t="shared" si="5"/>
        <v>45817</v>
      </c>
      <c r="T35" s="51" t="s">
        <v>15</v>
      </c>
      <c r="U35" s="50" t="s">
        <v>30</v>
      </c>
      <c r="V35" s="52" t="s">
        <v>152</v>
      </c>
      <c r="W35" s="53">
        <v>1</v>
      </c>
      <c r="X35" s="54">
        <v>4500</v>
      </c>
      <c r="Y35" s="54">
        <v>0</v>
      </c>
      <c r="Z35" s="55">
        <f t="shared" si="7"/>
        <v>4500</v>
      </c>
      <c r="AA35" s="56" t="s">
        <v>25</v>
      </c>
      <c r="AB35"/>
    </row>
    <row r="36" spans="1:28" x14ac:dyDescent="0.25">
      <c r="A36" s="26" t="s">
        <v>123</v>
      </c>
      <c r="B36" s="26" t="s">
        <v>55</v>
      </c>
      <c r="C36" s="26" t="str">
        <f t="shared" si="2"/>
        <v>Ricardo Carvalho</v>
      </c>
      <c r="D36" s="37" t="s">
        <v>124</v>
      </c>
      <c r="E36" s="27">
        <f t="shared" si="3"/>
        <v>45888</v>
      </c>
      <c r="F36" s="26" t="s">
        <v>15</v>
      </c>
      <c r="G36" s="26" t="str">
        <f t="shared" si="4"/>
        <v>Larissa Dias</v>
      </c>
      <c r="H36" s="26" t="s">
        <v>23</v>
      </c>
      <c r="I36" s="26" t="s">
        <v>48</v>
      </c>
      <c r="J36" s="28">
        <v>1</v>
      </c>
      <c r="K36" s="29">
        <v>450</v>
      </c>
      <c r="L36" s="29">
        <v>0</v>
      </c>
      <c r="M36" s="30">
        <f t="shared" si="6"/>
        <v>450</v>
      </c>
      <c r="N36" s="26" t="s">
        <v>32</v>
      </c>
      <c r="Q36" s="42" t="s">
        <v>123</v>
      </c>
      <c r="R36" s="42" t="s">
        <v>55</v>
      </c>
      <c r="S36" s="57">
        <f t="shared" si="5"/>
        <v>45888</v>
      </c>
      <c r="T36" s="44" t="s">
        <v>15</v>
      </c>
      <c r="U36" s="43" t="s">
        <v>23</v>
      </c>
      <c r="V36" s="42" t="s">
        <v>48</v>
      </c>
      <c r="W36" s="45">
        <v>1</v>
      </c>
      <c r="X36" s="46">
        <v>450</v>
      </c>
      <c r="Y36" s="46">
        <v>0</v>
      </c>
      <c r="Z36" s="47">
        <f t="shared" si="7"/>
        <v>450</v>
      </c>
      <c r="AA36" s="48" t="s">
        <v>32</v>
      </c>
      <c r="AB36"/>
    </row>
    <row r="37" spans="1:28" x14ac:dyDescent="0.25">
      <c r="A37" s="31" t="s">
        <v>125</v>
      </c>
      <c r="B37" s="31" t="s">
        <v>101</v>
      </c>
      <c r="C37" s="32" t="str">
        <f t="shared" si="2"/>
        <v>Ana Souza</v>
      </c>
      <c r="D37" s="38" t="s">
        <v>126</v>
      </c>
      <c r="E37" s="33">
        <f t="shared" si="3"/>
        <v>45861</v>
      </c>
      <c r="F37" s="32" t="s">
        <v>22</v>
      </c>
      <c r="G37" s="32" t="str">
        <f t="shared" si="4"/>
        <v>Amanda Costa</v>
      </c>
      <c r="H37" s="32" t="s">
        <v>16</v>
      </c>
      <c r="I37" s="32" t="s">
        <v>17</v>
      </c>
      <c r="J37" s="34">
        <v>4</v>
      </c>
      <c r="K37" s="35">
        <v>39</v>
      </c>
      <c r="L37" s="35">
        <v>0</v>
      </c>
      <c r="M37" s="36">
        <f t="shared" si="6"/>
        <v>156</v>
      </c>
      <c r="N37" s="32" t="s">
        <v>18</v>
      </c>
      <c r="Q37" s="49" t="s">
        <v>125</v>
      </c>
      <c r="R37" s="49" t="s">
        <v>101</v>
      </c>
      <c r="S37" s="58">
        <f>DATEVALUE(D37)</f>
        <v>45861</v>
      </c>
      <c r="T37" s="51" t="s">
        <v>22</v>
      </c>
      <c r="U37" s="50" t="s">
        <v>16</v>
      </c>
      <c r="V37" s="52" t="s">
        <v>17</v>
      </c>
      <c r="W37" s="53">
        <v>4</v>
      </c>
      <c r="X37" s="54">
        <v>39</v>
      </c>
      <c r="Y37" s="54">
        <v>0</v>
      </c>
      <c r="Z37" s="55">
        <f t="shared" si="7"/>
        <v>156</v>
      </c>
      <c r="AA37" s="56" t="s">
        <v>18</v>
      </c>
      <c r="AB37"/>
    </row>
    <row r="38" spans="1:28" x14ac:dyDescent="0.25">
      <c r="A38" s="26" t="s">
        <v>127</v>
      </c>
      <c r="B38" s="26" t="s">
        <v>37</v>
      </c>
      <c r="C38" s="26" t="str">
        <f t="shared" si="2"/>
        <v>Patricia Gomes</v>
      </c>
      <c r="D38" s="37" t="s">
        <v>128</v>
      </c>
      <c r="E38" s="27">
        <f t="shared" si="3"/>
        <v>45826</v>
      </c>
      <c r="F38" s="26" t="s">
        <v>39</v>
      </c>
      <c r="G38" s="26" t="str">
        <f t="shared" si="4"/>
        <v>Rodrigo Mello</v>
      </c>
      <c r="H38" s="26" t="s">
        <v>30</v>
      </c>
      <c r="I38" s="26" t="s">
        <v>106</v>
      </c>
      <c r="J38" s="28">
        <v>3</v>
      </c>
      <c r="K38" s="29">
        <v>299</v>
      </c>
      <c r="L38" s="29">
        <v>99.19</v>
      </c>
      <c r="M38" s="30">
        <f t="shared" si="6"/>
        <v>797.81</v>
      </c>
      <c r="N38" s="26" t="s">
        <v>89</v>
      </c>
      <c r="Q38" s="42" t="s">
        <v>127</v>
      </c>
      <c r="R38" s="42" t="s">
        <v>37</v>
      </c>
      <c r="S38" s="57">
        <f t="shared" si="5"/>
        <v>45826</v>
      </c>
      <c r="T38" s="44" t="s">
        <v>39</v>
      </c>
      <c r="U38" s="43" t="s">
        <v>30</v>
      </c>
      <c r="V38" s="42" t="s">
        <v>106</v>
      </c>
      <c r="W38" s="45">
        <v>3</v>
      </c>
      <c r="X38" s="46">
        <v>299</v>
      </c>
      <c r="Y38" s="46">
        <v>99.19</v>
      </c>
      <c r="Z38" s="47">
        <f t="shared" si="7"/>
        <v>797.81</v>
      </c>
      <c r="AA38" s="48" t="s">
        <v>89</v>
      </c>
      <c r="AB38"/>
    </row>
    <row r="39" spans="1:28" x14ac:dyDescent="0.25">
      <c r="A39" s="31" t="s">
        <v>129</v>
      </c>
      <c r="B39" s="31" t="s">
        <v>101</v>
      </c>
      <c r="C39" s="32" t="str">
        <f t="shared" si="2"/>
        <v>Ana Souza</v>
      </c>
      <c r="D39" s="38" t="s">
        <v>130</v>
      </c>
      <c r="E39" s="33">
        <f t="shared" si="3"/>
        <v>45887</v>
      </c>
      <c r="F39" s="32" t="s">
        <v>47</v>
      </c>
      <c r="G39" s="32" t="str">
        <f t="shared" si="4"/>
        <v>Bruno Martins</v>
      </c>
      <c r="H39" s="32" t="s">
        <v>16</v>
      </c>
      <c r="I39" s="32" t="s">
        <v>78</v>
      </c>
      <c r="J39" s="34">
        <v>2</v>
      </c>
      <c r="K39" s="35">
        <v>59</v>
      </c>
      <c r="L39" s="35">
        <v>4.63</v>
      </c>
      <c r="M39" s="36">
        <f t="shared" si="6"/>
        <v>113.37</v>
      </c>
      <c r="N39" s="32" t="s">
        <v>18</v>
      </c>
      <c r="Q39" s="49" t="s">
        <v>129</v>
      </c>
      <c r="R39" s="49" t="s">
        <v>101</v>
      </c>
      <c r="S39" s="58">
        <f t="shared" si="5"/>
        <v>45887</v>
      </c>
      <c r="T39" s="51" t="s">
        <v>47</v>
      </c>
      <c r="U39" s="50" t="s">
        <v>16</v>
      </c>
      <c r="V39" s="52" t="s">
        <v>78</v>
      </c>
      <c r="W39" s="53">
        <v>2</v>
      </c>
      <c r="X39" s="54">
        <v>59</v>
      </c>
      <c r="Y39" s="54">
        <v>4.63</v>
      </c>
      <c r="Z39" s="55">
        <f t="shared" si="7"/>
        <v>113.37</v>
      </c>
      <c r="AA39" s="56" t="s">
        <v>18</v>
      </c>
      <c r="AB39"/>
    </row>
    <row r="40" spans="1:28" x14ac:dyDescent="0.25">
      <c r="A40" s="26" t="s">
        <v>131</v>
      </c>
      <c r="B40" s="26" t="s">
        <v>37</v>
      </c>
      <c r="C40" s="26" t="str">
        <f t="shared" si="2"/>
        <v>Patricia Gomes</v>
      </c>
      <c r="D40" s="37" t="s">
        <v>132</v>
      </c>
      <c r="E40" s="27">
        <f t="shared" si="3"/>
        <v>45747</v>
      </c>
      <c r="F40" s="26" t="s">
        <v>22</v>
      </c>
      <c r="G40" s="26" t="str">
        <f t="shared" si="4"/>
        <v>Amanda Costa</v>
      </c>
      <c r="H40" s="26" t="s">
        <v>30</v>
      </c>
      <c r="I40" s="26" t="s">
        <v>152</v>
      </c>
      <c r="J40" s="28">
        <v>2</v>
      </c>
      <c r="K40" s="29">
        <v>4500</v>
      </c>
      <c r="L40" s="29">
        <v>512.13</v>
      </c>
      <c r="M40" s="30">
        <f t="shared" si="6"/>
        <v>8487.8700000000008</v>
      </c>
      <c r="N40" s="26" t="s">
        <v>25</v>
      </c>
      <c r="Q40" s="42" t="s">
        <v>131</v>
      </c>
      <c r="R40" s="42" t="s">
        <v>37</v>
      </c>
      <c r="S40" s="57">
        <f t="shared" si="5"/>
        <v>45747</v>
      </c>
      <c r="T40" s="44" t="s">
        <v>22</v>
      </c>
      <c r="U40" s="43" t="s">
        <v>30</v>
      </c>
      <c r="V40" s="42" t="s">
        <v>152</v>
      </c>
      <c r="W40" s="45">
        <v>2</v>
      </c>
      <c r="X40" s="46">
        <v>4500</v>
      </c>
      <c r="Y40" s="46">
        <v>512.13</v>
      </c>
      <c r="Z40" s="47">
        <f t="shared" si="7"/>
        <v>8487.8700000000008</v>
      </c>
      <c r="AA40" s="48" t="s">
        <v>25</v>
      </c>
      <c r="AB40"/>
    </row>
    <row r="41" spans="1:28" x14ac:dyDescent="0.25">
      <c r="A41" s="31" t="s">
        <v>133</v>
      </c>
      <c r="B41" s="31" t="s">
        <v>134</v>
      </c>
      <c r="C41" s="32" t="str">
        <f t="shared" si="2"/>
        <v>Ana Souza</v>
      </c>
      <c r="D41" s="38" t="s">
        <v>28</v>
      </c>
      <c r="E41" s="33">
        <f t="shared" si="3"/>
        <v>45901</v>
      </c>
      <c r="F41" s="32" t="s">
        <v>22</v>
      </c>
      <c r="G41" s="32" t="str">
        <f t="shared" si="4"/>
        <v>Amanda Costa</v>
      </c>
      <c r="H41" s="32" t="s">
        <v>52</v>
      </c>
      <c r="I41" s="32" t="s">
        <v>61</v>
      </c>
      <c r="J41" s="34">
        <v>4</v>
      </c>
      <c r="K41" s="35">
        <v>199</v>
      </c>
      <c r="L41" s="35">
        <v>0</v>
      </c>
      <c r="M41" s="36">
        <f t="shared" si="6"/>
        <v>796</v>
      </c>
      <c r="N41" s="32" t="s">
        <v>44</v>
      </c>
      <c r="Q41" s="49" t="s">
        <v>133</v>
      </c>
      <c r="R41" s="49" t="s">
        <v>101</v>
      </c>
      <c r="S41" s="58">
        <f t="shared" si="5"/>
        <v>45901</v>
      </c>
      <c r="T41" s="51" t="s">
        <v>22</v>
      </c>
      <c r="U41" s="50" t="s">
        <v>52</v>
      </c>
      <c r="V41" s="52" t="s">
        <v>61</v>
      </c>
      <c r="W41" s="53">
        <v>4</v>
      </c>
      <c r="X41" s="54">
        <v>199</v>
      </c>
      <c r="Y41" s="54">
        <v>0</v>
      </c>
      <c r="Z41" s="55">
        <f t="shared" si="7"/>
        <v>796</v>
      </c>
      <c r="AA41" s="56" t="s">
        <v>44</v>
      </c>
      <c r="AB41"/>
    </row>
    <row r="42" spans="1:28" x14ac:dyDescent="0.25">
      <c r="A42" s="26" t="s">
        <v>135</v>
      </c>
      <c r="B42" s="26" t="s">
        <v>37</v>
      </c>
      <c r="C42" s="26" t="str">
        <f t="shared" si="2"/>
        <v>Patricia Gomes</v>
      </c>
      <c r="D42" s="37" t="s">
        <v>136</v>
      </c>
      <c r="E42" s="27">
        <f t="shared" si="3"/>
        <v>45695</v>
      </c>
      <c r="F42" s="26" t="s">
        <v>29</v>
      </c>
      <c r="G42" s="26" t="str">
        <f t="shared" si="4"/>
        <v>Camila Rocha</v>
      </c>
      <c r="H42" s="26" t="s">
        <v>23</v>
      </c>
      <c r="I42" s="26" t="s">
        <v>43</v>
      </c>
      <c r="J42" s="28">
        <v>5</v>
      </c>
      <c r="K42" s="29">
        <v>350</v>
      </c>
      <c r="L42" s="29">
        <v>0.28999999999999998</v>
      </c>
      <c r="M42" s="30">
        <f t="shared" si="6"/>
        <v>1749.71</v>
      </c>
      <c r="N42" s="26" t="s">
        <v>25</v>
      </c>
      <c r="Q42" s="42" t="s">
        <v>135</v>
      </c>
      <c r="R42" s="42" t="s">
        <v>37</v>
      </c>
      <c r="S42" s="57">
        <f t="shared" si="5"/>
        <v>45695</v>
      </c>
      <c r="T42" s="44" t="s">
        <v>29</v>
      </c>
      <c r="U42" s="43" t="s">
        <v>23</v>
      </c>
      <c r="V42" s="42" t="s">
        <v>43</v>
      </c>
      <c r="W42" s="45">
        <v>5</v>
      </c>
      <c r="X42" s="46">
        <v>350</v>
      </c>
      <c r="Y42" s="46">
        <v>0.28999999999999998</v>
      </c>
      <c r="Z42" s="47">
        <f t="shared" si="7"/>
        <v>1749.71</v>
      </c>
      <c r="AA42" s="48" t="s">
        <v>25</v>
      </c>
      <c r="AB42"/>
    </row>
    <row r="43" spans="1:28" x14ac:dyDescent="0.25">
      <c r="A43" s="31" t="s">
        <v>137</v>
      </c>
      <c r="B43" s="31" t="s">
        <v>101</v>
      </c>
      <c r="C43" s="32" t="str">
        <f t="shared" si="2"/>
        <v>Ana Souza</v>
      </c>
      <c r="D43" s="38" t="s">
        <v>102</v>
      </c>
      <c r="E43" s="33">
        <f t="shared" si="3"/>
        <v>46055</v>
      </c>
      <c r="F43" s="32" t="s">
        <v>15</v>
      </c>
      <c r="G43" s="32" t="str">
        <f t="shared" si="4"/>
        <v>Larissa Dias</v>
      </c>
      <c r="H43" s="32" t="s">
        <v>52</v>
      </c>
      <c r="I43" s="32" t="s">
        <v>53</v>
      </c>
      <c r="J43" s="34">
        <v>2</v>
      </c>
      <c r="K43" s="35">
        <v>149</v>
      </c>
      <c r="L43" s="35">
        <v>21.54</v>
      </c>
      <c r="M43" s="36">
        <f t="shared" si="6"/>
        <v>276.45999999999998</v>
      </c>
      <c r="N43" s="32" t="s">
        <v>49</v>
      </c>
      <c r="Q43" s="49" t="s">
        <v>137</v>
      </c>
      <c r="R43" s="49" t="s">
        <v>101</v>
      </c>
      <c r="S43" s="58">
        <f t="shared" si="5"/>
        <v>46055</v>
      </c>
      <c r="T43" s="51" t="s">
        <v>15</v>
      </c>
      <c r="U43" s="50" t="s">
        <v>52</v>
      </c>
      <c r="V43" s="52" t="s">
        <v>53</v>
      </c>
      <c r="W43" s="53">
        <v>2</v>
      </c>
      <c r="X43" s="54">
        <v>149</v>
      </c>
      <c r="Y43" s="54">
        <v>21.54</v>
      </c>
      <c r="Z43" s="55">
        <f t="shared" si="7"/>
        <v>276.45999999999998</v>
      </c>
      <c r="AA43" s="56" t="s">
        <v>49</v>
      </c>
      <c r="AB43"/>
    </row>
    <row r="44" spans="1:28" x14ac:dyDescent="0.25">
      <c r="A44" s="26" t="s">
        <v>138</v>
      </c>
      <c r="B44" s="26" t="s">
        <v>34</v>
      </c>
      <c r="C44" s="26" t="str">
        <f t="shared" si="2"/>
        <v>Carlos Silva</v>
      </c>
      <c r="D44" s="37" t="s">
        <v>72</v>
      </c>
      <c r="E44" s="27">
        <f t="shared" si="3"/>
        <v>45765</v>
      </c>
      <c r="F44" s="26" t="s">
        <v>47</v>
      </c>
      <c r="G44" s="26" t="str">
        <f t="shared" si="4"/>
        <v>Bruno Martins</v>
      </c>
      <c r="H44" s="26" t="s">
        <v>23</v>
      </c>
      <c r="I44" s="26" t="s">
        <v>88</v>
      </c>
      <c r="J44" s="28">
        <v>1</v>
      </c>
      <c r="K44" s="29">
        <v>650</v>
      </c>
      <c r="L44" s="29">
        <v>0</v>
      </c>
      <c r="M44" s="30">
        <f t="shared" si="6"/>
        <v>650</v>
      </c>
      <c r="N44" s="26" t="s">
        <v>32</v>
      </c>
      <c r="Q44" s="42" t="s">
        <v>138</v>
      </c>
      <c r="R44" s="42" t="s">
        <v>34</v>
      </c>
      <c r="S44" s="57">
        <f t="shared" si="5"/>
        <v>45765</v>
      </c>
      <c r="T44" s="44" t="s">
        <v>47</v>
      </c>
      <c r="U44" s="43" t="s">
        <v>23</v>
      </c>
      <c r="V44" s="42" t="s">
        <v>88</v>
      </c>
      <c r="W44" s="45">
        <v>1</v>
      </c>
      <c r="X44" s="46">
        <v>650</v>
      </c>
      <c r="Y44" s="46">
        <v>0</v>
      </c>
      <c r="Z44" s="47">
        <f t="shared" si="7"/>
        <v>650</v>
      </c>
      <c r="AA44" s="48" t="s">
        <v>32</v>
      </c>
      <c r="AB44"/>
    </row>
    <row r="45" spans="1:28" x14ac:dyDescent="0.25">
      <c r="A45" s="31" t="s">
        <v>139</v>
      </c>
      <c r="B45" s="31" t="s">
        <v>55</v>
      </c>
      <c r="C45" s="32" t="str">
        <f t="shared" si="2"/>
        <v>Ricardo Carvalho</v>
      </c>
      <c r="D45" s="38" t="s">
        <v>140</v>
      </c>
      <c r="E45" s="33">
        <f t="shared" si="3"/>
        <v>45852</v>
      </c>
      <c r="F45" s="32" t="s">
        <v>15</v>
      </c>
      <c r="G45" s="32" t="str">
        <f t="shared" si="4"/>
        <v>Larissa Dias</v>
      </c>
      <c r="H45" s="32" t="s">
        <v>23</v>
      </c>
      <c r="I45" s="32" t="s">
        <v>88</v>
      </c>
      <c r="J45" s="34">
        <v>5</v>
      </c>
      <c r="K45" s="35">
        <v>650</v>
      </c>
      <c r="L45" s="35">
        <v>0</v>
      </c>
      <c r="M45" s="36">
        <f t="shared" si="6"/>
        <v>3250</v>
      </c>
      <c r="N45" s="32" t="s">
        <v>18</v>
      </c>
      <c r="Q45" s="49" t="s">
        <v>139</v>
      </c>
      <c r="R45" s="49" t="s">
        <v>55</v>
      </c>
      <c r="S45" s="58">
        <f t="shared" si="5"/>
        <v>45852</v>
      </c>
      <c r="T45" s="51" t="s">
        <v>15</v>
      </c>
      <c r="U45" s="50" t="s">
        <v>23</v>
      </c>
      <c r="V45" s="52" t="s">
        <v>88</v>
      </c>
      <c r="W45" s="53">
        <v>5</v>
      </c>
      <c r="X45" s="54">
        <v>650</v>
      </c>
      <c r="Y45" s="54">
        <v>0</v>
      </c>
      <c r="Z45" s="55">
        <f t="shared" si="7"/>
        <v>3250</v>
      </c>
      <c r="AA45" s="56" t="s">
        <v>18</v>
      </c>
      <c r="AB45"/>
    </row>
    <row r="46" spans="1:28" x14ac:dyDescent="0.25">
      <c r="A46" s="26" t="s">
        <v>141</v>
      </c>
      <c r="B46" s="26" t="s">
        <v>71</v>
      </c>
      <c r="C46" s="26" t="str">
        <f t="shared" si="2"/>
        <v>Juliana Costa</v>
      </c>
      <c r="D46" s="37" t="s">
        <v>142</v>
      </c>
      <c r="E46" s="27">
        <f t="shared" si="3"/>
        <v>45796</v>
      </c>
      <c r="F46" s="26" t="s">
        <v>15</v>
      </c>
      <c r="G46" s="26" t="str">
        <f t="shared" si="4"/>
        <v>Larissa Dias</v>
      </c>
      <c r="H46" s="26" t="s">
        <v>30</v>
      </c>
      <c r="I46" s="26" t="s">
        <v>152</v>
      </c>
      <c r="J46" s="28">
        <v>5</v>
      </c>
      <c r="K46" s="29">
        <v>4500</v>
      </c>
      <c r="L46" s="29">
        <v>0</v>
      </c>
      <c r="M46" s="30">
        <f t="shared" si="6"/>
        <v>22500</v>
      </c>
      <c r="N46" s="26" t="s">
        <v>69</v>
      </c>
      <c r="Q46" s="42" t="s">
        <v>141</v>
      </c>
      <c r="R46" s="42" t="s">
        <v>71</v>
      </c>
      <c r="S46" s="57">
        <f t="shared" si="5"/>
        <v>45796</v>
      </c>
      <c r="T46" s="44" t="s">
        <v>15</v>
      </c>
      <c r="U46" s="43" t="s">
        <v>30</v>
      </c>
      <c r="V46" s="42" t="s">
        <v>152</v>
      </c>
      <c r="W46" s="45">
        <v>5</v>
      </c>
      <c r="X46" s="46">
        <v>4500</v>
      </c>
      <c r="Y46" s="46">
        <v>0</v>
      </c>
      <c r="Z46" s="47">
        <f t="shared" si="7"/>
        <v>22500</v>
      </c>
      <c r="AA46" s="48" t="s">
        <v>69</v>
      </c>
      <c r="AB46"/>
    </row>
    <row r="47" spans="1:28" x14ac:dyDescent="0.25">
      <c r="A47" s="31" t="s">
        <v>143</v>
      </c>
      <c r="B47" s="31" t="s">
        <v>55</v>
      </c>
      <c r="C47" s="32" t="str">
        <f t="shared" si="2"/>
        <v>Ricardo Carvalho</v>
      </c>
      <c r="D47" s="38" t="s">
        <v>144</v>
      </c>
      <c r="E47" s="33">
        <f t="shared" si="3"/>
        <v>45923</v>
      </c>
      <c r="F47" s="32" t="s">
        <v>39</v>
      </c>
      <c r="G47" s="32" t="str">
        <f t="shared" si="4"/>
        <v>Rodrigo Mello</v>
      </c>
      <c r="H47" s="32" t="s">
        <v>30</v>
      </c>
      <c r="I47" s="32" t="s">
        <v>68</v>
      </c>
      <c r="J47" s="34">
        <v>4</v>
      </c>
      <c r="K47" s="35">
        <v>799</v>
      </c>
      <c r="L47" s="35">
        <v>0</v>
      </c>
      <c r="M47" s="36">
        <f t="shared" si="6"/>
        <v>3196</v>
      </c>
      <c r="N47" s="32" t="s">
        <v>69</v>
      </c>
      <c r="Q47" s="49" t="s">
        <v>143</v>
      </c>
      <c r="R47" s="49" t="s">
        <v>55</v>
      </c>
      <c r="S47" s="58">
        <f t="shared" si="5"/>
        <v>45923</v>
      </c>
      <c r="T47" s="51" t="s">
        <v>39</v>
      </c>
      <c r="U47" s="50" t="s">
        <v>30</v>
      </c>
      <c r="V47" s="52" t="s">
        <v>68</v>
      </c>
      <c r="W47" s="53">
        <v>4</v>
      </c>
      <c r="X47" s="54">
        <v>799</v>
      </c>
      <c r="Y47" s="54">
        <v>0</v>
      </c>
      <c r="Z47" s="55">
        <f t="shared" si="7"/>
        <v>3196</v>
      </c>
      <c r="AA47" s="56" t="s">
        <v>69</v>
      </c>
      <c r="AB47"/>
    </row>
    <row r="48" spans="1:28" x14ac:dyDescent="0.25">
      <c r="A48" s="26" t="s">
        <v>145</v>
      </c>
      <c r="B48" s="26" t="s">
        <v>27</v>
      </c>
      <c r="C48" s="26" t="str">
        <f t="shared" si="2"/>
        <v>Roberto Santos</v>
      </c>
      <c r="D48" s="37" t="s">
        <v>146</v>
      </c>
      <c r="E48" s="27">
        <f t="shared" si="3"/>
        <v>45857</v>
      </c>
      <c r="F48" s="26" t="s">
        <v>22</v>
      </c>
      <c r="G48" s="26" t="str">
        <f t="shared" si="4"/>
        <v>Amanda Costa</v>
      </c>
      <c r="H48" s="26" t="s">
        <v>52</v>
      </c>
      <c r="I48" s="26" t="s">
        <v>99</v>
      </c>
      <c r="J48" s="28">
        <v>2</v>
      </c>
      <c r="K48" s="29">
        <v>79</v>
      </c>
      <c r="L48" s="29">
        <v>20.27</v>
      </c>
      <c r="M48" s="30">
        <f t="shared" si="6"/>
        <v>137.72999999999999</v>
      </c>
      <c r="N48" s="26" t="s">
        <v>69</v>
      </c>
      <c r="Q48" s="42" t="s">
        <v>145</v>
      </c>
      <c r="R48" s="42" t="s">
        <v>27</v>
      </c>
      <c r="S48" s="57">
        <f t="shared" si="5"/>
        <v>45857</v>
      </c>
      <c r="T48" s="44" t="s">
        <v>22</v>
      </c>
      <c r="U48" s="43" t="s">
        <v>52</v>
      </c>
      <c r="V48" s="42" t="s">
        <v>99</v>
      </c>
      <c r="W48" s="45">
        <v>2</v>
      </c>
      <c r="X48" s="46">
        <v>79</v>
      </c>
      <c r="Y48" s="46">
        <v>20.27</v>
      </c>
      <c r="Z48" s="47">
        <f t="shared" si="7"/>
        <v>137.72999999999999</v>
      </c>
      <c r="AA48" s="48" t="s">
        <v>69</v>
      </c>
      <c r="AB48"/>
    </row>
    <row r="49" spans="1:28" x14ac:dyDescent="0.25">
      <c r="A49" s="31" t="s">
        <v>147</v>
      </c>
      <c r="B49" s="31" t="s">
        <v>20</v>
      </c>
      <c r="C49" s="32" t="str">
        <f t="shared" si="2"/>
        <v>Beatriz Ribeiro</v>
      </c>
      <c r="D49" s="38" t="s">
        <v>148</v>
      </c>
      <c r="E49" s="33">
        <f t="shared" si="3"/>
        <v>45798</v>
      </c>
      <c r="F49" s="32" t="s">
        <v>47</v>
      </c>
      <c r="G49" s="32" t="str">
        <f t="shared" si="4"/>
        <v>Bruno Martins</v>
      </c>
      <c r="H49" s="32" t="s">
        <v>16</v>
      </c>
      <c r="I49" s="32" t="s">
        <v>103</v>
      </c>
      <c r="J49" s="34">
        <v>3</v>
      </c>
      <c r="K49" s="35">
        <v>89</v>
      </c>
      <c r="L49" s="35">
        <v>0</v>
      </c>
      <c r="M49" s="36">
        <f t="shared" si="6"/>
        <v>267</v>
      </c>
      <c r="N49" s="32" t="s">
        <v>44</v>
      </c>
      <c r="Q49" s="49" t="s">
        <v>147</v>
      </c>
      <c r="R49" s="49" t="s">
        <v>20</v>
      </c>
      <c r="S49" s="58">
        <f t="shared" si="5"/>
        <v>45798</v>
      </c>
      <c r="T49" s="51" t="s">
        <v>47</v>
      </c>
      <c r="U49" s="50" t="s">
        <v>16</v>
      </c>
      <c r="V49" s="52" t="s">
        <v>103</v>
      </c>
      <c r="W49" s="53">
        <v>3</v>
      </c>
      <c r="X49" s="54">
        <v>89</v>
      </c>
      <c r="Y49" s="54">
        <v>0</v>
      </c>
      <c r="Z49" s="55">
        <f t="shared" si="7"/>
        <v>267</v>
      </c>
      <c r="AA49" s="56" t="s">
        <v>44</v>
      </c>
      <c r="AB49"/>
    </row>
    <row r="50" spans="1:28" x14ac:dyDescent="0.25">
      <c r="A50" s="26" t="s">
        <v>150</v>
      </c>
      <c r="B50" s="26" t="s">
        <v>41</v>
      </c>
      <c r="C50" s="26" t="str">
        <f t="shared" si="2"/>
        <v>João Pereira</v>
      </c>
      <c r="D50" s="37" t="s">
        <v>151</v>
      </c>
      <c r="E50" s="27">
        <f t="shared" si="3"/>
        <v>45843</v>
      </c>
      <c r="F50" s="26" t="s">
        <v>15</v>
      </c>
      <c r="G50" s="26" t="str">
        <f t="shared" si="4"/>
        <v>Larissa Dias</v>
      </c>
      <c r="H50" s="26" t="s">
        <v>30</v>
      </c>
      <c r="I50" s="26" t="s">
        <v>152</v>
      </c>
      <c r="J50" s="28">
        <v>2</v>
      </c>
      <c r="K50" s="29">
        <v>4500</v>
      </c>
      <c r="L50" s="29">
        <v>0</v>
      </c>
      <c r="M50" s="30">
        <f t="shared" si="6"/>
        <v>9000</v>
      </c>
      <c r="N50" s="26" t="s">
        <v>32</v>
      </c>
      <c r="Q50" s="42" t="s">
        <v>150</v>
      </c>
      <c r="R50" s="42" t="s">
        <v>41</v>
      </c>
      <c r="S50" s="57">
        <f t="shared" si="5"/>
        <v>45843</v>
      </c>
      <c r="T50" s="44" t="s">
        <v>15</v>
      </c>
      <c r="U50" s="43" t="s">
        <v>30</v>
      </c>
      <c r="V50" s="42" t="s">
        <v>152</v>
      </c>
      <c r="W50" s="45">
        <v>2</v>
      </c>
      <c r="X50" s="46">
        <v>4500</v>
      </c>
      <c r="Y50" s="46">
        <v>0</v>
      </c>
      <c r="Z50" s="47">
        <f t="shared" si="7"/>
        <v>9000</v>
      </c>
      <c r="AA50" s="48" t="s">
        <v>32</v>
      </c>
      <c r="AB50"/>
    </row>
    <row r="51" spans="1:28" x14ac:dyDescent="0.25">
      <c r="A51" s="31" t="s">
        <v>153</v>
      </c>
      <c r="B51" s="31" t="s">
        <v>101</v>
      </c>
      <c r="C51" s="32" t="str">
        <f t="shared" si="2"/>
        <v>Ana Souza</v>
      </c>
      <c r="D51" s="38" t="s">
        <v>74</v>
      </c>
      <c r="E51" s="33">
        <f t="shared" si="3"/>
        <v>45942</v>
      </c>
      <c r="F51" s="32" t="s">
        <v>47</v>
      </c>
      <c r="G51" s="32" t="str">
        <f t="shared" si="4"/>
        <v>Bruno Martins</v>
      </c>
      <c r="H51" s="32" t="s">
        <v>23</v>
      </c>
      <c r="I51" s="32" t="s">
        <v>24</v>
      </c>
      <c r="J51" s="34">
        <v>4</v>
      </c>
      <c r="K51" s="35">
        <v>180</v>
      </c>
      <c r="L51" s="35">
        <v>0</v>
      </c>
      <c r="M51" s="36">
        <f t="shared" si="6"/>
        <v>720</v>
      </c>
      <c r="N51" s="32" t="s">
        <v>44</v>
      </c>
      <c r="Q51" s="49" t="s">
        <v>153</v>
      </c>
      <c r="R51" s="49" t="s">
        <v>101</v>
      </c>
      <c r="S51" s="58">
        <f t="shared" si="5"/>
        <v>45942</v>
      </c>
      <c r="T51" s="51" t="s">
        <v>47</v>
      </c>
      <c r="U51" s="50" t="s">
        <v>23</v>
      </c>
      <c r="V51" s="52" t="s">
        <v>24</v>
      </c>
      <c r="W51" s="53">
        <v>4</v>
      </c>
      <c r="X51" s="54">
        <v>180</v>
      </c>
      <c r="Y51" s="54">
        <v>0</v>
      </c>
      <c r="Z51" s="55">
        <f t="shared" si="7"/>
        <v>720</v>
      </c>
      <c r="AA51" s="56" t="s">
        <v>44</v>
      </c>
      <c r="AB51"/>
    </row>
    <row r="52" spans="1:28" x14ac:dyDescent="0.25">
      <c r="A52" s="26" t="s">
        <v>154</v>
      </c>
      <c r="B52" s="26" t="s">
        <v>71</v>
      </c>
      <c r="C52" s="26" t="str">
        <f t="shared" si="2"/>
        <v>Juliana Costa</v>
      </c>
      <c r="D52" s="37" t="s">
        <v>155</v>
      </c>
      <c r="E52" s="27">
        <f t="shared" si="3"/>
        <v>45668</v>
      </c>
      <c r="F52" s="26" t="s">
        <v>29</v>
      </c>
      <c r="G52" s="26" t="str">
        <f t="shared" si="4"/>
        <v>Camila Rocha</v>
      </c>
      <c r="H52" s="26" t="s">
        <v>16</v>
      </c>
      <c r="I52" s="26" t="s">
        <v>103</v>
      </c>
      <c r="J52" s="28">
        <v>4</v>
      </c>
      <c r="K52" s="29">
        <v>89</v>
      </c>
      <c r="L52" s="29">
        <v>0</v>
      </c>
      <c r="M52" s="30">
        <f t="shared" si="6"/>
        <v>356</v>
      </c>
      <c r="N52" s="26" t="s">
        <v>89</v>
      </c>
      <c r="Q52" s="42" t="s">
        <v>154</v>
      </c>
      <c r="R52" s="42" t="s">
        <v>71</v>
      </c>
      <c r="S52" s="57">
        <f t="shared" si="5"/>
        <v>45668</v>
      </c>
      <c r="T52" s="44" t="s">
        <v>29</v>
      </c>
      <c r="U52" s="43" t="s">
        <v>16</v>
      </c>
      <c r="V52" s="42" t="s">
        <v>103</v>
      </c>
      <c r="W52" s="45">
        <v>4</v>
      </c>
      <c r="X52" s="46">
        <v>89</v>
      </c>
      <c r="Y52" s="46">
        <v>0</v>
      </c>
      <c r="Z52" s="47">
        <f t="shared" si="7"/>
        <v>356</v>
      </c>
      <c r="AA52" s="48" t="s">
        <v>89</v>
      </c>
      <c r="AB52"/>
    </row>
    <row r="53" spans="1:28" x14ac:dyDescent="0.25">
      <c r="A53" s="31" t="s">
        <v>156</v>
      </c>
      <c r="B53" s="31" t="s">
        <v>63</v>
      </c>
      <c r="C53" s="32" t="str">
        <f t="shared" si="2"/>
        <v>Marcos Rodrigues</v>
      </c>
      <c r="D53" s="38" t="s">
        <v>157</v>
      </c>
      <c r="E53" s="33">
        <f t="shared" si="3"/>
        <v>45862</v>
      </c>
      <c r="F53" s="32" t="s">
        <v>47</v>
      </c>
      <c r="G53" s="32" t="str">
        <f t="shared" si="4"/>
        <v>Bruno Martins</v>
      </c>
      <c r="H53" s="32" t="s">
        <v>52</v>
      </c>
      <c r="I53" s="32" t="s">
        <v>75</v>
      </c>
      <c r="J53" s="34">
        <v>2</v>
      </c>
      <c r="K53" s="35">
        <v>249</v>
      </c>
      <c r="L53" s="35">
        <v>45.76</v>
      </c>
      <c r="M53" s="36">
        <f t="shared" si="6"/>
        <v>452.24</v>
      </c>
      <c r="N53" s="32" t="s">
        <v>44</v>
      </c>
      <c r="Q53" s="49" t="s">
        <v>156</v>
      </c>
      <c r="R53" s="49" t="s">
        <v>63</v>
      </c>
      <c r="S53" s="58">
        <f t="shared" si="5"/>
        <v>45862</v>
      </c>
      <c r="T53" s="51" t="s">
        <v>47</v>
      </c>
      <c r="U53" s="50" t="s">
        <v>52</v>
      </c>
      <c r="V53" s="52" t="s">
        <v>75</v>
      </c>
      <c r="W53" s="53">
        <v>2</v>
      </c>
      <c r="X53" s="54">
        <v>249</v>
      </c>
      <c r="Y53" s="54">
        <v>45.76</v>
      </c>
      <c r="Z53" s="55">
        <f t="shared" si="7"/>
        <v>452.24</v>
      </c>
      <c r="AA53" s="56" t="s">
        <v>44</v>
      </c>
      <c r="AB53"/>
    </row>
    <row r="54" spans="1:28" x14ac:dyDescent="0.25">
      <c r="A54" s="26" t="s">
        <v>158</v>
      </c>
      <c r="B54" s="26" t="s">
        <v>27</v>
      </c>
      <c r="C54" s="26" t="str">
        <f t="shared" si="2"/>
        <v>Roberto Santos</v>
      </c>
      <c r="D54" s="37" t="s">
        <v>159</v>
      </c>
      <c r="E54" s="27">
        <f t="shared" si="3"/>
        <v>45917</v>
      </c>
      <c r="F54" s="26" t="s">
        <v>15</v>
      </c>
      <c r="G54" s="26" t="str">
        <f t="shared" si="4"/>
        <v>Larissa Dias</v>
      </c>
      <c r="H54" s="26" t="s">
        <v>52</v>
      </c>
      <c r="I54" s="26" t="s">
        <v>75</v>
      </c>
      <c r="J54" s="28">
        <v>2</v>
      </c>
      <c r="K54" s="29">
        <v>249</v>
      </c>
      <c r="L54" s="29">
        <v>58</v>
      </c>
      <c r="M54" s="30">
        <f t="shared" si="6"/>
        <v>440</v>
      </c>
      <c r="N54" s="26" t="s">
        <v>44</v>
      </c>
      <c r="Q54" s="42" t="s">
        <v>158</v>
      </c>
      <c r="R54" s="42" t="s">
        <v>27</v>
      </c>
      <c r="S54" s="57">
        <f t="shared" si="5"/>
        <v>45917</v>
      </c>
      <c r="T54" s="44" t="s">
        <v>15</v>
      </c>
      <c r="U54" s="43" t="s">
        <v>52</v>
      </c>
      <c r="V54" s="42" t="s">
        <v>75</v>
      </c>
      <c r="W54" s="45">
        <v>2</v>
      </c>
      <c r="X54" s="46">
        <v>249</v>
      </c>
      <c r="Y54" s="46">
        <v>58</v>
      </c>
      <c r="Z54" s="47">
        <f t="shared" si="7"/>
        <v>440</v>
      </c>
      <c r="AA54" s="48" t="s">
        <v>44</v>
      </c>
      <c r="AB54"/>
    </row>
    <row r="55" spans="1:28" x14ac:dyDescent="0.25">
      <c r="A55" s="7" t="s">
        <v>160</v>
      </c>
      <c r="B55" s="7" t="s">
        <v>71</v>
      </c>
      <c r="C55" s="3" t="str">
        <f t="shared" si="2"/>
        <v>Juliana Costa</v>
      </c>
      <c r="D55" s="25" t="s">
        <v>161</v>
      </c>
      <c r="E55" s="23">
        <f t="shared" si="3"/>
        <v>45716</v>
      </c>
      <c r="F55" s="3" t="s">
        <v>39</v>
      </c>
      <c r="G55" s="3" t="str">
        <f t="shared" si="4"/>
        <v>Rodrigo Mello</v>
      </c>
      <c r="H55" s="3" t="s">
        <v>52</v>
      </c>
      <c r="I55" s="3" t="s">
        <v>53</v>
      </c>
      <c r="J55" s="17">
        <v>3</v>
      </c>
      <c r="K55" s="21">
        <v>149</v>
      </c>
      <c r="L55" s="21">
        <v>0</v>
      </c>
      <c r="M55" s="22">
        <f t="shared" si="6"/>
        <v>447</v>
      </c>
      <c r="N55" s="3" t="s">
        <v>49</v>
      </c>
      <c r="Q55" s="49" t="s">
        <v>160</v>
      </c>
      <c r="R55" s="49" t="s">
        <v>71</v>
      </c>
      <c r="S55" s="58">
        <f t="shared" si="5"/>
        <v>45716</v>
      </c>
      <c r="T55" s="51" t="s">
        <v>39</v>
      </c>
      <c r="U55" s="50" t="s">
        <v>52</v>
      </c>
      <c r="V55" s="52" t="s">
        <v>53</v>
      </c>
      <c r="W55" s="53">
        <v>3</v>
      </c>
      <c r="X55" s="54">
        <v>149</v>
      </c>
      <c r="Y55" s="54">
        <v>0</v>
      </c>
      <c r="Z55" s="55">
        <f t="shared" si="7"/>
        <v>447</v>
      </c>
      <c r="AA55" s="56" t="s">
        <v>49</v>
      </c>
      <c r="AB55"/>
    </row>
    <row r="56" spans="1:28" x14ac:dyDescent="0.25">
      <c r="A56" s="26" t="s">
        <v>162</v>
      </c>
      <c r="B56" s="26" t="s">
        <v>55</v>
      </c>
      <c r="C56" s="26" t="str">
        <f t="shared" si="2"/>
        <v>Ricardo Carvalho</v>
      </c>
      <c r="D56" s="37" t="s">
        <v>102</v>
      </c>
      <c r="E56" s="27">
        <f t="shared" si="3"/>
        <v>46055</v>
      </c>
      <c r="F56" s="26" t="s">
        <v>47</v>
      </c>
      <c r="G56" s="26" t="str">
        <f t="shared" si="4"/>
        <v>Bruno Martins</v>
      </c>
      <c r="H56" s="26" t="s">
        <v>52</v>
      </c>
      <c r="I56" s="26" t="s">
        <v>61</v>
      </c>
      <c r="J56" s="28">
        <v>2</v>
      </c>
      <c r="K56" s="29">
        <v>199</v>
      </c>
      <c r="L56" s="29">
        <v>14.73</v>
      </c>
      <c r="M56" s="30">
        <f t="shared" si="6"/>
        <v>383.27</v>
      </c>
      <c r="N56" s="26" t="s">
        <v>69</v>
      </c>
      <c r="Q56" s="42" t="s">
        <v>162</v>
      </c>
      <c r="R56" s="42" t="s">
        <v>55</v>
      </c>
      <c r="S56" s="57">
        <f t="shared" si="5"/>
        <v>46055</v>
      </c>
      <c r="T56" s="44" t="s">
        <v>47</v>
      </c>
      <c r="U56" s="43" t="s">
        <v>52</v>
      </c>
      <c r="V56" s="42" t="s">
        <v>61</v>
      </c>
      <c r="W56" s="45">
        <v>2</v>
      </c>
      <c r="X56" s="46">
        <v>199</v>
      </c>
      <c r="Y56" s="46">
        <v>14.73</v>
      </c>
      <c r="Z56" s="47">
        <f t="shared" si="7"/>
        <v>383.27</v>
      </c>
      <c r="AA56" s="48" t="s">
        <v>69</v>
      </c>
      <c r="AB56"/>
    </row>
    <row r="57" spans="1:28" x14ac:dyDescent="0.25">
      <c r="A57" s="31" t="s">
        <v>163</v>
      </c>
      <c r="B57" s="31" t="s">
        <v>101</v>
      </c>
      <c r="C57" s="32" t="str">
        <f t="shared" si="2"/>
        <v>Ana Souza</v>
      </c>
      <c r="D57" s="38" t="s">
        <v>164</v>
      </c>
      <c r="E57" s="33">
        <f t="shared" si="3"/>
        <v>46031</v>
      </c>
      <c r="F57" s="32" t="s">
        <v>22</v>
      </c>
      <c r="G57" s="32" t="str">
        <f t="shared" si="4"/>
        <v>Amanda Costa</v>
      </c>
      <c r="H57" s="32" t="s">
        <v>23</v>
      </c>
      <c r="I57" s="32" t="s">
        <v>88</v>
      </c>
      <c r="J57" s="34">
        <v>4</v>
      </c>
      <c r="K57" s="35">
        <v>650</v>
      </c>
      <c r="L57" s="35">
        <v>5.67</v>
      </c>
      <c r="M57" s="36">
        <f t="shared" si="6"/>
        <v>2594.33</v>
      </c>
      <c r="N57" s="32" t="s">
        <v>89</v>
      </c>
      <c r="Q57" s="49" t="s">
        <v>163</v>
      </c>
      <c r="R57" s="49" t="s">
        <v>101</v>
      </c>
      <c r="S57" s="58">
        <f t="shared" si="5"/>
        <v>46031</v>
      </c>
      <c r="T57" s="51" t="s">
        <v>22</v>
      </c>
      <c r="U57" s="50" t="s">
        <v>23</v>
      </c>
      <c r="V57" s="52" t="s">
        <v>88</v>
      </c>
      <c r="W57" s="53">
        <v>4</v>
      </c>
      <c r="X57" s="54">
        <v>650</v>
      </c>
      <c r="Y57" s="54">
        <v>5.67</v>
      </c>
      <c r="Z57" s="55">
        <f t="shared" si="7"/>
        <v>2594.33</v>
      </c>
      <c r="AA57" s="56" t="s">
        <v>89</v>
      </c>
      <c r="AB57"/>
    </row>
    <row r="58" spans="1:28" x14ac:dyDescent="0.25">
      <c r="A58" s="26" t="s">
        <v>165</v>
      </c>
      <c r="B58" s="26" t="s">
        <v>20</v>
      </c>
      <c r="C58" s="26" t="str">
        <f t="shared" si="2"/>
        <v>Beatriz Ribeiro</v>
      </c>
      <c r="D58" s="37" t="s">
        <v>166</v>
      </c>
      <c r="E58" s="27">
        <f t="shared" si="3"/>
        <v>45830</v>
      </c>
      <c r="F58" s="26" t="s">
        <v>15</v>
      </c>
      <c r="G58" s="26" t="str">
        <f t="shared" si="4"/>
        <v>Larissa Dias</v>
      </c>
      <c r="H58" s="26" t="s">
        <v>23</v>
      </c>
      <c r="I58" s="26" t="s">
        <v>48</v>
      </c>
      <c r="J58" s="28">
        <v>2</v>
      </c>
      <c r="K58" s="29">
        <v>450</v>
      </c>
      <c r="L58" s="29">
        <v>9.5500000000000007</v>
      </c>
      <c r="M58" s="30">
        <f t="shared" si="6"/>
        <v>890.45</v>
      </c>
      <c r="N58" s="26" t="s">
        <v>69</v>
      </c>
      <c r="Q58" s="42" t="s">
        <v>165</v>
      </c>
      <c r="R58" s="42" t="s">
        <v>20</v>
      </c>
      <c r="S58" s="57">
        <f t="shared" si="5"/>
        <v>45830</v>
      </c>
      <c r="T58" s="44" t="s">
        <v>15</v>
      </c>
      <c r="U58" s="43" t="s">
        <v>23</v>
      </c>
      <c r="V58" s="42" t="s">
        <v>48</v>
      </c>
      <c r="W58" s="45">
        <v>2</v>
      </c>
      <c r="X58" s="46">
        <v>450</v>
      </c>
      <c r="Y58" s="46">
        <v>9.5500000000000007</v>
      </c>
      <c r="Z58" s="47">
        <f t="shared" si="7"/>
        <v>890.45</v>
      </c>
      <c r="AA58" s="48" t="s">
        <v>69</v>
      </c>
      <c r="AB58"/>
    </row>
    <row r="59" spans="1:28" x14ac:dyDescent="0.25">
      <c r="A59" s="31" t="s">
        <v>167</v>
      </c>
      <c r="B59" s="31" t="s">
        <v>110</v>
      </c>
      <c r="C59" s="32" t="str">
        <f t="shared" si="2"/>
        <v>Fernanda Lima</v>
      </c>
      <c r="D59" s="38" t="s">
        <v>168</v>
      </c>
      <c r="E59" s="33">
        <f t="shared" si="3"/>
        <v>45874</v>
      </c>
      <c r="F59" s="32" t="s">
        <v>22</v>
      </c>
      <c r="G59" s="32" t="str">
        <f t="shared" si="4"/>
        <v>Amanda Costa</v>
      </c>
      <c r="H59" s="32" t="s">
        <v>23</v>
      </c>
      <c r="I59" s="32" t="s">
        <v>24</v>
      </c>
      <c r="J59" s="34">
        <v>1</v>
      </c>
      <c r="K59" s="35">
        <v>180</v>
      </c>
      <c r="L59" s="35">
        <v>16.34</v>
      </c>
      <c r="M59" s="36">
        <f t="shared" si="6"/>
        <v>163.66</v>
      </c>
      <c r="N59" s="32" t="s">
        <v>18</v>
      </c>
      <c r="Q59" s="49" t="s">
        <v>167</v>
      </c>
      <c r="R59" s="49" t="s">
        <v>110</v>
      </c>
      <c r="S59" s="58">
        <f t="shared" si="5"/>
        <v>45874</v>
      </c>
      <c r="T59" s="51" t="s">
        <v>22</v>
      </c>
      <c r="U59" s="50" t="s">
        <v>23</v>
      </c>
      <c r="V59" s="52" t="s">
        <v>24</v>
      </c>
      <c r="W59" s="53">
        <v>1</v>
      </c>
      <c r="X59" s="54">
        <v>180</v>
      </c>
      <c r="Y59" s="54">
        <v>16.34</v>
      </c>
      <c r="Z59" s="55">
        <f t="shared" si="7"/>
        <v>163.66</v>
      </c>
      <c r="AA59" s="56" t="s">
        <v>18</v>
      </c>
      <c r="AB59"/>
    </row>
    <row r="60" spans="1:28" x14ac:dyDescent="0.25">
      <c r="A60" s="26" t="s">
        <v>169</v>
      </c>
      <c r="B60" s="26" t="s">
        <v>41</v>
      </c>
      <c r="C60" s="26" t="str">
        <f t="shared" si="2"/>
        <v>João Pereira</v>
      </c>
      <c r="D60" s="37" t="s">
        <v>170</v>
      </c>
      <c r="E60" s="27">
        <f t="shared" si="3"/>
        <v>45936</v>
      </c>
      <c r="F60" s="26" t="s">
        <v>22</v>
      </c>
      <c r="G60" s="26" t="str">
        <f t="shared" si="4"/>
        <v>Amanda Costa</v>
      </c>
      <c r="H60" s="26" t="s">
        <v>30</v>
      </c>
      <c r="I60" s="26" t="s">
        <v>68</v>
      </c>
      <c r="J60" s="28">
        <v>1</v>
      </c>
      <c r="K60" s="29">
        <v>799</v>
      </c>
      <c r="L60" s="29">
        <v>5.5</v>
      </c>
      <c r="M60" s="30">
        <f t="shared" si="6"/>
        <v>793.5</v>
      </c>
      <c r="N60" s="26" t="s">
        <v>49</v>
      </c>
      <c r="Q60" s="42" t="s">
        <v>169</v>
      </c>
      <c r="R60" s="42" t="s">
        <v>41</v>
      </c>
      <c r="S60" s="57">
        <f t="shared" si="5"/>
        <v>45936</v>
      </c>
      <c r="T60" s="44" t="s">
        <v>22</v>
      </c>
      <c r="U60" s="43" t="s">
        <v>30</v>
      </c>
      <c r="V60" s="42" t="s">
        <v>68</v>
      </c>
      <c r="W60" s="45">
        <v>1</v>
      </c>
      <c r="X60" s="46">
        <v>799</v>
      </c>
      <c r="Y60" s="46">
        <v>5.5</v>
      </c>
      <c r="Z60" s="47">
        <f t="shared" si="7"/>
        <v>793.5</v>
      </c>
      <c r="AA60" s="48" t="s">
        <v>49</v>
      </c>
      <c r="AB60"/>
    </row>
    <row r="61" spans="1:28" x14ac:dyDescent="0.25">
      <c r="A61" s="31" t="s">
        <v>171</v>
      </c>
      <c r="B61" s="31" t="s">
        <v>101</v>
      </c>
      <c r="C61" s="32" t="str">
        <f t="shared" si="2"/>
        <v>Ana Souza</v>
      </c>
      <c r="D61" s="38" t="s">
        <v>172</v>
      </c>
      <c r="E61" s="33">
        <f t="shared" si="3"/>
        <v>45823</v>
      </c>
      <c r="F61" s="32" t="s">
        <v>15</v>
      </c>
      <c r="G61" s="32" t="str">
        <f t="shared" si="4"/>
        <v>Larissa Dias</v>
      </c>
      <c r="H61" s="32" t="s">
        <v>30</v>
      </c>
      <c r="I61" s="32" t="s">
        <v>31</v>
      </c>
      <c r="J61" s="34">
        <v>4</v>
      </c>
      <c r="K61" s="35">
        <v>2500</v>
      </c>
      <c r="L61" s="35">
        <v>1182.82</v>
      </c>
      <c r="M61" s="36">
        <f t="shared" si="6"/>
        <v>8817.18</v>
      </c>
      <c r="N61" s="32" t="s">
        <v>18</v>
      </c>
      <c r="Q61" s="49" t="s">
        <v>171</v>
      </c>
      <c r="R61" s="49" t="s">
        <v>101</v>
      </c>
      <c r="S61" s="58">
        <f t="shared" si="5"/>
        <v>45823</v>
      </c>
      <c r="T61" s="51" t="s">
        <v>15</v>
      </c>
      <c r="U61" s="50" t="s">
        <v>30</v>
      </c>
      <c r="V61" s="52" t="s">
        <v>31</v>
      </c>
      <c r="W61" s="53">
        <v>4</v>
      </c>
      <c r="X61" s="54">
        <v>2500</v>
      </c>
      <c r="Y61" s="54">
        <v>1182.82</v>
      </c>
      <c r="Z61" s="55">
        <f t="shared" si="7"/>
        <v>8817.18</v>
      </c>
      <c r="AA61" s="56" t="s">
        <v>18</v>
      </c>
      <c r="AB61"/>
    </row>
    <row r="62" spans="1:28" x14ac:dyDescent="0.25">
      <c r="A62" s="26" t="s">
        <v>173</v>
      </c>
      <c r="B62" s="26" t="s">
        <v>37</v>
      </c>
      <c r="C62" s="26" t="str">
        <f t="shared" si="2"/>
        <v>Patricia Gomes</v>
      </c>
      <c r="D62" s="37" t="s">
        <v>174</v>
      </c>
      <c r="E62" s="27">
        <f t="shared" si="3"/>
        <v>46029</v>
      </c>
      <c r="F62" s="26" t="s">
        <v>39</v>
      </c>
      <c r="G62" s="26" t="str">
        <f t="shared" si="4"/>
        <v>Rodrigo Mello</v>
      </c>
      <c r="H62" s="26" t="s">
        <v>30</v>
      </c>
      <c r="I62" s="26" t="s">
        <v>31</v>
      </c>
      <c r="J62" s="28">
        <v>1</v>
      </c>
      <c r="K62" s="29">
        <v>2500</v>
      </c>
      <c r="L62" s="29">
        <v>0</v>
      </c>
      <c r="M62" s="30">
        <f t="shared" si="6"/>
        <v>2500</v>
      </c>
      <c r="N62" s="26" t="s">
        <v>65</v>
      </c>
      <c r="Q62" s="42" t="s">
        <v>173</v>
      </c>
      <c r="R62" s="42" t="s">
        <v>37</v>
      </c>
      <c r="S62" s="57">
        <f t="shared" si="5"/>
        <v>46029</v>
      </c>
      <c r="T62" s="44" t="s">
        <v>39</v>
      </c>
      <c r="U62" s="43" t="s">
        <v>30</v>
      </c>
      <c r="V62" s="42" t="s">
        <v>31</v>
      </c>
      <c r="W62" s="45">
        <v>1</v>
      </c>
      <c r="X62" s="46">
        <v>2500</v>
      </c>
      <c r="Y62" s="46">
        <v>0</v>
      </c>
      <c r="Z62" s="47">
        <f t="shared" si="7"/>
        <v>2500</v>
      </c>
      <c r="AA62" s="48" t="s">
        <v>65</v>
      </c>
      <c r="AB62"/>
    </row>
    <row r="63" spans="1:28" x14ac:dyDescent="0.25">
      <c r="A63" s="31" t="s">
        <v>175</v>
      </c>
      <c r="B63" s="31" t="s">
        <v>63</v>
      </c>
      <c r="C63" s="32" t="str">
        <f t="shared" si="2"/>
        <v>Marcos Rodrigues</v>
      </c>
      <c r="D63" s="38" t="s">
        <v>176</v>
      </c>
      <c r="E63" s="33">
        <f t="shared" si="3"/>
        <v>45839</v>
      </c>
      <c r="F63" s="32" t="s">
        <v>22</v>
      </c>
      <c r="G63" s="32" t="str">
        <f t="shared" si="4"/>
        <v>Amanda Costa</v>
      </c>
      <c r="H63" s="32" t="s">
        <v>52</v>
      </c>
      <c r="I63" s="32" t="s">
        <v>99</v>
      </c>
      <c r="J63" s="34">
        <v>5</v>
      </c>
      <c r="K63" s="35">
        <v>79</v>
      </c>
      <c r="L63" s="35">
        <v>0</v>
      </c>
      <c r="M63" s="36">
        <f>(J63*K63)-L63</f>
        <v>395</v>
      </c>
      <c r="N63" s="32" t="s">
        <v>32</v>
      </c>
      <c r="Q63" s="49" t="s">
        <v>175</v>
      </c>
      <c r="R63" s="49" t="s">
        <v>63</v>
      </c>
      <c r="S63" s="58">
        <f t="shared" si="5"/>
        <v>45839</v>
      </c>
      <c r="T63" s="51" t="s">
        <v>22</v>
      </c>
      <c r="U63" s="50" t="s">
        <v>52</v>
      </c>
      <c r="V63" s="52" t="s">
        <v>99</v>
      </c>
      <c r="W63" s="53">
        <v>5</v>
      </c>
      <c r="X63" s="54">
        <v>79</v>
      </c>
      <c r="Y63" s="54">
        <v>0</v>
      </c>
      <c r="Z63" s="55">
        <f>(W63*X63)-Y63</f>
        <v>395</v>
      </c>
      <c r="AA63" s="56" t="s">
        <v>32</v>
      </c>
      <c r="AB63"/>
    </row>
    <row r="64" spans="1:28" x14ac:dyDescent="0.25">
      <c r="A64" s="26" t="s">
        <v>177</v>
      </c>
      <c r="B64" s="26" t="s">
        <v>101</v>
      </c>
      <c r="C64" s="26" t="str">
        <f t="shared" si="2"/>
        <v>Ana Souza</v>
      </c>
      <c r="D64" s="37" t="s">
        <v>178</v>
      </c>
      <c r="E64" s="27">
        <f t="shared" si="3"/>
        <v>45941</v>
      </c>
      <c r="F64" s="26" t="s">
        <v>47</v>
      </c>
      <c r="G64" s="26" t="str">
        <f t="shared" si="4"/>
        <v>Bruno Martins</v>
      </c>
      <c r="H64" s="26" t="s">
        <v>30</v>
      </c>
      <c r="I64" s="26" t="s">
        <v>31</v>
      </c>
      <c r="J64" s="28">
        <v>5</v>
      </c>
      <c r="K64" s="29">
        <v>2500</v>
      </c>
      <c r="L64" s="29">
        <v>0</v>
      </c>
      <c r="M64" s="30">
        <f>(J64*K64)-L64</f>
        <v>12500</v>
      </c>
      <c r="N64" s="26" t="s">
        <v>25</v>
      </c>
      <c r="Q64" s="42" t="s">
        <v>177</v>
      </c>
      <c r="R64" s="42" t="s">
        <v>101</v>
      </c>
      <c r="S64" s="57">
        <f t="shared" si="5"/>
        <v>45941</v>
      </c>
      <c r="T64" s="44" t="s">
        <v>47</v>
      </c>
      <c r="U64" s="43" t="s">
        <v>30</v>
      </c>
      <c r="V64" s="42" t="s">
        <v>31</v>
      </c>
      <c r="W64" s="45">
        <v>5</v>
      </c>
      <c r="X64" s="46">
        <v>2500</v>
      </c>
      <c r="Y64" s="46">
        <v>0</v>
      </c>
      <c r="Z64" s="47">
        <f>(W64*X64)-Y64</f>
        <v>12500</v>
      </c>
      <c r="AA64" s="48" t="s">
        <v>25</v>
      </c>
      <c r="AB64"/>
    </row>
    <row r="65" spans="1:28" x14ac:dyDescent="0.25">
      <c r="A65" s="31" t="s">
        <v>179</v>
      </c>
      <c r="B65" s="31" t="s">
        <v>20</v>
      </c>
      <c r="C65" s="32" t="str">
        <f t="shared" si="2"/>
        <v>Beatriz Ribeiro</v>
      </c>
      <c r="D65" s="38" t="s">
        <v>180</v>
      </c>
      <c r="E65" s="33">
        <f t="shared" si="3"/>
        <v>45753</v>
      </c>
      <c r="F65" s="32" t="s">
        <v>22</v>
      </c>
      <c r="G65" s="32" t="str">
        <f t="shared" si="4"/>
        <v>Amanda Costa</v>
      </c>
      <c r="H65" s="32" t="s">
        <v>23</v>
      </c>
      <c r="I65" s="32" t="s">
        <v>24</v>
      </c>
      <c r="J65" s="34">
        <v>1</v>
      </c>
      <c r="K65" s="35">
        <v>180</v>
      </c>
      <c r="L65" s="35">
        <v>26.01</v>
      </c>
      <c r="M65" s="36">
        <f t="shared" ref="M65:M128" si="8">(J65*K65)-L65</f>
        <v>153.99</v>
      </c>
      <c r="N65" s="32" t="s">
        <v>18</v>
      </c>
      <c r="Q65" s="49" t="s">
        <v>179</v>
      </c>
      <c r="R65" s="49" t="s">
        <v>20</v>
      </c>
      <c r="S65" s="58">
        <f t="shared" si="5"/>
        <v>45753</v>
      </c>
      <c r="T65" s="51" t="s">
        <v>22</v>
      </c>
      <c r="U65" s="50" t="s">
        <v>23</v>
      </c>
      <c r="V65" s="52" t="s">
        <v>24</v>
      </c>
      <c r="W65" s="53">
        <v>1</v>
      </c>
      <c r="X65" s="54">
        <v>180</v>
      </c>
      <c r="Y65" s="54">
        <v>26.01</v>
      </c>
      <c r="Z65" s="55">
        <f t="shared" ref="Z65:Z128" si="9">(W65*X65)-Y65</f>
        <v>153.99</v>
      </c>
      <c r="AA65" s="56" t="s">
        <v>18</v>
      </c>
      <c r="AB65"/>
    </row>
    <row r="66" spans="1:28" x14ac:dyDescent="0.25">
      <c r="A66" s="26" t="s">
        <v>181</v>
      </c>
      <c r="B66" s="26" t="s">
        <v>13</v>
      </c>
      <c r="C66" s="26" t="str">
        <f t="shared" si="2"/>
        <v>Lucas Almeida</v>
      </c>
      <c r="D66" s="37" t="s">
        <v>178</v>
      </c>
      <c r="E66" s="27">
        <f t="shared" si="3"/>
        <v>45941</v>
      </c>
      <c r="F66" s="26" t="s">
        <v>15</v>
      </c>
      <c r="G66" s="26" t="str">
        <f t="shared" si="4"/>
        <v>Larissa Dias</v>
      </c>
      <c r="H66" s="26" t="s">
        <v>16</v>
      </c>
      <c r="I66" s="26" t="s">
        <v>116</v>
      </c>
      <c r="J66" s="28">
        <v>1</v>
      </c>
      <c r="K66" s="29">
        <v>45</v>
      </c>
      <c r="L66" s="29">
        <v>0.5</v>
      </c>
      <c r="M66" s="30">
        <f t="shared" si="8"/>
        <v>44.5</v>
      </c>
      <c r="N66" s="26" t="s">
        <v>44</v>
      </c>
      <c r="Q66" s="42" t="s">
        <v>181</v>
      </c>
      <c r="R66" s="42" t="s">
        <v>13</v>
      </c>
      <c r="S66" s="57">
        <f t="shared" si="5"/>
        <v>45941</v>
      </c>
      <c r="T66" s="44" t="s">
        <v>15</v>
      </c>
      <c r="U66" s="43" t="s">
        <v>16</v>
      </c>
      <c r="V66" s="42" t="s">
        <v>116</v>
      </c>
      <c r="W66" s="45">
        <v>1</v>
      </c>
      <c r="X66" s="46">
        <v>45</v>
      </c>
      <c r="Y66" s="46">
        <v>0.5</v>
      </c>
      <c r="Z66" s="47">
        <f t="shared" si="9"/>
        <v>44.5</v>
      </c>
      <c r="AA66" s="48" t="s">
        <v>44</v>
      </c>
      <c r="AB66"/>
    </row>
    <row r="67" spans="1:28" x14ac:dyDescent="0.25">
      <c r="A67" s="31" t="s">
        <v>182</v>
      </c>
      <c r="B67" s="31" t="s">
        <v>95</v>
      </c>
      <c r="C67" s="32" t="str">
        <f t="shared" ref="C67:C130" si="10">SUBSTITUTE(SUBSTITUTE(SUBSTITUTE(SUBSTITUTE(PROPER(B67)," Da "," ")," De "," ")," Do "," ")," Dos "," ")</f>
        <v>Maria Oliveira</v>
      </c>
      <c r="D67" s="38" t="s">
        <v>183</v>
      </c>
      <c r="E67" s="33">
        <f t="shared" ref="E67:E130" si="11">DATEVALUE(D67)</f>
        <v>45802</v>
      </c>
      <c r="F67" s="32" t="s">
        <v>15</v>
      </c>
      <c r="G67" s="32" t="str">
        <f t="shared" ref="G67:G130" si="12">SUBSTITUTE(SUBSTITUTE(SUBSTITUTE(SUBSTITUTE(PROPER(F67)," Da "," ")," De "," ")," Do "," ")," Dos "," ")</f>
        <v>Larissa Dias</v>
      </c>
      <c r="H67" s="32" t="s">
        <v>23</v>
      </c>
      <c r="I67" s="32" t="s">
        <v>43</v>
      </c>
      <c r="J67" s="34">
        <v>2</v>
      </c>
      <c r="K67" s="35">
        <v>350</v>
      </c>
      <c r="L67" s="35">
        <v>0</v>
      </c>
      <c r="M67" s="36">
        <f t="shared" si="8"/>
        <v>700</v>
      </c>
      <c r="N67" s="32" t="s">
        <v>25</v>
      </c>
      <c r="Q67" s="49" t="s">
        <v>182</v>
      </c>
      <c r="R67" s="49" t="s">
        <v>95</v>
      </c>
      <c r="S67" s="58">
        <f t="shared" si="5"/>
        <v>45802</v>
      </c>
      <c r="T67" s="51" t="s">
        <v>15</v>
      </c>
      <c r="U67" s="50" t="s">
        <v>23</v>
      </c>
      <c r="V67" s="52" t="s">
        <v>43</v>
      </c>
      <c r="W67" s="53">
        <v>2</v>
      </c>
      <c r="X67" s="54">
        <v>350</v>
      </c>
      <c r="Y67" s="54">
        <v>0</v>
      </c>
      <c r="Z67" s="55">
        <f t="shared" si="9"/>
        <v>700</v>
      </c>
      <c r="AA67" s="56" t="s">
        <v>25</v>
      </c>
      <c r="AB67"/>
    </row>
    <row r="68" spans="1:28" x14ac:dyDescent="0.25">
      <c r="A68" s="26" t="s">
        <v>184</v>
      </c>
      <c r="B68" s="26" t="s">
        <v>63</v>
      </c>
      <c r="C68" s="26" t="str">
        <f t="shared" si="10"/>
        <v>Marcos Rodrigues</v>
      </c>
      <c r="D68" s="37" t="s">
        <v>46</v>
      </c>
      <c r="E68" s="27">
        <f t="shared" si="11"/>
        <v>45723</v>
      </c>
      <c r="F68" s="26" t="s">
        <v>15</v>
      </c>
      <c r="G68" s="26" t="str">
        <f t="shared" si="12"/>
        <v>Larissa Dias</v>
      </c>
      <c r="H68" s="26" t="s">
        <v>52</v>
      </c>
      <c r="I68" s="26" t="s">
        <v>53</v>
      </c>
      <c r="J68" s="28">
        <v>5</v>
      </c>
      <c r="K68" s="29">
        <v>149</v>
      </c>
      <c r="L68" s="29">
        <v>53.18</v>
      </c>
      <c r="M68" s="30">
        <f t="shared" si="8"/>
        <v>691.82</v>
      </c>
      <c r="N68" s="26" t="s">
        <v>32</v>
      </c>
      <c r="Q68" s="42" t="s">
        <v>184</v>
      </c>
      <c r="R68" s="42" t="s">
        <v>63</v>
      </c>
      <c r="S68" s="57">
        <f t="shared" si="5"/>
        <v>45723</v>
      </c>
      <c r="T68" s="44" t="s">
        <v>15</v>
      </c>
      <c r="U68" s="43" t="s">
        <v>52</v>
      </c>
      <c r="V68" s="42" t="s">
        <v>53</v>
      </c>
      <c r="W68" s="45">
        <v>5</v>
      </c>
      <c r="X68" s="46">
        <v>149</v>
      </c>
      <c r="Y68" s="46">
        <v>53.18</v>
      </c>
      <c r="Z68" s="47">
        <f t="shared" si="9"/>
        <v>691.82</v>
      </c>
      <c r="AA68" s="48" t="s">
        <v>32</v>
      </c>
      <c r="AB68"/>
    </row>
    <row r="69" spans="1:28" x14ac:dyDescent="0.25">
      <c r="A69" s="31" t="s">
        <v>185</v>
      </c>
      <c r="B69" s="31" t="s">
        <v>13</v>
      </c>
      <c r="C69" s="32" t="str">
        <f t="shared" si="10"/>
        <v>Lucas Almeida</v>
      </c>
      <c r="D69" s="38" t="s">
        <v>186</v>
      </c>
      <c r="E69" s="33">
        <f t="shared" si="11"/>
        <v>45792</v>
      </c>
      <c r="F69" s="32" t="s">
        <v>39</v>
      </c>
      <c r="G69" s="32" t="str">
        <f t="shared" si="12"/>
        <v>Rodrigo Mello</v>
      </c>
      <c r="H69" s="32" t="s">
        <v>52</v>
      </c>
      <c r="I69" s="32" t="s">
        <v>53</v>
      </c>
      <c r="J69" s="34">
        <v>1</v>
      </c>
      <c r="K69" s="35">
        <v>149</v>
      </c>
      <c r="L69" s="35">
        <v>0</v>
      </c>
      <c r="M69" s="36">
        <f t="shared" si="8"/>
        <v>149</v>
      </c>
      <c r="N69" s="32" t="s">
        <v>44</v>
      </c>
      <c r="Q69" s="49" t="s">
        <v>185</v>
      </c>
      <c r="R69" s="49" t="s">
        <v>13</v>
      </c>
      <c r="S69" s="58">
        <f t="shared" si="5"/>
        <v>45792</v>
      </c>
      <c r="T69" s="51" t="s">
        <v>39</v>
      </c>
      <c r="U69" s="50" t="s">
        <v>52</v>
      </c>
      <c r="V69" s="52" t="s">
        <v>53</v>
      </c>
      <c r="W69" s="53">
        <v>1</v>
      </c>
      <c r="X69" s="54">
        <v>149</v>
      </c>
      <c r="Y69" s="54">
        <v>0</v>
      </c>
      <c r="Z69" s="55">
        <f t="shared" si="9"/>
        <v>149</v>
      </c>
      <c r="AA69" s="56" t="s">
        <v>44</v>
      </c>
      <c r="AB69"/>
    </row>
    <row r="70" spans="1:28" x14ac:dyDescent="0.25">
      <c r="A70" s="26" t="s">
        <v>187</v>
      </c>
      <c r="B70" s="26" t="s">
        <v>27</v>
      </c>
      <c r="C70" s="26" t="str">
        <f t="shared" si="10"/>
        <v>Roberto Santos</v>
      </c>
      <c r="D70" s="37" t="s">
        <v>188</v>
      </c>
      <c r="E70" s="27">
        <f t="shared" si="11"/>
        <v>45972</v>
      </c>
      <c r="F70" s="26" t="s">
        <v>22</v>
      </c>
      <c r="G70" s="26" t="str">
        <f t="shared" si="12"/>
        <v>Amanda Costa</v>
      </c>
      <c r="H70" s="26" t="s">
        <v>16</v>
      </c>
      <c r="I70" s="26" t="s">
        <v>116</v>
      </c>
      <c r="J70" s="28">
        <v>2</v>
      </c>
      <c r="K70" s="29">
        <v>45</v>
      </c>
      <c r="L70" s="29">
        <v>9.69</v>
      </c>
      <c r="M70" s="30">
        <f t="shared" si="8"/>
        <v>80.31</v>
      </c>
      <c r="N70" s="26" t="s">
        <v>89</v>
      </c>
      <c r="Q70" s="42" t="s">
        <v>187</v>
      </c>
      <c r="R70" s="42" t="s">
        <v>27</v>
      </c>
      <c r="S70" s="57">
        <f t="shared" ref="S70:S133" si="13">DATEVALUE(D70)</f>
        <v>45972</v>
      </c>
      <c r="T70" s="44" t="s">
        <v>22</v>
      </c>
      <c r="U70" s="43" t="s">
        <v>16</v>
      </c>
      <c r="V70" s="42" t="s">
        <v>116</v>
      </c>
      <c r="W70" s="45">
        <v>2</v>
      </c>
      <c r="X70" s="46">
        <v>45</v>
      </c>
      <c r="Y70" s="46">
        <v>9.69</v>
      </c>
      <c r="Z70" s="47">
        <f t="shared" si="9"/>
        <v>80.31</v>
      </c>
      <c r="AA70" s="48" t="s">
        <v>89</v>
      </c>
      <c r="AB70"/>
    </row>
    <row r="71" spans="1:28" x14ac:dyDescent="0.25">
      <c r="A71" s="31" t="s">
        <v>189</v>
      </c>
      <c r="B71" s="31" t="s">
        <v>20</v>
      </c>
      <c r="C71" s="32" t="str">
        <f t="shared" si="10"/>
        <v>Beatriz Ribeiro</v>
      </c>
      <c r="D71" s="38" t="s">
        <v>190</v>
      </c>
      <c r="E71" s="33">
        <f t="shared" si="11"/>
        <v>45928</v>
      </c>
      <c r="F71" s="32" t="s">
        <v>47</v>
      </c>
      <c r="G71" s="32" t="str">
        <f t="shared" si="12"/>
        <v>Bruno Martins</v>
      </c>
      <c r="H71" s="32" t="s">
        <v>23</v>
      </c>
      <c r="I71" s="32" t="s">
        <v>24</v>
      </c>
      <c r="J71" s="34">
        <v>5</v>
      </c>
      <c r="K71" s="35">
        <v>180</v>
      </c>
      <c r="L71" s="35">
        <v>82.19</v>
      </c>
      <c r="M71" s="36">
        <f t="shared" si="8"/>
        <v>817.81</v>
      </c>
      <c r="N71" s="32" t="s">
        <v>18</v>
      </c>
      <c r="Q71" s="49" t="s">
        <v>189</v>
      </c>
      <c r="R71" s="49" t="s">
        <v>20</v>
      </c>
      <c r="S71" s="58">
        <f t="shared" si="13"/>
        <v>45928</v>
      </c>
      <c r="T71" s="51" t="s">
        <v>47</v>
      </c>
      <c r="U71" s="50" t="s">
        <v>23</v>
      </c>
      <c r="V71" s="52" t="s">
        <v>24</v>
      </c>
      <c r="W71" s="53">
        <v>5</v>
      </c>
      <c r="X71" s="54">
        <v>180</v>
      </c>
      <c r="Y71" s="54">
        <v>82.19</v>
      </c>
      <c r="Z71" s="55">
        <f t="shared" si="9"/>
        <v>817.81</v>
      </c>
      <c r="AA71" s="56" t="s">
        <v>18</v>
      </c>
      <c r="AB71"/>
    </row>
    <row r="72" spans="1:28" x14ac:dyDescent="0.25">
      <c r="A72" s="26" t="s">
        <v>191</v>
      </c>
      <c r="B72" s="26" t="s">
        <v>63</v>
      </c>
      <c r="C72" s="26" t="str">
        <f t="shared" si="10"/>
        <v>Marcos Rodrigues</v>
      </c>
      <c r="D72" s="37" t="s">
        <v>192</v>
      </c>
      <c r="E72" s="27">
        <f t="shared" si="11"/>
        <v>45776</v>
      </c>
      <c r="F72" s="26" t="s">
        <v>47</v>
      </c>
      <c r="G72" s="26" t="str">
        <f t="shared" si="12"/>
        <v>Bruno Martins</v>
      </c>
      <c r="H72" s="26" t="s">
        <v>30</v>
      </c>
      <c r="I72" s="26" t="s">
        <v>106</v>
      </c>
      <c r="J72" s="28">
        <v>1</v>
      </c>
      <c r="K72" s="29">
        <v>299</v>
      </c>
      <c r="L72" s="29">
        <v>0</v>
      </c>
      <c r="M72" s="30">
        <f t="shared" si="8"/>
        <v>299</v>
      </c>
      <c r="N72" s="26" t="s">
        <v>18</v>
      </c>
      <c r="Q72" s="42" t="s">
        <v>191</v>
      </c>
      <c r="R72" s="42" t="s">
        <v>63</v>
      </c>
      <c r="S72" s="57">
        <f t="shared" si="13"/>
        <v>45776</v>
      </c>
      <c r="T72" s="44" t="s">
        <v>47</v>
      </c>
      <c r="U72" s="43" t="s">
        <v>30</v>
      </c>
      <c r="V72" s="42" t="s">
        <v>106</v>
      </c>
      <c r="W72" s="45">
        <v>1</v>
      </c>
      <c r="X72" s="46">
        <v>299</v>
      </c>
      <c r="Y72" s="46">
        <v>0</v>
      </c>
      <c r="Z72" s="47">
        <f t="shared" si="9"/>
        <v>299</v>
      </c>
      <c r="AA72" s="48" t="s">
        <v>18</v>
      </c>
      <c r="AB72"/>
    </row>
    <row r="73" spans="1:28" x14ac:dyDescent="0.25">
      <c r="A73" s="31" t="s">
        <v>193</v>
      </c>
      <c r="B73" s="31" t="s">
        <v>55</v>
      </c>
      <c r="C73" s="32" t="str">
        <f t="shared" si="10"/>
        <v>Ricardo Carvalho</v>
      </c>
      <c r="D73" s="38" t="s">
        <v>194</v>
      </c>
      <c r="E73" s="33">
        <f t="shared" si="11"/>
        <v>45987</v>
      </c>
      <c r="F73" s="32" t="s">
        <v>39</v>
      </c>
      <c r="G73" s="32" t="str">
        <f t="shared" si="12"/>
        <v>Rodrigo Mello</v>
      </c>
      <c r="H73" s="32" t="s">
        <v>23</v>
      </c>
      <c r="I73" s="32" t="s">
        <v>88</v>
      </c>
      <c r="J73" s="34">
        <v>4</v>
      </c>
      <c r="K73" s="35">
        <v>650</v>
      </c>
      <c r="L73" s="35">
        <v>46.67</v>
      </c>
      <c r="M73" s="36">
        <f t="shared" si="8"/>
        <v>2553.33</v>
      </c>
      <c r="N73" s="32" t="s">
        <v>65</v>
      </c>
      <c r="Q73" s="49" t="s">
        <v>193</v>
      </c>
      <c r="R73" s="49" t="s">
        <v>55</v>
      </c>
      <c r="S73" s="58">
        <f t="shared" si="13"/>
        <v>45987</v>
      </c>
      <c r="T73" s="51" t="s">
        <v>39</v>
      </c>
      <c r="U73" s="50" t="s">
        <v>23</v>
      </c>
      <c r="V73" s="52" t="s">
        <v>88</v>
      </c>
      <c r="W73" s="53">
        <v>4</v>
      </c>
      <c r="X73" s="54">
        <v>650</v>
      </c>
      <c r="Y73" s="54">
        <v>46.67</v>
      </c>
      <c r="Z73" s="55">
        <f t="shared" si="9"/>
        <v>2553.33</v>
      </c>
      <c r="AA73" s="56" t="s">
        <v>65</v>
      </c>
      <c r="AB73"/>
    </row>
    <row r="74" spans="1:28" x14ac:dyDescent="0.25">
      <c r="A74" s="26" t="s">
        <v>195</v>
      </c>
      <c r="B74" s="26" t="s">
        <v>20</v>
      </c>
      <c r="C74" s="26" t="str">
        <f t="shared" si="10"/>
        <v>Beatriz Ribeiro</v>
      </c>
      <c r="D74" s="37" t="s">
        <v>196</v>
      </c>
      <c r="E74" s="27">
        <f t="shared" si="11"/>
        <v>45743</v>
      </c>
      <c r="F74" s="26" t="s">
        <v>22</v>
      </c>
      <c r="G74" s="26" t="str">
        <f t="shared" si="12"/>
        <v>Amanda Costa</v>
      </c>
      <c r="H74" s="26" t="s">
        <v>23</v>
      </c>
      <c r="I74" s="26" t="s">
        <v>88</v>
      </c>
      <c r="J74" s="28">
        <v>2</v>
      </c>
      <c r="K74" s="29">
        <v>650</v>
      </c>
      <c r="L74" s="29">
        <v>0</v>
      </c>
      <c r="M74" s="30">
        <f t="shared" si="8"/>
        <v>1300</v>
      </c>
      <c r="N74" s="26" t="s">
        <v>49</v>
      </c>
      <c r="Q74" s="42" t="s">
        <v>195</v>
      </c>
      <c r="R74" s="42" t="s">
        <v>20</v>
      </c>
      <c r="S74" s="57">
        <f t="shared" si="13"/>
        <v>45743</v>
      </c>
      <c r="T74" s="44" t="s">
        <v>22</v>
      </c>
      <c r="U74" s="43" t="s">
        <v>23</v>
      </c>
      <c r="V74" s="42" t="s">
        <v>88</v>
      </c>
      <c r="W74" s="45">
        <v>2</v>
      </c>
      <c r="X74" s="46">
        <v>650</v>
      </c>
      <c r="Y74" s="46">
        <v>0</v>
      </c>
      <c r="Z74" s="47">
        <f t="shared" si="9"/>
        <v>1300</v>
      </c>
      <c r="AA74" s="48" t="s">
        <v>49</v>
      </c>
      <c r="AB74"/>
    </row>
    <row r="75" spans="1:28" x14ac:dyDescent="0.25">
      <c r="A75" s="31" t="s">
        <v>197</v>
      </c>
      <c r="B75" s="31" t="s">
        <v>20</v>
      </c>
      <c r="C75" s="32" t="str">
        <f t="shared" si="10"/>
        <v>Beatriz Ribeiro</v>
      </c>
      <c r="D75" s="38" t="s">
        <v>198</v>
      </c>
      <c r="E75" s="33">
        <f t="shared" si="11"/>
        <v>45702</v>
      </c>
      <c r="F75" s="32" t="s">
        <v>22</v>
      </c>
      <c r="G75" s="32" t="str">
        <f t="shared" si="12"/>
        <v>Amanda Costa</v>
      </c>
      <c r="H75" s="32" t="s">
        <v>23</v>
      </c>
      <c r="I75" s="32" t="s">
        <v>88</v>
      </c>
      <c r="J75" s="34">
        <v>2</v>
      </c>
      <c r="K75" s="35">
        <v>650</v>
      </c>
      <c r="L75" s="35">
        <v>5.84</v>
      </c>
      <c r="M75" s="36">
        <f t="shared" si="8"/>
        <v>1294.1600000000001</v>
      </c>
      <c r="N75" s="32" t="s">
        <v>65</v>
      </c>
      <c r="Q75" s="49" t="s">
        <v>197</v>
      </c>
      <c r="R75" s="49" t="s">
        <v>20</v>
      </c>
      <c r="S75" s="58">
        <f t="shared" si="13"/>
        <v>45702</v>
      </c>
      <c r="T75" s="51" t="s">
        <v>22</v>
      </c>
      <c r="U75" s="50" t="s">
        <v>23</v>
      </c>
      <c r="V75" s="52" t="s">
        <v>88</v>
      </c>
      <c r="W75" s="53">
        <v>2</v>
      </c>
      <c r="X75" s="54">
        <v>650</v>
      </c>
      <c r="Y75" s="54">
        <v>5.84</v>
      </c>
      <c r="Z75" s="55">
        <f t="shared" si="9"/>
        <v>1294.1600000000001</v>
      </c>
      <c r="AA75" s="56" t="s">
        <v>65</v>
      </c>
      <c r="AB75"/>
    </row>
    <row r="76" spans="1:28" x14ac:dyDescent="0.25">
      <c r="A76" s="26" t="s">
        <v>199</v>
      </c>
      <c r="B76" s="26" t="s">
        <v>34</v>
      </c>
      <c r="C76" s="26" t="str">
        <f t="shared" si="10"/>
        <v>Carlos Silva</v>
      </c>
      <c r="D76" s="37" t="s">
        <v>200</v>
      </c>
      <c r="E76" s="27">
        <f t="shared" si="11"/>
        <v>45870</v>
      </c>
      <c r="F76" s="26" t="s">
        <v>15</v>
      </c>
      <c r="G76" s="26" t="str">
        <f t="shared" si="12"/>
        <v>Larissa Dias</v>
      </c>
      <c r="H76" s="26" t="s">
        <v>23</v>
      </c>
      <c r="I76" s="26" t="s">
        <v>48</v>
      </c>
      <c r="J76" s="28">
        <v>3</v>
      </c>
      <c r="K76" s="29">
        <v>450</v>
      </c>
      <c r="L76" s="29">
        <v>141.08000000000001</v>
      </c>
      <c r="M76" s="30">
        <f t="shared" si="8"/>
        <v>1208.92</v>
      </c>
      <c r="N76" s="26" t="s">
        <v>18</v>
      </c>
      <c r="Q76" s="42" t="s">
        <v>199</v>
      </c>
      <c r="R76" s="42" t="s">
        <v>34</v>
      </c>
      <c r="S76" s="57">
        <f t="shared" si="13"/>
        <v>45870</v>
      </c>
      <c r="T76" s="44" t="s">
        <v>15</v>
      </c>
      <c r="U76" s="43" t="s">
        <v>23</v>
      </c>
      <c r="V76" s="42" t="s">
        <v>48</v>
      </c>
      <c r="W76" s="45">
        <v>3</v>
      </c>
      <c r="X76" s="46">
        <v>450</v>
      </c>
      <c r="Y76" s="46">
        <v>141.08000000000001</v>
      </c>
      <c r="Z76" s="47">
        <f t="shared" si="9"/>
        <v>1208.92</v>
      </c>
      <c r="AA76" s="48" t="s">
        <v>18</v>
      </c>
      <c r="AB76"/>
    </row>
    <row r="77" spans="1:28" x14ac:dyDescent="0.25">
      <c r="A77" s="31" t="s">
        <v>201</v>
      </c>
      <c r="B77" s="31" t="s">
        <v>55</v>
      </c>
      <c r="C77" s="32" t="str">
        <f t="shared" si="10"/>
        <v>Ricardo Carvalho</v>
      </c>
      <c r="D77" s="38" t="s">
        <v>202</v>
      </c>
      <c r="E77" s="33">
        <f t="shared" si="11"/>
        <v>46038</v>
      </c>
      <c r="F77" s="32" t="s">
        <v>15</v>
      </c>
      <c r="G77" s="32" t="str">
        <f t="shared" si="12"/>
        <v>Larissa Dias</v>
      </c>
      <c r="H77" s="32" t="s">
        <v>16</v>
      </c>
      <c r="I77" s="32" t="s">
        <v>116</v>
      </c>
      <c r="J77" s="34">
        <v>5</v>
      </c>
      <c r="K77" s="35">
        <v>45</v>
      </c>
      <c r="L77" s="35">
        <v>0</v>
      </c>
      <c r="M77" s="36">
        <f t="shared" si="8"/>
        <v>225</v>
      </c>
      <c r="N77" s="32" t="s">
        <v>18</v>
      </c>
      <c r="Q77" s="49" t="s">
        <v>201</v>
      </c>
      <c r="R77" s="49" t="s">
        <v>55</v>
      </c>
      <c r="S77" s="58">
        <f t="shared" si="13"/>
        <v>46038</v>
      </c>
      <c r="T77" s="51" t="s">
        <v>15</v>
      </c>
      <c r="U77" s="50" t="s">
        <v>16</v>
      </c>
      <c r="V77" s="52" t="s">
        <v>116</v>
      </c>
      <c r="W77" s="53">
        <v>5</v>
      </c>
      <c r="X77" s="54">
        <v>45</v>
      </c>
      <c r="Y77" s="54">
        <v>0</v>
      </c>
      <c r="Z77" s="55">
        <f t="shared" si="9"/>
        <v>225</v>
      </c>
      <c r="AA77" s="56" t="s">
        <v>18</v>
      </c>
      <c r="AB77"/>
    </row>
    <row r="78" spans="1:28" x14ac:dyDescent="0.25">
      <c r="A78" s="26" t="s">
        <v>203</v>
      </c>
      <c r="B78" s="26" t="s">
        <v>101</v>
      </c>
      <c r="C78" s="26" t="str">
        <f t="shared" si="10"/>
        <v>Ana Souza</v>
      </c>
      <c r="D78" s="37" t="s">
        <v>204</v>
      </c>
      <c r="E78" s="27">
        <f t="shared" si="11"/>
        <v>46048</v>
      </c>
      <c r="F78" s="26" t="s">
        <v>29</v>
      </c>
      <c r="G78" s="26" t="str">
        <f t="shared" si="12"/>
        <v>Camila Rocha</v>
      </c>
      <c r="H78" s="26" t="s">
        <v>23</v>
      </c>
      <c r="I78" s="26" t="s">
        <v>24</v>
      </c>
      <c r="J78" s="28">
        <v>4</v>
      </c>
      <c r="K78" s="29">
        <v>180</v>
      </c>
      <c r="L78" s="29">
        <v>0</v>
      </c>
      <c r="M78" s="30">
        <f t="shared" si="8"/>
        <v>720</v>
      </c>
      <c r="N78" s="26" t="s">
        <v>49</v>
      </c>
      <c r="Q78" s="42" t="s">
        <v>203</v>
      </c>
      <c r="R78" s="42" t="s">
        <v>101</v>
      </c>
      <c r="S78" s="57">
        <f t="shared" si="13"/>
        <v>46048</v>
      </c>
      <c r="T78" s="44" t="s">
        <v>29</v>
      </c>
      <c r="U78" s="43" t="s">
        <v>23</v>
      </c>
      <c r="V78" s="42" t="s">
        <v>24</v>
      </c>
      <c r="W78" s="45">
        <v>4</v>
      </c>
      <c r="X78" s="46">
        <v>180</v>
      </c>
      <c r="Y78" s="46">
        <v>0</v>
      </c>
      <c r="Z78" s="47">
        <f t="shared" si="9"/>
        <v>720</v>
      </c>
      <c r="AA78" s="48" t="s">
        <v>49</v>
      </c>
      <c r="AB78"/>
    </row>
    <row r="79" spans="1:28" x14ac:dyDescent="0.25">
      <c r="A79" s="31" t="s">
        <v>205</v>
      </c>
      <c r="B79" s="31" t="s">
        <v>95</v>
      </c>
      <c r="C79" s="32" t="str">
        <f t="shared" si="10"/>
        <v>Maria Oliveira</v>
      </c>
      <c r="D79" s="38" t="s">
        <v>206</v>
      </c>
      <c r="E79" s="33">
        <f t="shared" si="11"/>
        <v>45906</v>
      </c>
      <c r="F79" s="32" t="s">
        <v>22</v>
      </c>
      <c r="G79" s="32" t="str">
        <f t="shared" si="12"/>
        <v>Amanda Costa</v>
      </c>
      <c r="H79" s="32" t="s">
        <v>52</v>
      </c>
      <c r="I79" s="32" t="s">
        <v>61</v>
      </c>
      <c r="J79" s="34">
        <v>4</v>
      </c>
      <c r="K79" s="35">
        <v>199</v>
      </c>
      <c r="L79" s="35">
        <v>89.09</v>
      </c>
      <c r="M79" s="36">
        <f t="shared" si="8"/>
        <v>706.91</v>
      </c>
      <c r="N79" s="32" t="s">
        <v>44</v>
      </c>
      <c r="Q79" s="49" t="s">
        <v>205</v>
      </c>
      <c r="R79" s="49" t="s">
        <v>95</v>
      </c>
      <c r="S79" s="58">
        <f t="shared" si="13"/>
        <v>45906</v>
      </c>
      <c r="T79" s="51" t="s">
        <v>22</v>
      </c>
      <c r="U79" s="50" t="s">
        <v>52</v>
      </c>
      <c r="V79" s="52" t="s">
        <v>61</v>
      </c>
      <c r="W79" s="53">
        <v>4</v>
      </c>
      <c r="X79" s="54">
        <v>199</v>
      </c>
      <c r="Y79" s="54">
        <v>89.09</v>
      </c>
      <c r="Z79" s="55">
        <f t="shared" si="9"/>
        <v>706.91</v>
      </c>
      <c r="AA79" s="56" t="s">
        <v>44</v>
      </c>
      <c r="AB79"/>
    </row>
    <row r="80" spans="1:28" x14ac:dyDescent="0.25">
      <c r="A80" s="26" t="s">
        <v>207</v>
      </c>
      <c r="B80" s="26" t="s">
        <v>34</v>
      </c>
      <c r="C80" s="26" t="str">
        <f t="shared" si="10"/>
        <v>Carlos Silva</v>
      </c>
      <c r="D80" s="37" t="s">
        <v>77</v>
      </c>
      <c r="E80" s="27">
        <f t="shared" si="11"/>
        <v>45708</v>
      </c>
      <c r="F80" s="26" t="s">
        <v>22</v>
      </c>
      <c r="G80" s="26" t="str">
        <f t="shared" si="12"/>
        <v>Amanda Costa</v>
      </c>
      <c r="H80" s="26" t="s">
        <v>30</v>
      </c>
      <c r="I80" s="26" t="s">
        <v>106</v>
      </c>
      <c r="J80" s="28">
        <v>2</v>
      </c>
      <c r="K80" s="29">
        <v>299</v>
      </c>
      <c r="L80" s="29">
        <v>78.23</v>
      </c>
      <c r="M80" s="30">
        <f t="shared" si="8"/>
        <v>519.77</v>
      </c>
      <c r="N80" s="26" t="s">
        <v>44</v>
      </c>
      <c r="Q80" s="42" t="s">
        <v>207</v>
      </c>
      <c r="R80" s="42" t="s">
        <v>34</v>
      </c>
      <c r="S80" s="57">
        <f t="shared" si="13"/>
        <v>45708</v>
      </c>
      <c r="T80" s="44" t="s">
        <v>22</v>
      </c>
      <c r="U80" s="43" t="s">
        <v>30</v>
      </c>
      <c r="V80" s="42" t="s">
        <v>106</v>
      </c>
      <c r="W80" s="45">
        <v>2</v>
      </c>
      <c r="X80" s="46">
        <v>299</v>
      </c>
      <c r="Y80" s="46">
        <v>78.23</v>
      </c>
      <c r="Z80" s="47">
        <f t="shared" si="9"/>
        <v>519.77</v>
      </c>
      <c r="AA80" s="48" t="s">
        <v>44</v>
      </c>
      <c r="AB80"/>
    </row>
    <row r="81" spans="1:28" x14ac:dyDescent="0.25">
      <c r="A81" s="31" t="s">
        <v>208</v>
      </c>
      <c r="B81" s="31" t="s">
        <v>71</v>
      </c>
      <c r="C81" s="32" t="str">
        <f t="shared" si="10"/>
        <v>Juliana Costa</v>
      </c>
      <c r="D81" s="38" t="s">
        <v>209</v>
      </c>
      <c r="E81" s="33">
        <f t="shared" si="11"/>
        <v>46018</v>
      </c>
      <c r="F81" s="32" t="s">
        <v>39</v>
      </c>
      <c r="G81" s="32" t="str">
        <f t="shared" si="12"/>
        <v>Rodrigo Mello</v>
      </c>
      <c r="H81" s="32" t="s">
        <v>23</v>
      </c>
      <c r="I81" s="32" t="s">
        <v>88</v>
      </c>
      <c r="J81" s="34">
        <v>3</v>
      </c>
      <c r="K81" s="35">
        <v>650</v>
      </c>
      <c r="L81" s="35">
        <v>0</v>
      </c>
      <c r="M81" s="36">
        <f t="shared" si="8"/>
        <v>1950</v>
      </c>
      <c r="N81" s="32" t="s">
        <v>69</v>
      </c>
      <c r="Q81" s="49" t="s">
        <v>208</v>
      </c>
      <c r="R81" s="49" t="s">
        <v>71</v>
      </c>
      <c r="S81" s="58">
        <f t="shared" si="13"/>
        <v>46018</v>
      </c>
      <c r="T81" s="51" t="s">
        <v>39</v>
      </c>
      <c r="U81" s="50" t="s">
        <v>23</v>
      </c>
      <c r="V81" s="52" t="s">
        <v>88</v>
      </c>
      <c r="W81" s="53">
        <v>3</v>
      </c>
      <c r="X81" s="54">
        <v>650</v>
      </c>
      <c r="Y81" s="54">
        <v>0</v>
      </c>
      <c r="Z81" s="55">
        <f t="shared" si="9"/>
        <v>1950</v>
      </c>
      <c r="AA81" s="56" t="s">
        <v>69</v>
      </c>
      <c r="AB81"/>
    </row>
    <row r="82" spans="1:28" x14ac:dyDescent="0.25">
      <c r="A82" s="26" t="s">
        <v>210</v>
      </c>
      <c r="B82" s="26" t="s">
        <v>101</v>
      </c>
      <c r="C82" s="26" t="str">
        <f t="shared" si="10"/>
        <v>Ana Souza</v>
      </c>
      <c r="D82" s="37" t="s">
        <v>211</v>
      </c>
      <c r="E82" s="27">
        <f t="shared" si="11"/>
        <v>45919</v>
      </c>
      <c r="F82" s="26" t="s">
        <v>15</v>
      </c>
      <c r="G82" s="26" t="str">
        <f t="shared" si="12"/>
        <v>Larissa Dias</v>
      </c>
      <c r="H82" s="26" t="s">
        <v>16</v>
      </c>
      <c r="I82" s="26" t="s">
        <v>116</v>
      </c>
      <c r="J82" s="28">
        <v>5</v>
      </c>
      <c r="K82" s="29">
        <v>45</v>
      </c>
      <c r="L82" s="29">
        <v>0</v>
      </c>
      <c r="M82" s="30">
        <f t="shared" si="8"/>
        <v>225</v>
      </c>
      <c r="N82" s="26" t="s">
        <v>49</v>
      </c>
      <c r="Q82" s="42" t="s">
        <v>210</v>
      </c>
      <c r="R82" s="42" t="s">
        <v>101</v>
      </c>
      <c r="S82" s="57">
        <f t="shared" si="13"/>
        <v>45919</v>
      </c>
      <c r="T82" s="44" t="s">
        <v>15</v>
      </c>
      <c r="U82" s="43" t="s">
        <v>16</v>
      </c>
      <c r="V82" s="42" t="s">
        <v>116</v>
      </c>
      <c r="W82" s="45">
        <v>5</v>
      </c>
      <c r="X82" s="46">
        <v>45</v>
      </c>
      <c r="Y82" s="46">
        <v>0</v>
      </c>
      <c r="Z82" s="47">
        <f t="shared" si="9"/>
        <v>225</v>
      </c>
      <c r="AA82" s="48" t="s">
        <v>49</v>
      </c>
      <c r="AB82"/>
    </row>
    <row r="83" spans="1:28" x14ac:dyDescent="0.25">
      <c r="A83" s="31" t="s">
        <v>212</v>
      </c>
      <c r="B83" s="31" t="s">
        <v>13</v>
      </c>
      <c r="C83" s="32" t="str">
        <f t="shared" si="10"/>
        <v>Lucas Almeida</v>
      </c>
      <c r="D83" s="38" t="s">
        <v>174</v>
      </c>
      <c r="E83" s="33">
        <f t="shared" si="11"/>
        <v>46029</v>
      </c>
      <c r="F83" s="32" t="s">
        <v>29</v>
      </c>
      <c r="G83" s="32" t="str">
        <f t="shared" si="12"/>
        <v>Camila Rocha</v>
      </c>
      <c r="H83" s="32" t="s">
        <v>30</v>
      </c>
      <c r="I83" s="32" t="s">
        <v>68</v>
      </c>
      <c r="J83" s="34">
        <v>2</v>
      </c>
      <c r="K83" s="35">
        <v>799</v>
      </c>
      <c r="L83" s="35">
        <v>95.72</v>
      </c>
      <c r="M83" s="36">
        <f t="shared" si="8"/>
        <v>1502.28</v>
      </c>
      <c r="N83" s="32" t="s">
        <v>69</v>
      </c>
      <c r="Q83" s="49" t="s">
        <v>212</v>
      </c>
      <c r="R83" s="49" t="s">
        <v>13</v>
      </c>
      <c r="S83" s="58">
        <f t="shared" si="13"/>
        <v>46029</v>
      </c>
      <c r="T83" s="51" t="s">
        <v>29</v>
      </c>
      <c r="U83" s="50" t="s">
        <v>30</v>
      </c>
      <c r="V83" s="52" t="s">
        <v>68</v>
      </c>
      <c r="W83" s="53">
        <v>2</v>
      </c>
      <c r="X83" s="54">
        <v>799</v>
      </c>
      <c r="Y83" s="54">
        <v>95.72</v>
      </c>
      <c r="Z83" s="55">
        <f t="shared" si="9"/>
        <v>1502.28</v>
      </c>
      <c r="AA83" s="56" t="s">
        <v>69</v>
      </c>
      <c r="AB83"/>
    </row>
    <row r="84" spans="1:28" x14ac:dyDescent="0.25">
      <c r="A84" s="26" t="s">
        <v>213</v>
      </c>
      <c r="B84" s="26" t="s">
        <v>101</v>
      </c>
      <c r="C84" s="26" t="str">
        <f t="shared" si="10"/>
        <v>Ana Souza</v>
      </c>
      <c r="D84" s="37" t="s">
        <v>56</v>
      </c>
      <c r="E84" s="27">
        <f t="shared" si="11"/>
        <v>45965</v>
      </c>
      <c r="F84" s="26" t="s">
        <v>15</v>
      </c>
      <c r="G84" s="26" t="str">
        <f t="shared" si="12"/>
        <v>Larissa Dias</v>
      </c>
      <c r="H84" s="26" t="s">
        <v>30</v>
      </c>
      <c r="I84" s="26" t="s">
        <v>68</v>
      </c>
      <c r="J84" s="28">
        <v>4</v>
      </c>
      <c r="K84" s="29">
        <v>799</v>
      </c>
      <c r="L84" s="29">
        <v>0</v>
      </c>
      <c r="M84" s="30">
        <f t="shared" si="8"/>
        <v>3196</v>
      </c>
      <c r="N84" s="26" t="s">
        <v>89</v>
      </c>
      <c r="Q84" s="42" t="s">
        <v>213</v>
      </c>
      <c r="R84" s="42" t="s">
        <v>101</v>
      </c>
      <c r="S84" s="57">
        <f t="shared" si="13"/>
        <v>45965</v>
      </c>
      <c r="T84" s="44" t="s">
        <v>15</v>
      </c>
      <c r="U84" s="43" t="s">
        <v>30</v>
      </c>
      <c r="V84" s="42" t="s">
        <v>68</v>
      </c>
      <c r="W84" s="45">
        <v>4</v>
      </c>
      <c r="X84" s="46">
        <v>799</v>
      </c>
      <c r="Y84" s="46">
        <v>0</v>
      </c>
      <c r="Z84" s="47">
        <f t="shared" si="9"/>
        <v>3196</v>
      </c>
      <c r="AA84" s="48" t="s">
        <v>89</v>
      </c>
      <c r="AB84"/>
    </row>
    <row r="85" spans="1:28" x14ac:dyDescent="0.25">
      <c r="A85" s="31" t="s">
        <v>214</v>
      </c>
      <c r="B85" s="31" t="s">
        <v>37</v>
      </c>
      <c r="C85" s="32" t="str">
        <f t="shared" si="10"/>
        <v>Patricia Gomes</v>
      </c>
      <c r="D85" s="38" t="s">
        <v>215</v>
      </c>
      <c r="E85" s="33">
        <f t="shared" si="11"/>
        <v>45989</v>
      </c>
      <c r="F85" s="32" t="s">
        <v>47</v>
      </c>
      <c r="G85" s="32" t="str">
        <f t="shared" si="12"/>
        <v>Bruno Martins</v>
      </c>
      <c r="H85" s="32" t="s">
        <v>23</v>
      </c>
      <c r="I85" s="32" t="s">
        <v>48</v>
      </c>
      <c r="J85" s="34">
        <v>4</v>
      </c>
      <c r="K85" s="35">
        <v>450</v>
      </c>
      <c r="L85" s="35">
        <v>178.86</v>
      </c>
      <c r="M85" s="36">
        <f t="shared" si="8"/>
        <v>1621.1399999999999</v>
      </c>
      <c r="N85" s="32" t="s">
        <v>49</v>
      </c>
      <c r="Q85" s="49" t="s">
        <v>214</v>
      </c>
      <c r="R85" s="49" t="s">
        <v>37</v>
      </c>
      <c r="S85" s="58">
        <f t="shared" si="13"/>
        <v>45989</v>
      </c>
      <c r="T85" s="51" t="s">
        <v>47</v>
      </c>
      <c r="U85" s="50" t="s">
        <v>23</v>
      </c>
      <c r="V85" s="52" t="s">
        <v>48</v>
      </c>
      <c r="W85" s="53">
        <v>4</v>
      </c>
      <c r="X85" s="54">
        <v>450</v>
      </c>
      <c r="Y85" s="54">
        <v>178.86</v>
      </c>
      <c r="Z85" s="55">
        <f t="shared" si="9"/>
        <v>1621.1399999999999</v>
      </c>
      <c r="AA85" s="56" t="s">
        <v>49</v>
      </c>
      <c r="AB85"/>
    </row>
    <row r="86" spans="1:28" x14ac:dyDescent="0.25">
      <c r="A86" s="26" t="s">
        <v>216</v>
      </c>
      <c r="B86" s="26" t="s">
        <v>41</v>
      </c>
      <c r="C86" s="26" t="str">
        <f t="shared" si="10"/>
        <v>João Pereira</v>
      </c>
      <c r="D86" s="37" t="s">
        <v>215</v>
      </c>
      <c r="E86" s="27">
        <f t="shared" si="11"/>
        <v>45989</v>
      </c>
      <c r="F86" s="26" t="s">
        <v>22</v>
      </c>
      <c r="G86" s="26" t="str">
        <f t="shared" si="12"/>
        <v>Amanda Costa</v>
      </c>
      <c r="H86" s="26" t="s">
        <v>30</v>
      </c>
      <c r="I86" s="26" t="s">
        <v>68</v>
      </c>
      <c r="J86" s="28">
        <v>4</v>
      </c>
      <c r="K86" s="29">
        <v>799</v>
      </c>
      <c r="L86" s="29">
        <v>0</v>
      </c>
      <c r="M86" s="30">
        <f t="shared" si="8"/>
        <v>3196</v>
      </c>
      <c r="N86" s="26" t="s">
        <v>44</v>
      </c>
      <c r="Q86" s="42" t="s">
        <v>216</v>
      </c>
      <c r="R86" s="42" t="s">
        <v>41</v>
      </c>
      <c r="S86" s="57">
        <f t="shared" si="13"/>
        <v>45989</v>
      </c>
      <c r="T86" s="44" t="s">
        <v>22</v>
      </c>
      <c r="U86" s="43" t="s">
        <v>30</v>
      </c>
      <c r="V86" s="42" t="s">
        <v>68</v>
      </c>
      <c r="W86" s="45">
        <v>4</v>
      </c>
      <c r="X86" s="46">
        <v>799</v>
      </c>
      <c r="Y86" s="46">
        <v>0</v>
      </c>
      <c r="Z86" s="47">
        <f t="shared" si="9"/>
        <v>3196</v>
      </c>
      <c r="AA86" s="48" t="s">
        <v>44</v>
      </c>
      <c r="AB86"/>
    </row>
    <row r="87" spans="1:28" x14ac:dyDescent="0.25">
      <c r="A87" s="31" t="s">
        <v>217</v>
      </c>
      <c r="B87" s="31" t="s">
        <v>101</v>
      </c>
      <c r="C87" s="32" t="str">
        <f t="shared" si="10"/>
        <v>Ana Souza</v>
      </c>
      <c r="D87" s="38" t="s">
        <v>218</v>
      </c>
      <c r="E87" s="33">
        <f t="shared" si="11"/>
        <v>45735</v>
      </c>
      <c r="F87" s="32" t="s">
        <v>22</v>
      </c>
      <c r="G87" s="32" t="str">
        <f t="shared" si="12"/>
        <v>Amanda Costa</v>
      </c>
      <c r="H87" s="32" t="s">
        <v>16</v>
      </c>
      <c r="I87" s="32" t="s">
        <v>116</v>
      </c>
      <c r="J87" s="34">
        <v>1</v>
      </c>
      <c r="K87" s="35">
        <v>45</v>
      </c>
      <c r="L87" s="35">
        <v>0</v>
      </c>
      <c r="M87" s="36">
        <f t="shared" si="8"/>
        <v>45</v>
      </c>
      <c r="N87" s="32" t="s">
        <v>69</v>
      </c>
      <c r="Q87" s="49" t="s">
        <v>217</v>
      </c>
      <c r="R87" s="49" t="s">
        <v>101</v>
      </c>
      <c r="S87" s="58">
        <f t="shared" si="13"/>
        <v>45735</v>
      </c>
      <c r="T87" s="51" t="s">
        <v>22</v>
      </c>
      <c r="U87" s="50" t="s">
        <v>16</v>
      </c>
      <c r="V87" s="52" t="s">
        <v>116</v>
      </c>
      <c r="W87" s="53">
        <v>1</v>
      </c>
      <c r="X87" s="54">
        <v>45</v>
      </c>
      <c r="Y87" s="54">
        <v>0</v>
      </c>
      <c r="Z87" s="55">
        <f t="shared" si="9"/>
        <v>45</v>
      </c>
      <c r="AA87" s="56" t="s">
        <v>69</v>
      </c>
      <c r="AB87"/>
    </row>
    <row r="88" spans="1:28" x14ac:dyDescent="0.25">
      <c r="A88" s="26" t="s">
        <v>219</v>
      </c>
      <c r="B88" s="26" t="s">
        <v>71</v>
      </c>
      <c r="C88" s="26" t="str">
        <f t="shared" si="10"/>
        <v>Juliana Costa</v>
      </c>
      <c r="D88" s="37" t="s">
        <v>220</v>
      </c>
      <c r="E88" s="27">
        <f t="shared" si="11"/>
        <v>45760</v>
      </c>
      <c r="F88" s="26" t="s">
        <v>29</v>
      </c>
      <c r="G88" s="26" t="str">
        <f t="shared" si="12"/>
        <v>Camila Rocha</v>
      </c>
      <c r="H88" s="26" t="s">
        <v>52</v>
      </c>
      <c r="I88" s="26" t="s">
        <v>61</v>
      </c>
      <c r="J88" s="28">
        <v>3</v>
      </c>
      <c r="K88" s="29">
        <v>199</v>
      </c>
      <c r="L88" s="29">
        <v>6.15</v>
      </c>
      <c r="M88" s="30">
        <f t="shared" si="8"/>
        <v>590.85</v>
      </c>
      <c r="N88" s="26" t="s">
        <v>44</v>
      </c>
      <c r="Q88" s="42" t="s">
        <v>219</v>
      </c>
      <c r="R88" s="42" t="s">
        <v>71</v>
      </c>
      <c r="S88" s="57">
        <f t="shared" si="13"/>
        <v>45760</v>
      </c>
      <c r="T88" s="44" t="s">
        <v>29</v>
      </c>
      <c r="U88" s="43" t="s">
        <v>52</v>
      </c>
      <c r="V88" s="42" t="s">
        <v>61</v>
      </c>
      <c r="W88" s="45">
        <v>3</v>
      </c>
      <c r="X88" s="46">
        <v>199</v>
      </c>
      <c r="Y88" s="46">
        <v>6.15</v>
      </c>
      <c r="Z88" s="47">
        <f t="shared" si="9"/>
        <v>590.85</v>
      </c>
      <c r="AA88" s="48" t="s">
        <v>44</v>
      </c>
      <c r="AB88"/>
    </row>
    <row r="89" spans="1:28" x14ac:dyDescent="0.25">
      <c r="A89" s="31" t="s">
        <v>221</v>
      </c>
      <c r="B89" s="31" t="s">
        <v>110</v>
      </c>
      <c r="C89" s="32" t="str">
        <f t="shared" si="10"/>
        <v>Fernanda Lima</v>
      </c>
      <c r="D89" s="38" t="s">
        <v>215</v>
      </c>
      <c r="E89" s="33">
        <f t="shared" si="11"/>
        <v>45989</v>
      </c>
      <c r="F89" s="32" t="s">
        <v>22</v>
      </c>
      <c r="G89" s="32" t="str">
        <f t="shared" si="12"/>
        <v>Amanda Costa</v>
      </c>
      <c r="H89" s="32" t="s">
        <v>23</v>
      </c>
      <c r="I89" s="32" t="s">
        <v>48</v>
      </c>
      <c r="J89" s="34">
        <v>3</v>
      </c>
      <c r="K89" s="35">
        <v>450</v>
      </c>
      <c r="L89" s="35">
        <v>0</v>
      </c>
      <c r="M89" s="36">
        <f t="shared" si="8"/>
        <v>1350</v>
      </c>
      <c r="N89" s="32" t="s">
        <v>25</v>
      </c>
      <c r="Q89" s="49" t="s">
        <v>221</v>
      </c>
      <c r="R89" s="49" t="s">
        <v>110</v>
      </c>
      <c r="S89" s="58">
        <f t="shared" si="13"/>
        <v>45989</v>
      </c>
      <c r="T89" s="51" t="s">
        <v>22</v>
      </c>
      <c r="U89" s="50" t="s">
        <v>23</v>
      </c>
      <c r="V89" s="52" t="s">
        <v>48</v>
      </c>
      <c r="W89" s="53">
        <v>3</v>
      </c>
      <c r="X89" s="54">
        <v>450</v>
      </c>
      <c r="Y89" s="54">
        <v>0</v>
      </c>
      <c r="Z89" s="55">
        <f t="shared" si="9"/>
        <v>1350</v>
      </c>
      <c r="AA89" s="56" t="s">
        <v>25</v>
      </c>
      <c r="AB89"/>
    </row>
    <row r="90" spans="1:28" x14ac:dyDescent="0.25">
      <c r="A90" s="26" t="s">
        <v>222</v>
      </c>
      <c r="B90" s="26" t="s">
        <v>20</v>
      </c>
      <c r="C90" s="26" t="str">
        <f t="shared" si="10"/>
        <v>Beatriz Ribeiro</v>
      </c>
      <c r="D90" s="37" t="s">
        <v>223</v>
      </c>
      <c r="E90" s="27">
        <f t="shared" si="11"/>
        <v>46021</v>
      </c>
      <c r="F90" s="26" t="s">
        <v>15</v>
      </c>
      <c r="G90" s="26" t="str">
        <f t="shared" si="12"/>
        <v>Larissa Dias</v>
      </c>
      <c r="H90" s="26" t="s">
        <v>16</v>
      </c>
      <c r="I90" s="26" t="s">
        <v>17</v>
      </c>
      <c r="J90" s="28">
        <v>5</v>
      </c>
      <c r="K90" s="29">
        <v>39</v>
      </c>
      <c r="L90" s="29">
        <v>0</v>
      </c>
      <c r="M90" s="30">
        <f t="shared" si="8"/>
        <v>195</v>
      </c>
      <c r="N90" s="26" t="s">
        <v>89</v>
      </c>
      <c r="Q90" s="42" t="s">
        <v>222</v>
      </c>
      <c r="R90" s="42" t="s">
        <v>20</v>
      </c>
      <c r="S90" s="57">
        <f t="shared" si="13"/>
        <v>46021</v>
      </c>
      <c r="T90" s="44" t="s">
        <v>15</v>
      </c>
      <c r="U90" s="43" t="s">
        <v>16</v>
      </c>
      <c r="V90" s="42" t="s">
        <v>17</v>
      </c>
      <c r="W90" s="45">
        <v>5</v>
      </c>
      <c r="X90" s="46">
        <v>39</v>
      </c>
      <c r="Y90" s="46">
        <v>0</v>
      </c>
      <c r="Z90" s="47">
        <f t="shared" si="9"/>
        <v>195</v>
      </c>
      <c r="AA90" s="48" t="s">
        <v>89</v>
      </c>
      <c r="AB90"/>
    </row>
    <row r="91" spans="1:28" x14ac:dyDescent="0.25">
      <c r="A91" s="31" t="s">
        <v>224</v>
      </c>
      <c r="B91" s="31" t="s">
        <v>13</v>
      </c>
      <c r="C91" s="32" t="str">
        <f t="shared" si="10"/>
        <v>Lucas Almeida</v>
      </c>
      <c r="D91" s="38" t="s">
        <v>225</v>
      </c>
      <c r="E91" s="33">
        <f t="shared" si="11"/>
        <v>46039</v>
      </c>
      <c r="F91" s="32" t="s">
        <v>15</v>
      </c>
      <c r="G91" s="32" t="str">
        <f t="shared" si="12"/>
        <v>Larissa Dias</v>
      </c>
      <c r="H91" s="32" t="s">
        <v>30</v>
      </c>
      <c r="I91" s="32" t="s">
        <v>106</v>
      </c>
      <c r="J91" s="34">
        <v>2</v>
      </c>
      <c r="K91" s="35">
        <v>299</v>
      </c>
      <c r="L91" s="35">
        <v>54.25</v>
      </c>
      <c r="M91" s="36">
        <f t="shared" si="8"/>
        <v>543.75</v>
      </c>
      <c r="N91" s="32" t="s">
        <v>89</v>
      </c>
      <c r="Q91" s="49" t="s">
        <v>224</v>
      </c>
      <c r="R91" s="49" t="s">
        <v>13</v>
      </c>
      <c r="S91" s="58">
        <f t="shared" si="13"/>
        <v>46039</v>
      </c>
      <c r="T91" s="51" t="s">
        <v>15</v>
      </c>
      <c r="U91" s="50" t="s">
        <v>30</v>
      </c>
      <c r="V91" s="52" t="s">
        <v>106</v>
      </c>
      <c r="W91" s="53">
        <v>2</v>
      </c>
      <c r="X91" s="54">
        <v>299</v>
      </c>
      <c r="Y91" s="54">
        <v>54.25</v>
      </c>
      <c r="Z91" s="55">
        <f t="shared" si="9"/>
        <v>543.75</v>
      </c>
      <c r="AA91" s="56" t="s">
        <v>89</v>
      </c>
      <c r="AB91"/>
    </row>
    <row r="92" spans="1:28" x14ac:dyDescent="0.25">
      <c r="A92" s="26" t="s">
        <v>226</v>
      </c>
      <c r="B92" s="26" t="s">
        <v>95</v>
      </c>
      <c r="C92" s="26" t="str">
        <f t="shared" si="10"/>
        <v>Maria Oliveira</v>
      </c>
      <c r="D92" s="37" t="s">
        <v>227</v>
      </c>
      <c r="E92" s="27">
        <f t="shared" si="11"/>
        <v>45853</v>
      </c>
      <c r="F92" s="26" t="s">
        <v>29</v>
      </c>
      <c r="G92" s="26" t="str">
        <f t="shared" si="12"/>
        <v>Camila Rocha</v>
      </c>
      <c r="H92" s="26" t="s">
        <v>52</v>
      </c>
      <c r="I92" s="26" t="s">
        <v>53</v>
      </c>
      <c r="J92" s="28">
        <v>2</v>
      </c>
      <c r="K92" s="29">
        <v>149</v>
      </c>
      <c r="L92" s="29">
        <v>0</v>
      </c>
      <c r="M92" s="30">
        <f t="shared" si="8"/>
        <v>298</v>
      </c>
      <c r="N92" s="26" t="s">
        <v>65</v>
      </c>
      <c r="Q92" s="42" t="s">
        <v>226</v>
      </c>
      <c r="R92" s="42" t="s">
        <v>95</v>
      </c>
      <c r="S92" s="57">
        <f t="shared" si="13"/>
        <v>45853</v>
      </c>
      <c r="T92" s="44" t="s">
        <v>29</v>
      </c>
      <c r="U92" s="43" t="s">
        <v>52</v>
      </c>
      <c r="V92" s="42" t="s">
        <v>53</v>
      </c>
      <c r="W92" s="45">
        <v>2</v>
      </c>
      <c r="X92" s="46">
        <v>149</v>
      </c>
      <c r="Y92" s="46">
        <v>0</v>
      </c>
      <c r="Z92" s="47">
        <f t="shared" si="9"/>
        <v>298</v>
      </c>
      <c r="AA92" s="48" t="s">
        <v>65</v>
      </c>
      <c r="AB92"/>
    </row>
    <row r="93" spans="1:28" x14ac:dyDescent="0.25">
      <c r="A93" s="31" t="s">
        <v>228</v>
      </c>
      <c r="B93" s="31" t="s">
        <v>41</v>
      </c>
      <c r="C93" s="32" t="str">
        <f t="shared" si="10"/>
        <v>João Pereira</v>
      </c>
      <c r="D93" s="38" t="s">
        <v>186</v>
      </c>
      <c r="E93" s="33">
        <f t="shared" si="11"/>
        <v>45792</v>
      </c>
      <c r="F93" s="32" t="s">
        <v>47</v>
      </c>
      <c r="G93" s="32" t="str">
        <f t="shared" si="12"/>
        <v>Bruno Martins</v>
      </c>
      <c r="H93" s="32" t="s">
        <v>30</v>
      </c>
      <c r="I93" s="32" t="s">
        <v>68</v>
      </c>
      <c r="J93" s="34">
        <v>4</v>
      </c>
      <c r="K93" s="35">
        <v>799</v>
      </c>
      <c r="L93" s="35">
        <v>226.17</v>
      </c>
      <c r="M93" s="36">
        <f t="shared" si="8"/>
        <v>2969.83</v>
      </c>
      <c r="N93" s="32" t="s">
        <v>69</v>
      </c>
      <c r="Q93" s="49" t="s">
        <v>228</v>
      </c>
      <c r="R93" s="49" t="s">
        <v>41</v>
      </c>
      <c r="S93" s="58">
        <f t="shared" si="13"/>
        <v>45792</v>
      </c>
      <c r="T93" s="51" t="s">
        <v>47</v>
      </c>
      <c r="U93" s="50" t="s">
        <v>30</v>
      </c>
      <c r="V93" s="52" t="s">
        <v>68</v>
      </c>
      <c r="W93" s="53">
        <v>4</v>
      </c>
      <c r="X93" s="54">
        <v>799</v>
      </c>
      <c r="Y93" s="54">
        <v>226.17</v>
      </c>
      <c r="Z93" s="55">
        <f t="shared" si="9"/>
        <v>2969.83</v>
      </c>
      <c r="AA93" s="56" t="s">
        <v>69</v>
      </c>
      <c r="AB93"/>
    </row>
    <row r="94" spans="1:28" x14ac:dyDescent="0.25">
      <c r="A94" s="26" t="s">
        <v>229</v>
      </c>
      <c r="B94" s="26" t="s">
        <v>71</v>
      </c>
      <c r="C94" s="26" t="str">
        <f t="shared" si="10"/>
        <v>Juliana Costa</v>
      </c>
      <c r="D94" s="37" t="s">
        <v>230</v>
      </c>
      <c r="E94" s="27">
        <f t="shared" si="11"/>
        <v>46054</v>
      </c>
      <c r="F94" s="26" t="s">
        <v>29</v>
      </c>
      <c r="G94" s="26" t="str">
        <f t="shared" si="12"/>
        <v>Camila Rocha</v>
      </c>
      <c r="H94" s="26" t="s">
        <v>23</v>
      </c>
      <c r="I94" s="26" t="s">
        <v>24</v>
      </c>
      <c r="J94" s="28">
        <v>4</v>
      </c>
      <c r="K94" s="29">
        <v>180</v>
      </c>
      <c r="L94" s="29">
        <v>0</v>
      </c>
      <c r="M94" s="30">
        <f t="shared" si="8"/>
        <v>720</v>
      </c>
      <c r="N94" s="26" t="s">
        <v>18</v>
      </c>
      <c r="Q94" s="42" t="s">
        <v>229</v>
      </c>
      <c r="R94" s="42" t="s">
        <v>71</v>
      </c>
      <c r="S94" s="57">
        <f t="shared" si="13"/>
        <v>46054</v>
      </c>
      <c r="T94" s="44" t="s">
        <v>29</v>
      </c>
      <c r="U94" s="43" t="s">
        <v>23</v>
      </c>
      <c r="V94" s="42" t="s">
        <v>24</v>
      </c>
      <c r="W94" s="45">
        <v>4</v>
      </c>
      <c r="X94" s="46">
        <v>180</v>
      </c>
      <c r="Y94" s="46">
        <v>0</v>
      </c>
      <c r="Z94" s="47">
        <f t="shared" si="9"/>
        <v>720</v>
      </c>
      <c r="AA94" s="48" t="s">
        <v>18</v>
      </c>
      <c r="AB94"/>
    </row>
    <row r="95" spans="1:28" x14ac:dyDescent="0.25">
      <c r="A95" s="31" t="s">
        <v>231</v>
      </c>
      <c r="B95" s="31" t="s">
        <v>41</v>
      </c>
      <c r="C95" s="32" t="str">
        <f t="shared" si="10"/>
        <v>João Pereira</v>
      </c>
      <c r="D95" s="38" t="s">
        <v>232</v>
      </c>
      <c r="E95" s="33">
        <f t="shared" si="11"/>
        <v>45700</v>
      </c>
      <c r="F95" s="32" t="s">
        <v>22</v>
      </c>
      <c r="G95" s="32" t="str">
        <f t="shared" si="12"/>
        <v>Amanda Costa</v>
      </c>
      <c r="H95" s="32" t="s">
        <v>30</v>
      </c>
      <c r="I95" s="32" t="s">
        <v>106</v>
      </c>
      <c r="J95" s="34">
        <v>1</v>
      </c>
      <c r="K95" s="35">
        <v>299</v>
      </c>
      <c r="L95" s="35">
        <v>0</v>
      </c>
      <c r="M95" s="36">
        <f t="shared" si="8"/>
        <v>299</v>
      </c>
      <c r="N95" s="32" t="s">
        <v>32</v>
      </c>
      <c r="Q95" s="49" t="s">
        <v>231</v>
      </c>
      <c r="R95" s="49" t="s">
        <v>41</v>
      </c>
      <c r="S95" s="58">
        <f t="shared" si="13"/>
        <v>45700</v>
      </c>
      <c r="T95" s="51" t="s">
        <v>22</v>
      </c>
      <c r="U95" s="50" t="s">
        <v>30</v>
      </c>
      <c r="V95" s="52" t="s">
        <v>106</v>
      </c>
      <c r="W95" s="53">
        <v>1</v>
      </c>
      <c r="X95" s="54">
        <v>299</v>
      </c>
      <c r="Y95" s="54">
        <v>0</v>
      </c>
      <c r="Z95" s="55">
        <f t="shared" si="9"/>
        <v>299</v>
      </c>
      <c r="AA95" s="56" t="s">
        <v>32</v>
      </c>
      <c r="AB95"/>
    </row>
    <row r="96" spans="1:28" x14ac:dyDescent="0.25">
      <c r="A96" s="26" t="s">
        <v>233</v>
      </c>
      <c r="B96" s="26" t="s">
        <v>55</v>
      </c>
      <c r="C96" s="26" t="str">
        <f t="shared" si="10"/>
        <v>Ricardo Carvalho</v>
      </c>
      <c r="D96" s="37" t="s">
        <v>234</v>
      </c>
      <c r="E96" s="27">
        <f t="shared" si="11"/>
        <v>45683</v>
      </c>
      <c r="F96" s="26" t="s">
        <v>22</v>
      </c>
      <c r="G96" s="26" t="str">
        <f t="shared" si="12"/>
        <v>Amanda Costa</v>
      </c>
      <c r="H96" s="26" t="s">
        <v>23</v>
      </c>
      <c r="I96" s="26" t="s">
        <v>43</v>
      </c>
      <c r="J96" s="28">
        <v>4</v>
      </c>
      <c r="K96" s="29">
        <v>350</v>
      </c>
      <c r="L96" s="29">
        <v>3.34</v>
      </c>
      <c r="M96" s="30">
        <f t="shared" si="8"/>
        <v>1396.66</v>
      </c>
      <c r="N96" s="26" t="s">
        <v>49</v>
      </c>
      <c r="Q96" s="42" t="s">
        <v>233</v>
      </c>
      <c r="R96" s="42" t="s">
        <v>55</v>
      </c>
      <c r="S96" s="57">
        <f t="shared" si="13"/>
        <v>45683</v>
      </c>
      <c r="T96" s="44" t="s">
        <v>22</v>
      </c>
      <c r="U96" s="43" t="s">
        <v>23</v>
      </c>
      <c r="V96" s="42" t="s">
        <v>43</v>
      </c>
      <c r="W96" s="45">
        <v>4</v>
      </c>
      <c r="X96" s="46">
        <v>350</v>
      </c>
      <c r="Y96" s="46">
        <v>3.34</v>
      </c>
      <c r="Z96" s="47">
        <f t="shared" si="9"/>
        <v>1396.66</v>
      </c>
      <c r="AA96" s="48" t="s">
        <v>49</v>
      </c>
      <c r="AB96"/>
    </row>
    <row r="97" spans="1:28" x14ac:dyDescent="0.25">
      <c r="A97" s="31" t="s">
        <v>235</v>
      </c>
      <c r="B97" s="31" t="s">
        <v>63</v>
      </c>
      <c r="C97" s="32" t="str">
        <f t="shared" si="10"/>
        <v>Marcos Rodrigues</v>
      </c>
      <c r="D97" s="38" t="s">
        <v>192</v>
      </c>
      <c r="E97" s="33">
        <f t="shared" si="11"/>
        <v>45776</v>
      </c>
      <c r="F97" s="32" t="s">
        <v>22</v>
      </c>
      <c r="G97" s="32" t="str">
        <f t="shared" si="12"/>
        <v>Amanda Costa</v>
      </c>
      <c r="H97" s="32" t="s">
        <v>52</v>
      </c>
      <c r="I97" s="32" t="s">
        <v>99</v>
      </c>
      <c r="J97" s="34">
        <v>2</v>
      </c>
      <c r="K97" s="35">
        <v>79</v>
      </c>
      <c r="L97" s="35">
        <v>0</v>
      </c>
      <c r="M97" s="36">
        <f t="shared" si="8"/>
        <v>158</v>
      </c>
      <c r="N97" s="32" t="s">
        <v>49</v>
      </c>
      <c r="Q97" s="49" t="s">
        <v>235</v>
      </c>
      <c r="R97" s="49" t="s">
        <v>63</v>
      </c>
      <c r="S97" s="58">
        <f t="shared" si="13"/>
        <v>45776</v>
      </c>
      <c r="T97" s="51" t="s">
        <v>22</v>
      </c>
      <c r="U97" s="50" t="s">
        <v>52</v>
      </c>
      <c r="V97" s="52" t="s">
        <v>99</v>
      </c>
      <c r="W97" s="53">
        <v>2</v>
      </c>
      <c r="X97" s="54">
        <v>79</v>
      </c>
      <c r="Y97" s="54">
        <v>0</v>
      </c>
      <c r="Z97" s="55">
        <f t="shared" si="9"/>
        <v>158</v>
      </c>
      <c r="AA97" s="56" t="s">
        <v>49</v>
      </c>
      <c r="AB97"/>
    </row>
    <row r="98" spans="1:28" x14ac:dyDescent="0.25">
      <c r="A98" s="26" t="s">
        <v>236</v>
      </c>
      <c r="B98" s="26" t="s">
        <v>101</v>
      </c>
      <c r="C98" s="26" t="str">
        <f t="shared" si="10"/>
        <v>Ana Souza</v>
      </c>
      <c r="D98" s="37" t="s">
        <v>237</v>
      </c>
      <c r="E98" s="27">
        <f t="shared" si="11"/>
        <v>45749</v>
      </c>
      <c r="F98" s="26" t="s">
        <v>39</v>
      </c>
      <c r="G98" s="26" t="str">
        <f t="shared" si="12"/>
        <v>Rodrigo Mello</v>
      </c>
      <c r="H98" s="26" t="s">
        <v>52</v>
      </c>
      <c r="I98" s="26" t="s">
        <v>53</v>
      </c>
      <c r="J98" s="28">
        <v>2</v>
      </c>
      <c r="K98" s="29">
        <v>149</v>
      </c>
      <c r="L98" s="29">
        <v>13.25</v>
      </c>
      <c r="M98" s="30">
        <f t="shared" si="8"/>
        <v>284.75</v>
      </c>
      <c r="N98" s="26" t="s">
        <v>65</v>
      </c>
      <c r="Q98" s="42" t="s">
        <v>236</v>
      </c>
      <c r="R98" s="42" t="s">
        <v>101</v>
      </c>
      <c r="S98" s="57">
        <f t="shared" si="13"/>
        <v>45749</v>
      </c>
      <c r="T98" s="44" t="s">
        <v>39</v>
      </c>
      <c r="U98" s="43" t="s">
        <v>52</v>
      </c>
      <c r="V98" s="42" t="s">
        <v>53</v>
      </c>
      <c r="W98" s="45">
        <v>2</v>
      </c>
      <c r="X98" s="46">
        <v>149</v>
      </c>
      <c r="Y98" s="46">
        <v>13.25</v>
      </c>
      <c r="Z98" s="47">
        <f t="shared" si="9"/>
        <v>284.75</v>
      </c>
      <c r="AA98" s="48" t="s">
        <v>65</v>
      </c>
      <c r="AB98"/>
    </row>
    <row r="99" spans="1:28" x14ac:dyDescent="0.25">
      <c r="A99" s="31" t="s">
        <v>238</v>
      </c>
      <c r="B99" s="31" t="s">
        <v>101</v>
      </c>
      <c r="C99" s="32" t="str">
        <f t="shared" si="10"/>
        <v>Ana Souza</v>
      </c>
      <c r="D99" s="38" t="s">
        <v>239</v>
      </c>
      <c r="E99" s="33">
        <f t="shared" si="11"/>
        <v>45818</v>
      </c>
      <c r="F99" s="32" t="s">
        <v>15</v>
      </c>
      <c r="G99" s="32" t="str">
        <f t="shared" si="12"/>
        <v>Larissa Dias</v>
      </c>
      <c r="H99" s="32" t="s">
        <v>23</v>
      </c>
      <c r="I99" s="32" t="s">
        <v>48</v>
      </c>
      <c r="J99" s="34">
        <v>1</v>
      </c>
      <c r="K99" s="35">
        <v>450</v>
      </c>
      <c r="L99" s="35">
        <v>40.17</v>
      </c>
      <c r="M99" s="36">
        <f t="shared" si="8"/>
        <v>409.83</v>
      </c>
      <c r="N99" s="32" t="s">
        <v>65</v>
      </c>
      <c r="Q99" s="49" t="s">
        <v>238</v>
      </c>
      <c r="R99" s="49" t="s">
        <v>101</v>
      </c>
      <c r="S99" s="58">
        <f t="shared" si="13"/>
        <v>45818</v>
      </c>
      <c r="T99" s="51" t="s">
        <v>15</v>
      </c>
      <c r="U99" s="50" t="s">
        <v>23</v>
      </c>
      <c r="V99" s="52" t="s">
        <v>48</v>
      </c>
      <c r="W99" s="53">
        <v>1</v>
      </c>
      <c r="X99" s="54">
        <v>450</v>
      </c>
      <c r="Y99" s="54">
        <v>40.17</v>
      </c>
      <c r="Z99" s="55">
        <f t="shared" si="9"/>
        <v>409.83</v>
      </c>
      <c r="AA99" s="56" t="s">
        <v>65</v>
      </c>
      <c r="AB99"/>
    </row>
    <row r="100" spans="1:28" x14ac:dyDescent="0.25">
      <c r="A100" s="26" t="s">
        <v>240</v>
      </c>
      <c r="B100" s="26" t="s">
        <v>55</v>
      </c>
      <c r="C100" s="26" t="str">
        <f t="shared" si="10"/>
        <v>Ricardo Carvalho</v>
      </c>
      <c r="D100" s="37" t="s">
        <v>241</v>
      </c>
      <c r="E100" s="27">
        <f t="shared" si="11"/>
        <v>45724</v>
      </c>
      <c r="F100" s="26" t="s">
        <v>15</v>
      </c>
      <c r="G100" s="26" t="str">
        <f t="shared" si="12"/>
        <v>Larissa Dias</v>
      </c>
      <c r="H100" s="26" t="s">
        <v>52</v>
      </c>
      <c r="I100" s="26" t="s">
        <v>75</v>
      </c>
      <c r="J100" s="28">
        <v>5</v>
      </c>
      <c r="K100" s="29">
        <v>249</v>
      </c>
      <c r="L100" s="29">
        <v>150.19</v>
      </c>
      <c r="M100" s="30">
        <f t="shared" si="8"/>
        <v>1094.81</v>
      </c>
      <c r="N100" s="26" t="s">
        <v>49</v>
      </c>
      <c r="Q100" s="42" t="s">
        <v>240</v>
      </c>
      <c r="R100" s="42" t="s">
        <v>55</v>
      </c>
      <c r="S100" s="57">
        <f t="shared" si="13"/>
        <v>45724</v>
      </c>
      <c r="T100" s="44" t="s">
        <v>15</v>
      </c>
      <c r="U100" s="43" t="s">
        <v>52</v>
      </c>
      <c r="V100" s="42" t="s">
        <v>75</v>
      </c>
      <c r="W100" s="45">
        <v>5</v>
      </c>
      <c r="X100" s="46">
        <v>249</v>
      </c>
      <c r="Y100" s="46">
        <v>150.19</v>
      </c>
      <c r="Z100" s="47">
        <f t="shared" si="9"/>
        <v>1094.81</v>
      </c>
      <c r="AA100" s="48" t="s">
        <v>49</v>
      </c>
      <c r="AB100"/>
    </row>
    <row r="101" spans="1:28" x14ac:dyDescent="0.25">
      <c r="A101" s="31" t="s">
        <v>242</v>
      </c>
      <c r="B101" s="31" t="s">
        <v>41</v>
      </c>
      <c r="C101" s="32" t="str">
        <f t="shared" si="10"/>
        <v>João Pereira</v>
      </c>
      <c r="D101" s="38" t="s">
        <v>243</v>
      </c>
      <c r="E101" s="33">
        <f t="shared" si="11"/>
        <v>45880</v>
      </c>
      <c r="F101" s="32" t="s">
        <v>29</v>
      </c>
      <c r="G101" s="32" t="str">
        <f t="shared" si="12"/>
        <v>Camila Rocha</v>
      </c>
      <c r="H101" s="32" t="s">
        <v>52</v>
      </c>
      <c r="I101" s="32" t="s">
        <v>99</v>
      </c>
      <c r="J101" s="34">
        <v>1</v>
      </c>
      <c r="K101" s="35">
        <v>79</v>
      </c>
      <c r="L101" s="35">
        <v>0</v>
      </c>
      <c r="M101" s="36">
        <f t="shared" si="8"/>
        <v>79</v>
      </c>
      <c r="N101" s="32" t="s">
        <v>32</v>
      </c>
      <c r="Q101" s="49" t="s">
        <v>242</v>
      </c>
      <c r="R101" s="49" t="s">
        <v>41</v>
      </c>
      <c r="S101" s="58">
        <f t="shared" si="13"/>
        <v>45880</v>
      </c>
      <c r="T101" s="51" t="s">
        <v>29</v>
      </c>
      <c r="U101" s="50" t="s">
        <v>52</v>
      </c>
      <c r="V101" s="52" t="s">
        <v>99</v>
      </c>
      <c r="W101" s="53">
        <v>1</v>
      </c>
      <c r="X101" s="54">
        <v>79</v>
      </c>
      <c r="Y101" s="54">
        <v>0</v>
      </c>
      <c r="Z101" s="55">
        <f t="shared" si="9"/>
        <v>79</v>
      </c>
      <c r="AA101" s="56" t="s">
        <v>32</v>
      </c>
      <c r="AB101"/>
    </row>
    <row r="102" spans="1:28" x14ac:dyDescent="0.25">
      <c r="A102" s="26" t="s">
        <v>244</v>
      </c>
      <c r="B102" s="26" t="s">
        <v>71</v>
      </c>
      <c r="C102" s="26" t="str">
        <f t="shared" si="10"/>
        <v>Juliana Costa</v>
      </c>
      <c r="D102" s="37" t="s">
        <v>132</v>
      </c>
      <c r="E102" s="27">
        <f t="shared" si="11"/>
        <v>45747</v>
      </c>
      <c r="F102" s="26" t="s">
        <v>47</v>
      </c>
      <c r="G102" s="26" t="str">
        <f t="shared" si="12"/>
        <v>Bruno Martins</v>
      </c>
      <c r="H102" s="26" t="s">
        <v>30</v>
      </c>
      <c r="I102" s="26" t="s">
        <v>106</v>
      </c>
      <c r="J102" s="28">
        <v>1</v>
      </c>
      <c r="K102" s="29">
        <v>299</v>
      </c>
      <c r="L102" s="29">
        <v>0</v>
      </c>
      <c r="M102" s="30">
        <f t="shared" si="8"/>
        <v>299</v>
      </c>
      <c r="N102" s="26" t="s">
        <v>49</v>
      </c>
      <c r="Q102" s="42" t="s">
        <v>244</v>
      </c>
      <c r="R102" s="42" t="s">
        <v>71</v>
      </c>
      <c r="S102" s="57">
        <f t="shared" si="13"/>
        <v>45747</v>
      </c>
      <c r="T102" s="44" t="s">
        <v>47</v>
      </c>
      <c r="U102" s="43" t="s">
        <v>30</v>
      </c>
      <c r="V102" s="42" t="s">
        <v>106</v>
      </c>
      <c r="W102" s="45">
        <v>1</v>
      </c>
      <c r="X102" s="46">
        <v>299</v>
      </c>
      <c r="Y102" s="46">
        <v>0</v>
      </c>
      <c r="Z102" s="47">
        <f t="shared" si="9"/>
        <v>299</v>
      </c>
      <c r="AA102" s="48" t="s">
        <v>49</v>
      </c>
      <c r="AB102"/>
    </row>
    <row r="103" spans="1:28" x14ac:dyDescent="0.25">
      <c r="A103" s="31" t="s">
        <v>245</v>
      </c>
      <c r="B103" s="31" t="s">
        <v>34</v>
      </c>
      <c r="C103" s="32" t="str">
        <f t="shared" si="10"/>
        <v>Carlos Silva</v>
      </c>
      <c r="D103" s="38" t="s">
        <v>246</v>
      </c>
      <c r="E103" s="33">
        <f t="shared" si="11"/>
        <v>46049</v>
      </c>
      <c r="F103" s="32" t="s">
        <v>39</v>
      </c>
      <c r="G103" s="32" t="str">
        <f t="shared" si="12"/>
        <v>Rodrigo Mello</v>
      </c>
      <c r="H103" s="32" t="s">
        <v>23</v>
      </c>
      <c r="I103" s="32" t="s">
        <v>48</v>
      </c>
      <c r="J103" s="34">
        <v>4</v>
      </c>
      <c r="K103" s="35">
        <v>450</v>
      </c>
      <c r="L103" s="35">
        <v>165.66</v>
      </c>
      <c r="M103" s="36">
        <f t="shared" si="8"/>
        <v>1634.34</v>
      </c>
      <c r="N103" s="32" t="s">
        <v>65</v>
      </c>
      <c r="Q103" s="49" t="s">
        <v>245</v>
      </c>
      <c r="R103" s="49" t="s">
        <v>34</v>
      </c>
      <c r="S103" s="58">
        <f t="shared" si="13"/>
        <v>46049</v>
      </c>
      <c r="T103" s="51" t="s">
        <v>39</v>
      </c>
      <c r="U103" s="50" t="s">
        <v>23</v>
      </c>
      <c r="V103" s="52" t="s">
        <v>48</v>
      </c>
      <c r="W103" s="53">
        <v>4</v>
      </c>
      <c r="X103" s="54">
        <v>450</v>
      </c>
      <c r="Y103" s="54">
        <v>165.66</v>
      </c>
      <c r="Z103" s="55">
        <f t="shared" si="9"/>
        <v>1634.34</v>
      </c>
      <c r="AA103" s="56" t="s">
        <v>65</v>
      </c>
      <c r="AB103"/>
    </row>
    <row r="104" spans="1:28" x14ac:dyDescent="0.25">
      <c r="A104" s="26" t="s">
        <v>247</v>
      </c>
      <c r="B104" s="26" t="s">
        <v>13</v>
      </c>
      <c r="C104" s="26" t="str">
        <f t="shared" si="10"/>
        <v>Lucas Almeida</v>
      </c>
      <c r="D104" s="37" t="s">
        <v>248</v>
      </c>
      <c r="E104" s="27">
        <f t="shared" si="11"/>
        <v>45962</v>
      </c>
      <c r="F104" s="26" t="s">
        <v>22</v>
      </c>
      <c r="G104" s="26" t="str">
        <f t="shared" si="12"/>
        <v>Amanda Costa</v>
      </c>
      <c r="H104" s="26" t="s">
        <v>52</v>
      </c>
      <c r="I104" s="26" t="s">
        <v>99</v>
      </c>
      <c r="J104" s="28">
        <v>1</v>
      </c>
      <c r="K104" s="29">
        <v>79</v>
      </c>
      <c r="L104" s="29">
        <v>1.69</v>
      </c>
      <c r="M104" s="30">
        <f t="shared" si="8"/>
        <v>77.31</v>
      </c>
      <c r="N104" s="26" t="s">
        <v>49</v>
      </c>
      <c r="Q104" s="42" t="s">
        <v>247</v>
      </c>
      <c r="R104" s="42" t="s">
        <v>13</v>
      </c>
      <c r="S104" s="57">
        <f t="shared" si="13"/>
        <v>45962</v>
      </c>
      <c r="T104" s="44" t="s">
        <v>22</v>
      </c>
      <c r="U104" s="43" t="s">
        <v>52</v>
      </c>
      <c r="V104" s="42" t="s">
        <v>99</v>
      </c>
      <c r="W104" s="45">
        <v>1</v>
      </c>
      <c r="X104" s="46">
        <v>79</v>
      </c>
      <c r="Y104" s="46">
        <v>1.69</v>
      </c>
      <c r="Z104" s="47">
        <f t="shared" si="9"/>
        <v>77.31</v>
      </c>
      <c r="AA104" s="48" t="s">
        <v>49</v>
      </c>
      <c r="AB104"/>
    </row>
    <row r="105" spans="1:28" x14ac:dyDescent="0.25">
      <c r="A105" s="31" t="s">
        <v>249</v>
      </c>
      <c r="B105" s="31" t="s">
        <v>27</v>
      </c>
      <c r="C105" s="32" t="str">
        <f t="shared" si="10"/>
        <v>Roberto Santos</v>
      </c>
      <c r="D105" s="38" t="s">
        <v>250</v>
      </c>
      <c r="E105" s="33">
        <f t="shared" si="11"/>
        <v>45686</v>
      </c>
      <c r="F105" s="32" t="s">
        <v>29</v>
      </c>
      <c r="G105" s="32" t="str">
        <f t="shared" si="12"/>
        <v>Camila Rocha</v>
      </c>
      <c r="H105" s="32" t="s">
        <v>16</v>
      </c>
      <c r="I105" s="32" t="s">
        <v>103</v>
      </c>
      <c r="J105" s="34">
        <v>5</v>
      </c>
      <c r="K105" s="35">
        <v>89</v>
      </c>
      <c r="L105" s="35">
        <v>9.01</v>
      </c>
      <c r="M105" s="36">
        <f t="shared" si="8"/>
        <v>435.99</v>
      </c>
      <c r="N105" s="32" t="s">
        <v>18</v>
      </c>
      <c r="Q105" s="49" t="s">
        <v>249</v>
      </c>
      <c r="R105" s="49" t="s">
        <v>27</v>
      </c>
      <c r="S105" s="58">
        <f t="shared" si="13"/>
        <v>45686</v>
      </c>
      <c r="T105" s="51" t="s">
        <v>29</v>
      </c>
      <c r="U105" s="50" t="s">
        <v>16</v>
      </c>
      <c r="V105" s="52" t="s">
        <v>103</v>
      </c>
      <c r="W105" s="53">
        <v>5</v>
      </c>
      <c r="X105" s="54">
        <v>89</v>
      </c>
      <c r="Y105" s="54">
        <v>9.01</v>
      </c>
      <c r="Z105" s="55">
        <f t="shared" si="9"/>
        <v>435.99</v>
      </c>
      <c r="AA105" s="56" t="s">
        <v>18</v>
      </c>
      <c r="AB105"/>
    </row>
    <row r="106" spans="1:28" x14ac:dyDescent="0.25">
      <c r="A106" s="26" t="s">
        <v>251</v>
      </c>
      <c r="B106" s="26" t="s">
        <v>27</v>
      </c>
      <c r="C106" s="26" t="str">
        <f t="shared" si="10"/>
        <v>Roberto Santos</v>
      </c>
      <c r="D106" s="37" t="s">
        <v>21</v>
      </c>
      <c r="E106" s="27">
        <f t="shared" si="11"/>
        <v>45985</v>
      </c>
      <c r="F106" s="26" t="s">
        <v>15</v>
      </c>
      <c r="G106" s="26" t="str">
        <f t="shared" si="12"/>
        <v>Larissa Dias</v>
      </c>
      <c r="H106" s="26" t="s">
        <v>23</v>
      </c>
      <c r="I106" s="26" t="s">
        <v>24</v>
      </c>
      <c r="J106" s="28">
        <v>2</v>
      </c>
      <c r="K106" s="29">
        <v>180</v>
      </c>
      <c r="L106" s="29">
        <v>0</v>
      </c>
      <c r="M106" s="30">
        <f t="shared" si="8"/>
        <v>360</v>
      </c>
      <c r="N106" s="26" t="s">
        <v>44</v>
      </c>
      <c r="Q106" s="42" t="s">
        <v>251</v>
      </c>
      <c r="R106" s="42" t="s">
        <v>27</v>
      </c>
      <c r="S106" s="57">
        <f t="shared" si="13"/>
        <v>45985</v>
      </c>
      <c r="T106" s="44" t="s">
        <v>15</v>
      </c>
      <c r="U106" s="43" t="s">
        <v>23</v>
      </c>
      <c r="V106" s="42" t="s">
        <v>24</v>
      </c>
      <c r="W106" s="45">
        <v>2</v>
      </c>
      <c r="X106" s="46">
        <v>180</v>
      </c>
      <c r="Y106" s="46">
        <v>0</v>
      </c>
      <c r="Z106" s="47">
        <f t="shared" si="9"/>
        <v>360</v>
      </c>
      <c r="AA106" s="48" t="s">
        <v>44</v>
      </c>
      <c r="AB106"/>
    </row>
    <row r="107" spans="1:28" x14ac:dyDescent="0.25">
      <c r="A107" s="31" t="s">
        <v>252</v>
      </c>
      <c r="B107" s="31" t="s">
        <v>37</v>
      </c>
      <c r="C107" s="32" t="str">
        <f t="shared" si="10"/>
        <v>Patricia Gomes</v>
      </c>
      <c r="D107" s="38" t="s">
        <v>253</v>
      </c>
      <c r="E107" s="33">
        <f t="shared" si="11"/>
        <v>45805</v>
      </c>
      <c r="F107" s="32" t="s">
        <v>22</v>
      </c>
      <c r="G107" s="32" t="str">
        <f t="shared" si="12"/>
        <v>Amanda Costa</v>
      </c>
      <c r="H107" s="32" t="s">
        <v>23</v>
      </c>
      <c r="I107" s="32" t="s">
        <v>24</v>
      </c>
      <c r="J107" s="34">
        <v>5</v>
      </c>
      <c r="K107" s="35">
        <v>180</v>
      </c>
      <c r="L107" s="35">
        <v>0</v>
      </c>
      <c r="M107" s="36">
        <f t="shared" si="8"/>
        <v>900</v>
      </c>
      <c r="N107" s="32" t="s">
        <v>25</v>
      </c>
      <c r="Q107" s="49" t="s">
        <v>252</v>
      </c>
      <c r="R107" s="49" t="s">
        <v>37</v>
      </c>
      <c r="S107" s="58">
        <f t="shared" si="13"/>
        <v>45805</v>
      </c>
      <c r="T107" s="51" t="s">
        <v>22</v>
      </c>
      <c r="U107" s="50" t="s">
        <v>23</v>
      </c>
      <c r="V107" s="52" t="s">
        <v>24</v>
      </c>
      <c r="W107" s="53">
        <v>5</v>
      </c>
      <c r="X107" s="54">
        <v>180</v>
      </c>
      <c r="Y107" s="54">
        <v>0</v>
      </c>
      <c r="Z107" s="55">
        <f t="shared" si="9"/>
        <v>900</v>
      </c>
      <c r="AA107" s="56" t="s">
        <v>25</v>
      </c>
      <c r="AB107"/>
    </row>
    <row r="108" spans="1:28" x14ac:dyDescent="0.25">
      <c r="A108" s="26" t="s">
        <v>254</v>
      </c>
      <c r="B108" s="26" t="s">
        <v>13</v>
      </c>
      <c r="C108" s="26" t="str">
        <f t="shared" si="10"/>
        <v>Lucas Almeida</v>
      </c>
      <c r="D108" s="37" t="s">
        <v>255</v>
      </c>
      <c r="E108" s="27">
        <f t="shared" si="11"/>
        <v>46035</v>
      </c>
      <c r="F108" s="26" t="s">
        <v>47</v>
      </c>
      <c r="G108" s="26" t="str">
        <f t="shared" si="12"/>
        <v>Bruno Martins</v>
      </c>
      <c r="H108" s="26" t="s">
        <v>30</v>
      </c>
      <c r="I108" s="26" t="s">
        <v>152</v>
      </c>
      <c r="J108" s="28">
        <v>4</v>
      </c>
      <c r="K108" s="29">
        <v>4500</v>
      </c>
      <c r="L108" s="29">
        <v>2053.6999999999998</v>
      </c>
      <c r="M108" s="30">
        <f t="shared" si="8"/>
        <v>15946.3</v>
      </c>
      <c r="N108" s="26" t="s">
        <v>18</v>
      </c>
      <c r="Q108" s="42" t="s">
        <v>254</v>
      </c>
      <c r="R108" s="42" t="s">
        <v>13</v>
      </c>
      <c r="S108" s="57">
        <f t="shared" si="13"/>
        <v>46035</v>
      </c>
      <c r="T108" s="44" t="s">
        <v>47</v>
      </c>
      <c r="U108" s="43" t="s">
        <v>30</v>
      </c>
      <c r="V108" s="42" t="s">
        <v>152</v>
      </c>
      <c r="W108" s="45">
        <v>4</v>
      </c>
      <c r="X108" s="46">
        <v>4500</v>
      </c>
      <c r="Y108" s="46">
        <v>2053.6999999999998</v>
      </c>
      <c r="Z108" s="47">
        <f t="shared" si="9"/>
        <v>15946.3</v>
      </c>
      <c r="AA108" s="48" t="s">
        <v>18</v>
      </c>
      <c r="AB108"/>
    </row>
    <row r="109" spans="1:28" x14ac:dyDescent="0.25">
      <c r="A109" s="31" t="s">
        <v>256</v>
      </c>
      <c r="B109" s="31" t="s">
        <v>41</v>
      </c>
      <c r="C109" s="32" t="str">
        <f t="shared" si="10"/>
        <v>João Pereira</v>
      </c>
      <c r="D109" s="38" t="s">
        <v>257</v>
      </c>
      <c r="E109" s="33">
        <f t="shared" si="11"/>
        <v>45816</v>
      </c>
      <c r="F109" s="32" t="s">
        <v>29</v>
      </c>
      <c r="G109" s="32" t="str">
        <f t="shared" si="12"/>
        <v>Camila Rocha</v>
      </c>
      <c r="H109" s="32" t="s">
        <v>16</v>
      </c>
      <c r="I109" s="32" t="s">
        <v>78</v>
      </c>
      <c r="J109" s="34">
        <v>5</v>
      </c>
      <c r="K109" s="35">
        <v>59</v>
      </c>
      <c r="L109" s="35">
        <v>0</v>
      </c>
      <c r="M109" s="36">
        <f t="shared" si="8"/>
        <v>295</v>
      </c>
      <c r="N109" s="32" t="s">
        <v>25</v>
      </c>
      <c r="Q109" s="49" t="s">
        <v>256</v>
      </c>
      <c r="R109" s="49" t="s">
        <v>41</v>
      </c>
      <c r="S109" s="58">
        <f t="shared" si="13"/>
        <v>45816</v>
      </c>
      <c r="T109" s="51" t="s">
        <v>29</v>
      </c>
      <c r="U109" s="50" t="s">
        <v>16</v>
      </c>
      <c r="V109" s="52" t="s">
        <v>78</v>
      </c>
      <c r="W109" s="53">
        <v>5</v>
      </c>
      <c r="X109" s="54">
        <v>59</v>
      </c>
      <c r="Y109" s="54">
        <v>0</v>
      </c>
      <c r="Z109" s="55">
        <f t="shared" si="9"/>
        <v>295</v>
      </c>
      <c r="AA109" s="56" t="s">
        <v>25</v>
      </c>
      <c r="AB109"/>
    </row>
    <row r="110" spans="1:28" x14ac:dyDescent="0.25">
      <c r="A110" s="26" t="s">
        <v>258</v>
      </c>
      <c r="B110" s="26" t="s">
        <v>27</v>
      </c>
      <c r="C110" s="26" t="str">
        <f t="shared" si="10"/>
        <v>Roberto Santos</v>
      </c>
      <c r="D110" s="37" t="s">
        <v>102</v>
      </c>
      <c r="E110" s="27">
        <f t="shared" si="11"/>
        <v>46055</v>
      </c>
      <c r="F110" s="26" t="s">
        <v>22</v>
      </c>
      <c r="G110" s="26" t="str">
        <f t="shared" si="12"/>
        <v>Amanda Costa</v>
      </c>
      <c r="H110" s="26" t="s">
        <v>52</v>
      </c>
      <c r="I110" s="26" t="s">
        <v>99</v>
      </c>
      <c r="J110" s="28">
        <v>3</v>
      </c>
      <c r="K110" s="29">
        <v>79</v>
      </c>
      <c r="L110" s="29">
        <v>23.94</v>
      </c>
      <c r="M110" s="30">
        <f t="shared" si="8"/>
        <v>213.06</v>
      </c>
      <c r="N110" s="26" t="s">
        <v>65</v>
      </c>
      <c r="Q110" s="42" t="s">
        <v>258</v>
      </c>
      <c r="R110" s="42" t="s">
        <v>27</v>
      </c>
      <c r="S110" s="57">
        <f t="shared" si="13"/>
        <v>46055</v>
      </c>
      <c r="T110" s="44" t="s">
        <v>22</v>
      </c>
      <c r="U110" s="43" t="s">
        <v>52</v>
      </c>
      <c r="V110" s="42" t="s">
        <v>99</v>
      </c>
      <c r="W110" s="45">
        <v>3</v>
      </c>
      <c r="X110" s="46">
        <v>79</v>
      </c>
      <c r="Y110" s="46">
        <v>23.94</v>
      </c>
      <c r="Z110" s="47">
        <f t="shared" si="9"/>
        <v>213.06</v>
      </c>
      <c r="AA110" s="48" t="s">
        <v>65</v>
      </c>
      <c r="AB110"/>
    </row>
    <row r="111" spans="1:28" x14ac:dyDescent="0.25">
      <c r="A111" s="31" t="s">
        <v>259</v>
      </c>
      <c r="B111" s="31" t="s">
        <v>63</v>
      </c>
      <c r="C111" s="32" t="str">
        <f t="shared" si="10"/>
        <v>Marcos Rodrigues</v>
      </c>
      <c r="D111" s="38" t="s">
        <v>260</v>
      </c>
      <c r="E111" s="33">
        <f t="shared" si="11"/>
        <v>45722</v>
      </c>
      <c r="F111" s="32" t="s">
        <v>39</v>
      </c>
      <c r="G111" s="32" t="str">
        <f t="shared" si="12"/>
        <v>Rodrigo Mello</v>
      </c>
      <c r="H111" s="32" t="s">
        <v>52</v>
      </c>
      <c r="I111" s="32" t="s">
        <v>53</v>
      </c>
      <c r="J111" s="34">
        <v>4</v>
      </c>
      <c r="K111" s="35">
        <v>149</v>
      </c>
      <c r="L111" s="35">
        <v>4.72</v>
      </c>
      <c r="M111" s="36">
        <f t="shared" si="8"/>
        <v>591.28</v>
      </c>
      <c r="N111" s="32" t="s">
        <v>89</v>
      </c>
      <c r="Q111" s="49" t="s">
        <v>259</v>
      </c>
      <c r="R111" s="49" t="s">
        <v>63</v>
      </c>
      <c r="S111" s="58">
        <f t="shared" si="13"/>
        <v>45722</v>
      </c>
      <c r="T111" s="51" t="s">
        <v>39</v>
      </c>
      <c r="U111" s="50" t="s">
        <v>52</v>
      </c>
      <c r="V111" s="52" t="s">
        <v>53</v>
      </c>
      <c r="W111" s="53">
        <v>4</v>
      </c>
      <c r="X111" s="54">
        <v>149</v>
      </c>
      <c r="Y111" s="54">
        <v>4.72</v>
      </c>
      <c r="Z111" s="55">
        <f t="shared" si="9"/>
        <v>591.28</v>
      </c>
      <c r="AA111" s="56" t="s">
        <v>89</v>
      </c>
      <c r="AB111"/>
    </row>
    <row r="112" spans="1:28" x14ac:dyDescent="0.25">
      <c r="A112" s="26" t="s">
        <v>261</v>
      </c>
      <c r="B112" s="26" t="s">
        <v>20</v>
      </c>
      <c r="C112" s="26" t="str">
        <f t="shared" si="10"/>
        <v>Beatriz Ribeiro</v>
      </c>
      <c r="D112" s="37" t="s">
        <v>46</v>
      </c>
      <c r="E112" s="27">
        <f t="shared" si="11"/>
        <v>45723</v>
      </c>
      <c r="F112" s="26" t="s">
        <v>15</v>
      </c>
      <c r="G112" s="26" t="str">
        <f t="shared" si="12"/>
        <v>Larissa Dias</v>
      </c>
      <c r="H112" s="26" t="s">
        <v>16</v>
      </c>
      <c r="I112" s="26" t="s">
        <v>116</v>
      </c>
      <c r="J112" s="28">
        <v>4</v>
      </c>
      <c r="K112" s="29">
        <v>45</v>
      </c>
      <c r="L112" s="29">
        <v>0</v>
      </c>
      <c r="M112" s="30">
        <f t="shared" si="8"/>
        <v>180</v>
      </c>
      <c r="N112" s="26" t="s">
        <v>18</v>
      </c>
      <c r="Q112" s="42" t="s">
        <v>261</v>
      </c>
      <c r="R112" s="42" t="s">
        <v>20</v>
      </c>
      <c r="S112" s="57">
        <f t="shared" si="13"/>
        <v>45723</v>
      </c>
      <c r="T112" s="44" t="s">
        <v>15</v>
      </c>
      <c r="U112" s="43" t="s">
        <v>16</v>
      </c>
      <c r="V112" s="42" t="s">
        <v>116</v>
      </c>
      <c r="W112" s="45">
        <v>4</v>
      </c>
      <c r="X112" s="46">
        <v>45</v>
      </c>
      <c r="Y112" s="46">
        <v>0</v>
      </c>
      <c r="Z112" s="47">
        <f t="shared" si="9"/>
        <v>180</v>
      </c>
      <c r="AA112" s="48" t="s">
        <v>18</v>
      </c>
      <c r="AB112"/>
    </row>
    <row r="113" spans="1:28" x14ac:dyDescent="0.25">
      <c r="A113" s="31" t="s">
        <v>262</v>
      </c>
      <c r="B113" s="31" t="s">
        <v>55</v>
      </c>
      <c r="C113" s="32" t="str">
        <f t="shared" si="10"/>
        <v>Ricardo Carvalho</v>
      </c>
      <c r="D113" s="38" t="s">
        <v>263</v>
      </c>
      <c r="E113" s="33">
        <f t="shared" si="11"/>
        <v>45684</v>
      </c>
      <c r="F113" s="32" t="s">
        <v>47</v>
      </c>
      <c r="G113" s="32" t="str">
        <f t="shared" si="12"/>
        <v>Bruno Martins</v>
      </c>
      <c r="H113" s="32" t="s">
        <v>52</v>
      </c>
      <c r="I113" s="32" t="s">
        <v>53</v>
      </c>
      <c r="J113" s="34">
        <v>4</v>
      </c>
      <c r="K113" s="35">
        <v>149</v>
      </c>
      <c r="L113" s="35">
        <v>50</v>
      </c>
      <c r="M113" s="36">
        <f t="shared" si="8"/>
        <v>546</v>
      </c>
      <c r="N113" s="32" t="s">
        <v>89</v>
      </c>
      <c r="Q113" s="49" t="s">
        <v>262</v>
      </c>
      <c r="R113" s="49" t="s">
        <v>55</v>
      </c>
      <c r="S113" s="58">
        <f t="shared" si="13"/>
        <v>45684</v>
      </c>
      <c r="T113" s="51" t="s">
        <v>47</v>
      </c>
      <c r="U113" s="50" t="s">
        <v>52</v>
      </c>
      <c r="V113" s="52" t="s">
        <v>53</v>
      </c>
      <c r="W113" s="53">
        <v>4</v>
      </c>
      <c r="X113" s="54">
        <v>149</v>
      </c>
      <c r="Y113" s="54">
        <v>50</v>
      </c>
      <c r="Z113" s="55">
        <f t="shared" si="9"/>
        <v>546</v>
      </c>
      <c r="AA113" s="56" t="s">
        <v>89</v>
      </c>
      <c r="AB113"/>
    </row>
    <row r="114" spans="1:28" x14ac:dyDescent="0.25">
      <c r="A114" s="26" t="s">
        <v>264</v>
      </c>
      <c r="B114" s="26" t="s">
        <v>71</v>
      </c>
      <c r="C114" s="26" t="str">
        <f t="shared" si="10"/>
        <v>Juliana Costa</v>
      </c>
      <c r="D114" s="37" t="s">
        <v>265</v>
      </c>
      <c r="E114" s="27">
        <f t="shared" si="11"/>
        <v>45703</v>
      </c>
      <c r="F114" s="26" t="s">
        <v>47</v>
      </c>
      <c r="G114" s="26" t="str">
        <f t="shared" si="12"/>
        <v>Bruno Martins</v>
      </c>
      <c r="H114" s="26" t="s">
        <v>52</v>
      </c>
      <c r="I114" s="26" t="s">
        <v>61</v>
      </c>
      <c r="J114" s="28">
        <v>3</v>
      </c>
      <c r="K114" s="29">
        <v>199</v>
      </c>
      <c r="L114" s="29">
        <v>17.41</v>
      </c>
      <c r="M114" s="30">
        <f t="shared" si="8"/>
        <v>579.59</v>
      </c>
      <c r="N114" s="26" t="s">
        <v>44</v>
      </c>
      <c r="Q114" s="42" t="s">
        <v>264</v>
      </c>
      <c r="R114" s="42" t="s">
        <v>71</v>
      </c>
      <c r="S114" s="57">
        <f t="shared" si="13"/>
        <v>45703</v>
      </c>
      <c r="T114" s="44" t="s">
        <v>47</v>
      </c>
      <c r="U114" s="43" t="s">
        <v>52</v>
      </c>
      <c r="V114" s="42" t="s">
        <v>61</v>
      </c>
      <c r="W114" s="45">
        <v>3</v>
      </c>
      <c r="X114" s="46">
        <v>199</v>
      </c>
      <c r="Y114" s="46">
        <v>17.41</v>
      </c>
      <c r="Z114" s="47">
        <f t="shared" si="9"/>
        <v>579.59</v>
      </c>
      <c r="AA114" s="48" t="s">
        <v>44</v>
      </c>
      <c r="AB114"/>
    </row>
    <row r="115" spans="1:28" x14ac:dyDescent="0.25">
      <c r="A115" s="31" t="s">
        <v>266</v>
      </c>
      <c r="B115" s="31" t="s">
        <v>95</v>
      </c>
      <c r="C115" s="32" t="str">
        <f t="shared" si="10"/>
        <v>Maria Oliveira</v>
      </c>
      <c r="D115" s="38" t="s">
        <v>267</v>
      </c>
      <c r="E115" s="33">
        <f t="shared" si="11"/>
        <v>45682</v>
      </c>
      <c r="F115" s="32" t="s">
        <v>15</v>
      </c>
      <c r="G115" s="32" t="str">
        <f t="shared" si="12"/>
        <v>Larissa Dias</v>
      </c>
      <c r="H115" s="32" t="s">
        <v>16</v>
      </c>
      <c r="I115" s="32" t="s">
        <v>103</v>
      </c>
      <c r="J115" s="34">
        <v>2</v>
      </c>
      <c r="K115" s="35">
        <v>89</v>
      </c>
      <c r="L115" s="35">
        <v>0</v>
      </c>
      <c r="M115" s="36">
        <f t="shared" si="8"/>
        <v>178</v>
      </c>
      <c r="N115" s="32" t="s">
        <v>65</v>
      </c>
      <c r="Q115" s="49" t="s">
        <v>266</v>
      </c>
      <c r="R115" s="49" t="s">
        <v>95</v>
      </c>
      <c r="S115" s="58">
        <f t="shared" si="13"/>
        <v>45682</v>
      </c>
      <c r="T115" s="51" t="s">
        <v>15</v>
      </c>
      <c r="U115" s="50" t="s">
        <v>16</v>
      </c>
      <c r="V115" s="52" t="s">
        <v>103</v>
      </c>
      <c r="W115" s="53">
        <v>2</v>
      </c>
      <c r="X115" s="54">
        <v>89</v>
      </c>
      <c r="Y115" s="54">
        <v>0</v>
      </c>
      <c r="Z115" s="55">
        <f t="shared" si="9"/>
        <v>178</v>
      </c>
      <c r="AA115" s="56" t="s">
        <v>65</v>
      </c>
      <c r="AB115"/>
    </row>
    <row r="116" spans="1:28" x14ac:dyDescent="0.25">
      <c r="A116" s="26" t="s">
        <v>268</v>
      </c>
      <c r="B116" s="26" t="s">
        <v>41</v>
      </c>
      <c r="C116" s="26" t="str">
        <f t="shared" si="10"/>
        <v>João Pereira</v>
      </c>
      <c r="D116" s="37" t="s">
        <v>269</v>
      </c>
      <c r="E116" s="27">
        <f t="shared" si="11"/>
        <v>45871</v>
      </c>
      <c r="F116" s="26" t="s">
        <v>39</v>
      </c>
      <c r="G116" s="26" t="str">
        <f t="shared" si="12"/>
        <v>Rodrigo Mello</v>
      </c>
      <c r="H116" s="26" t="s">
        <v>52</v>
      </c>
      <c r="I116" s="26" t="s">
        <v>75</v>
      </c>
      <c r="J116" s="28">
        <v>3</v>
      </c>
      <c r="K116" s="29">
        <v>249</v>
      </c>
      <c r="L116" s="29">
        <v>0</v>
      </c>
      <c r="M116" s="30">
        <f t="shared" si="8"/>
        <v>747</v>
      </c>
      <c r="N116" s="26" t="s">
        <v>25</v>
      </c>
      <c r="Q116" s="42" t="s">
        <v>268</v>
      </c>
      <c r="R116" s="42" t="s">
        <v>41</v>
      </c>
      <c r="S116" s="57">
        <f t="shared" si="13"/>
        <v>45871</v>
      </c>
      <c r="T116" s="44" t="s">
        <v>39</v>
      </c>
      <c r="U116" s="43" t="s">
        <v>52</v>
      </c>
      <c r="V116" s="42" t="s">
        <v>75</v>
      </c>
      <c r="W116" s="45">
        <v>3</v>
      </c>
      <c r="X116" s="46">
        <v>249</v>
      </c>
      <c r="Y116" s="46">
        <v>0</v>
      </c>
      <c r="Z116" s="47">
        <f t="shared" si="9"/>
        <v>747</v>
      </c>
      <c r="AA116" s="48" t="s">
        <v>25</v>
      </c>
      <c r="AB116"/>
    </row>
    <row r="117" spans="1:28" x14ac:dyDescent="0.25">
      <c r="A117" s="31" t="s">
        <v>270</v>
      </c>
      <c r="B117" s="31" t="s">
        <v>41</v>
      </c>
      <c r="C117" s="32" t="str">
        <f t="shared" si="10"/>
        <v>João Pereira</v>
      </c>
      <c r="D117" s="38" t="s">
        <v>271</v>
      </c>
      <c r="E117" s="33">
        <f t="shared" si="11"/>
        <v>45891</v>
      </c>
      <c r="F117" s="32" t="s">
        <v>22</v>
      </c>
      <c r="G117" s="32" t="str">
        <f t="shared" si="12"/>
        <v>Amanda Costa</v>
      </c>
      <c r="H117" s="32" t="s">
        <v>52</v>
      </c>
      <c r="I117" s="32" t="s">
        <v>53</v>
      </c>
      <c r="J117" s="34">
        <v>1</v>
      </c>
      <c r="K117" s="35">
        <v>149</v>
      </c>
      <c r="L117" s="35">
        <v>20.03</v>
      </c>
      <c r="M117" s="36">
        <f t="shared" si="8"/>
        <v>128.97</v>
      </c>
      <c r="N117" s="32" t="s">
        <v>89</v>
      </c>
      <c r="Q117" s="49" t="s">
        <v>270</v>
      </c>
      <c r="R117" s="49" t="s">
        <v>41</v>
      </c>
      <c r="S117" s="58">
        <f t="shared" si="13"/>
        <v>45891</v>
      </c>
      <c r="T117" s="51" t="s">
        <v>22</v>
      </c>
      <c r="U117" s="50" t="s">
        <v>52</v>
      </c>
      <c r="V117" s="52" t="s">
        <v>53</v>
      </c>
      <c r="W117" s="53">
        <v>1</v>
      </c>
      <c r="X117" s="54">
        <v>149</v>
      </c>
      <c r="Y117" s="54">
        <v>20.03</v>
      </c>
      <c r="Z117" s="55">
        <f t="shared" si="9"/>
        <v>128.97</v>
      </c>
      <c r="AA117" s="56" t="s">
        <v>89</v>
      </c>
      <c r="AB117"/>
    </row>
    <row r="118" spans="1:28" x14ac:dyDescent="0.25">
      <c r="A118" s="26" t="s">
        <v>272</v>
      </c>
      <c r="B118" s="26" t="s">
        <v>55</v>
      </c>
      <c r="C118" s="26" t="str">
        <f t="shared" si="10"/>
        <v>Ricardo Carvalho</v>
      </c>
      <c r="D118" s="37" t="s">
        <v>273</v>
      </c>
      <c r="E118" s="27">
        <f t="shared" si="11"/>
        <v>45777</v>
      </c>
      <c r="F118" s="26" t="s">
        <v>47</v>
      </c>
      <c r="G118" s="26" t="str">
        <f t="shared" si="12"/>
        <v>Bruno Martins</v>
      </c>
      <c r="H118" s="26" t="s">
        <v>30</v>
      </c>
      <c r="I118" s="26" t="s">
        <v>152</v>
      </c>
      <c r="J118" s="28">
        <v>3</v>
      </c>
      <c r="K118" s="29">
        <v>4500</v>
      </c>
      <c r="L118" s="29">
        <v>80.239999999999995</v>
      </c>
      <c r="M118" s="30">
        <f t="shared" si="8"/>
        <v>13419.76</v>
      </c>
      <c r="N118" s="26" t="s">
        <v>25</v>
      </c>
      <c r="Q118" s="42" t="s">
        <v>272</v>
      </c>
      <c r="R118" s="42" t="s">
        <v>55</v>
      </c>
      <c r="S118" s="57">
        <f t="shared" si="13"/>
        <v>45777</v>
      </c>
      <c r="T118" s="44" t="s">
        <v>47</v>
      </c>
      <c r="U118" s="43" t="s">
        <v>30</v>
      </c>
      <c r="V118" s="42" t="s">
        <v>152</v>
      </c>
      <c r="W118" s="45">
        <v>3</v>
      </c>
      <c r="X118" s="46">
        <v>4500</v>
      </c>
      <c r="Y118" s="46">
        <v>80.239999999999995</v>
      </c>
      <c r="Z118" s="47">
        <f t="shared" si="9"/>
        <v>13419.76</v>
      </c>
      <c r="AA118" s="48" t="s">
        <v>25</v>
      </c>
      <c r="AB118"/>
    </row>
    <row r="119" spans="1:28" x14ac:dyDescent="0.25">
      <c r="A119" s="31" t="s">
        <v>274</v>
      </c>
      <c r="B119" s="31" t="s">
        <v>55</v>
      </c>
      <c r="C119" s="32" t="str">
        <f t="shared" si="10"/>
        <v>Ricardo Carvalho</v>
      </c>
      <c r="D119" s="38" t="s">
        <v>275</v>
      </c>
      <c r="E119" s="33">
        <f t="shared" si="11"/>
        <v>45795</v>
      </c>
      <c r="F119" s="32" t="s">
        <v>29</v>
      </c>
      <c r="G119" s="32" t="str">
        <f t="shared" si="12"/>
        <v>Camila Rocha</v>
      </c>
      <c r="H119" s="32" t="s">
        <v>52</v>
      </c>
      <c r="I119" s="32" t="s">
        <v>53</v>
      </c>
      <c r="J119" s="34">
        <v>5</v>
      </c>
      <c r="K119" s="35">
        <v>149</v>
      </c>
      <c r="L119" s="35">
        <v>108.92</v>
      </c>
      <c r="M119" s="36">
        <f t="shared" si="8"/>
        <v>636.08000000000004</v>
      </c>
      <c r="N119" s="32" t="s">
        <v>89</v>
      </c>
      <c r="Q119" s="49" t="s">
        <v>274</v>
      </c>
      <c r="R119" s="49" t="s">
        <v>55</v>
      </c>
      <c r="S119" s="58">
        <f t="shared" si="13"/>
        <v>45795</v>
      </c>
      <c r="T119" s="51" t="s">
        <v>29</v>
      </c>
      <c r="U119" s="50" t="s">
        <v>52</v>
      </c>
      <c r="V119" s="52" t="s">
        <v>53</v>
      </c>
      <c r="W119" s="53">
        <v>5</v>
      </c>
      <c r="X119" s="54">
        <v>149</v>
      </c>
      <c r="Y119" s="54">
        <v>108.92</v>
      </c>
      <c r="Z119" s="55">
        <f t="shared" si="9"/>
        <v>636.08000000000004</v>
      </c>
      <c r="AA119" s="56" t="s">
        <v>89</v>
      </c>
      <c r="AB119"/>
    </row>
    <row r="120" spans="1:28" x14ac:dyDescent="0.25">
      <c r="A120" s="26" t="s">
        <v>276</v>
      </c>
      <c r="B120" s="26" t="s">
        <v>277</v>
      </c>
      <c r="C120" s="26" t="str">
        <f t="shared" si="10"/>
        <v>Carlos Silva</v>
      </c>
      <c r="D120" s="37" t="s">
        <v>278</v>
      </c>
      <c r="E120" s="27">
        <f t="shared" si="11"/>
        <v>45916</v>
      </c>
      <c r="F120" s="26" t="s">
        <v>29</v>
      </c>
      <c r="G120" s="26" t="str">
        <f t="shared" si="12"/>
        <v>Camila Rocha</v>
      </c>
      <c r="H120" s="26" t="s">
        <v>30</v>
      </c>
      <c r="I120" s="26" t="s">
        <v>152</v>
      </c>
      <c r="J120" s="28">
        <v>1</v>
      </c>
      <c r="K120" s="29">
        <v>4500</v>
      </c>
      <c r="L120" s="29">
        <v>0</v>
      </c>
      <c r="M120" s="30">
        <f t="shared" si="8"/>
        <v>4500</v>
      </c>
      <c r="N120" s="26" t="s">
        <v>69</v>
      </c>
      <c r="Q120" s="42" t="s">
        <v>276</v>
      </c>
      <c r="R120" s="42" t="s">
        <v>34</v>
      </c>
      <c r="S120" s="57">
        <f t="shared" si="13"/>
        <v>45916</v>
      </c>
      <c r="T120" s="44" t="s">
        <v>29</v>
      </c>
      <c r="U120" s="43" t="s">
        <v>30</v>
      </c>
      <c r="V120" s="42" t="s">
        <v>152</v>
      </c>
      <c r="W120" s="45">
        <v>1</v>
      </c>
      <c r="X120" s="46">
        <v>4500</v>
      </c>
      <c r="Y120" s="46">
        <v>0</v>
      </c>
      <c r="Z120" s="47">
        <f t="shared" si="9"/>
        <v>4500</v>
      </c>
      <c r="AA120" s="48" t="s">
        <v>69</v>
      </c>
      <c r="AB120"/>
    </row>
    <row r="121" spans="1:28" x14ac:dyDescent="0.25">
      <c r="A121" s="31" t="s">
        <v>279</v>
      </c>
      <c r="B121" s="31" t="s">
        <v>37</v>
      </c>
      <c r="C121" s="32" t="str">
        <f t="shared" si="10"/>
        <v>Patricia Gomes</v>
      </c>
      <c r="D121" s="38" t="s">
        <v>280</v>
      </c>
      <c r="E121" s="33">
        <f t="shared" si="11"/>
        <v>45893</v>
      </c>
      <c r="F121" s="32" t="s">
        <v>39</v>
      </c>
      <c r="G121" s="32" t="str">
        <f t="shared" si="12"/>
        <v>Rodrigo Mello</v>
      </c>
      <c r="H121" s="32" t="s">
        <v>23</v>
      </c>
      <c r="I121" s="32" t="s">
        <v>24</v>
      </c>
      <c r="J121" s="34">
        <v>5</v>
      </c>
      <c r="K121" s="35">
        <v>180</v>
      </c>
      <c r="L121" s="35">
        <v>0</v>
      </c>
      <c r="M121" s="36">
        <f t="shared" si="8"/>
        <v>900</v>
      </c>
      <c r="N121" s="32" t="s">
        <v>89</v>
      </c>
      <c r="Q121" s="49" t="s">
        <v>279</v>
      </c>
      <c r="R121" s="49" t="s">
        <v>37</v>
      </c>
      <c r="S121" s="58">
        <f t="shared" si="13"/>
        <v>45893</v>
      </c>
      <c r="T121" s="51" t="s">
        <v>39</v>
      </c>
      <c r="U121" s="50" t="s">
        <v>23</v>
      </c>
      <c r="V121" s="52" t="s">
        <v>24</v>
      </c>
      <c r="W121" s="53">
        <v>5</v>
      </c>
      <c r="X121" s="54">
        <v>180</v>
      </c>
      <c r="Y121" s="54">
        <v>0</v>
      </c>
      <c r="Z121" s="55">
        <f t="shared" si="9"/>
        <v>900</v>
      </c>
      <c r="AA121" s="56" t="s">
        <v>89</v>
      </c>
      <c r="AB121"/>
    </row>
    <row r="122" spans="1:28" x14ac:dyDescent="0.25">
      <c r="A122" s="26" t="s">
        <v>281</v>
      </c>
      <c r="B122" s="26" t="s">
        <v>34</v>
      </c>
      <c r="C122" s="26" t="str">
        <f t="shared" si="10"/>
        <v>Carlos Silva</v>
      </c>
      <c r="D122" s="37" t="s">
        <v>282</v>
      </c>
      <c r="E122" s="27">
        <f t="shared" si="11"/>
        <v>45984</v>
      </c>
      <c r="F122" s="26" t="s">
        <v>39</v>
      </c>
      <c r="G122" s="26" t="str">
        <f t="shared" si="12"/>
        <v>Rodrigo Mello</v>
      </c>
      <c r="H122" s="26" t="s">
        <v>30</v>
      </c>
      <c r="I122" s="26" t="s">
        <v>152</v>
      </c>
      <c r="J122" s="28">
        <v>1</v>
      </c>
      <c r="K122" s="29">
        <v>4500</v>
      </c>
      <c r="L122" s="29">
        <v>0</v>
      </c>
      <c r="M122" s="30">
        <f t="shared" si="8"/>
        <v>4500</v>
      </c>
      <c r="N122" s="26" t="s">
        <v>18</v>
      </c>
      <c r="Q122" s="42" t="s">
        <v>281</v>
      </c>
      <c r="R122" s="42" t="s">
        <v>34</v>
      </c>
      <c r="S122" s="57">
        <f t="shared" si="13"/>
        <v>45984</v>
      </c>
      <c r="T122" s="44" t="s">
        <v>39</v>
      </c>
      <c r="U122" s="43" t="s">
        <v>30</v>
      </c>
      <c r="V122" s="42" t="s">
        <v>152</v>
      </c>
      <c r="W122" s="45">
        <v>1</v>
      </c>
      <c r="X122" s="46">
        <v>4500</v>
      </c>
      <c r="Y122" s="46">
        <v>0</v>
      </c>
      <c r="Z122" s="47">
        <f t="shared" si="9"/>
        <v>4500</v>
      </c>
      <c r="AA122" s="48" t="s">
        <v>18</v>
      </c>
      <c r="AB122"/>
    </row>
    <row r="123" spans="1:28" x14ac:dyDescent="0.25">
      <c r="A123" s="31" t="s">
        <v>283</v>
      </c>
      <c r="B123" s="31" t="s">
        <v>71</v>
      </c>
      <c r="C123" s="32" t="str">
        <f t="shared" si="10"/>
        <v>Juliana Costa</v>
      </c>
      <c r="D123" s="38" t="s">
        <v>284</v>
      </c>
      <c r="E123" s="33">
        <f t="shared" si="11"/>
        <v>46032</v>
      </c>
      <c r="F123" s="32" t="s">
        <v>22</v>
      </c>
      <c r="G123" s="32" t="str">
        <f t="shared" si="12"/>
        <v>Amanda Costa</v>
      </c>
      <c r="H123" s="32" t="s">
        <v>30</v>
      </c>
      <c r="I123" s="32" t="s">
        <v>152</v>
      </c>
      <c r="J123" s="34">
        <v>4</v>
      </c>
      <c r="K123" s="35">
        <v>4500</v>
      </c>
      <c r="L123" s="35">
        <v>0</v>
      </c>
      <c r="M123" s="36">
        <f t="shared" si="8"/>
        <v>18000</v>
      </c>
      <c r="N123" s="32" t="s">
        <v>32</v>
      </c>
      <c r="Q123" s="49" t="s">
        <v>283</v>
      </c>
      <c r="R123" s="49" t="s">
        <v>71</v>
      </c>
      <c r="S123" s="58">
        <f t="shared" si="13"/>
        <v>46032</v>
      </c>
      <c r="T123" s="51" t="s">
        <v>22</v>
      </c>
      <c r="U123" s="50" t="s">
        <v>30</v>
      </c>
      <c r="V123" s="52" t="s">
        <v>152</v>
      </c>
      <c r="W123" s="53">
        <v>4</v>
      </c>
      <c r="X123" s="54">
        <v>4500</v>
      </c>
      <c r="Y123" s="54">
        <v>0</v>
      </c>
      <c r="Z123" s="55">
        <f t="shared" si="9"/>
        <v>18000</v>
      </c>
      <c r="AA123" s="56" t="s">
        <v>32</v>
      </c>
      <c r="AB123"/>
    </row>
    <row r="124" spans="1:28" x14ac:dyDescent="0.25">
      <c r="A124" s="26" t="s">
        <v>285</v>
      </c>
      <c r="B124" s="26" t="s">
        <v>55</v>
      </c>
      <c r="C124" s="26" t="str">
        <f t="shared" si="10"/>
        <v>Ricardo Carvalho</v>
      </c>
      <c r="D124" s="37" t="s">
        <v>286</v>
      </c>
      <c r="E124" s="27">
        <f t="shared" si="11"/>
        <v>45712</v>
      </c>
      <c r="F124" s="26" t="s">
        <v>47</v>
      </c>
      <c r="G124" s="26" t="str">
        <f t="shared" si="12"/>
        <v>Bruno Martins</v>
      </c>
      <c r="H124" s="26" t="s">
        <v>16</v>
      </c>
      <c r="I124" s="26" t="s">
        <v>78</v>
      </c>
      <c r="J124" s="28">
        <v>4</v>
      </c>
      <c r="K124" s="29">
        <v>59</v>
      </c>
      <c r="L124" s="29">
        <v>19.7</v>
      </c>
      <c r="M124" s="30">
        <f t="shared" si="8"/>
        <v>216.3</v>
      </c>
      <c r="N124" s="26" t="s">
        <v>89</v>
      </c>
      <c r="Q124" s="42" t="s">
        <v>285</v>
      </c>
      <c r="R124" s="42" t="s">
        <v>55</v>
      </c>
      <c r="S124" s="57">
        <f t="shared" si="13"/>
        <v>45712</v>
      </c>
      <c r="T124" s="44" t="s">
        <v>47</v>
      </c>
      <c r="U124" s="43" t="s">
        <v>16</v>
      </c>
      <c r="V124" s="42" t="s">
        <v>78</v>
      </c>
      <c r="W124" s="45">
        <v>4</v>
      </c>
      <c r="X124" s="46">
        <v>59</v>
      </c>
      <c r="Y124" s="46">
        <v>19.7</v>
      </c>
      <c r="Z124" s="47">
        <f t="shared" si="9"/>
        <v>216.3</v>
      </c>
      <c r="AA124" s="48" t="s">
        <v>89</v>
      </c>
      <c r="AB124"/>
    </row>
    <row r="125" spans="1:28" x14ac:dyDescent="0.25">
      <c r="A125" s="31" t="s">
        <v>287</v>
      </c>
      <c r="B125" s="31" t="s">
        <v>101</v>
      </c>
      <c r="C125" s="32" t="str">
        <f t="shared" si="10"/>
        <v>Ana Souza</v>
      </c>
      <c r="D125" s="38" t="s">
        <v>288</v>
      </c>
      <c r="E125" s="33">
        <f t="shared" si="11"/>
        <v>45744</v>
      </c>
      <c r="F125" s="32" t="s">
        <v>47</v>
      </c>
      <c r="G125" s="32" t="str">
        <f t="shared" si="12"/>
        <v>Bruno Martins</v>
      </c>
      <c r="H125" s="32" t="s">
        <v>23</v>
      </c>
      <c r="I125" s="32" t="s">
        <v>88</v>
      </c>
      <c r="J125" s="34">
        <v>4</v>
      </c>
      <c r="K125" s="35">
        <v>650</v>
      </c>
      <c r="L125" s="35">
        <v>376.18</v>
      </c>
      <c r="M125" s="36">
        <f t="shared" si="8"/>
        <v>2223.8200000000002</v>
      </c>
      <c r="N125" s="32" t="s">
        <v>44</v>
      </c>
      <c r="Q125" s="49" t="s">
        <v>287</v>
      </c>
      <c r="R125" s="49" t="s">
        <v>101</v>
      </c>
      <c r="S125" s="58">
        <f t="shared" si="13"/>
        <v>45744</v>
      </c>
      <c r="T125" s="51" t="s">
        <v>47</v>
      </c>
      <c r="U125" s="50" t="s">
        <v>23</v>
      </c>
      <c r="V125" s="52" t="s">
        <v>88</v>
      </c>
      <c r="W125" s="53">
        <v>4</v>
      </c>
      <c r="X125" s="54">
        <v>650</v>
      </c>
      <c r="Y125" s="54">
        <v>376.18</v>
      </c>
      <c r="Z125" s="55">
        <f t="shared" si="9"/>
        <v>2223.8200000000002</v>
      </c>
      <c r="AA125" s="56" t="s">
        <v>44</v>
      </c>
      <c r="AB125"/>
    </row>
    <row r="126" spans="1:28" x14ac:dyDescent="0.25">
      <c r="A126" s="26" t="s">
        <v>289</v>
      </c>
      <c r="B126" s="26" t="s">
        <v>20</v>
      </c>
      <c r="C126" s="26" t="str">
        <f t="shared" si="10"/>
        <v>Beatriz Ribeiro</v>
      </c>
      <c r="D126" s="37" t="s">
        <v>290</v>
      </c>
      <c r="E126" s="27">
        <f t="shared" si="11"/>
        <v>45884</v>
      </c>
      <c r="F126" s="26" t="s">
        <v>39</v>
      </c>
      <c r="G126" s="26" t="str">
        <f t="shared" si="12"/>
        <v>Rodrigo Mello</v>
      </c>
      <c r="H126" s="26" t="s">
        <v>30</v>
      </c>
      <c r="I126" s="26" t="s">
        <v>106</v>
      </c>
      <c r="J126" s="28">
        <v>4</v>
      </c>
      <c r="K126" s="29">
        <v>299</v>
      </c>
      <c r="L126" s="29">
        <v>157.84</v>
      </c>
      <c r="M126" s="30">
        <f t="shared" si="8"/>
        <v>1038.1600000000001</v>
      </c>
      <c r="N126" s="26" t="s">
        <v>44</v>
      </c>
      <c r="Q126" s="42" t="s">
        <v>289</v>
      </c>
      <c r="R126" s="42" t="s">
        <v>20</v>
      </c>
      <c r="S126" s="57">
        <f t="shared" si="13"/>
        <v>45884</v>
      </c>
      <c r="T126" s="44" t="s">
        <v>39</v>
      </c>
      <c r="U126" s="43" t="s">
        <v>30</v>
      </c>
      <c r="V126" s="42" t="s">
        <v>106</v>
      </c>
      <c r="W126" s="45">
        <v>4</v>
      </c>
      <c r="X126" s="46">
        <v>299</v>
      </c>
      <c r="Y126" s="46">
        <v>157.84</v>
      </c>
      <c r="Z126" s="47">
        <f t="shared" si="9"/>
        <v>1038.1600000000001</v>
      </c>
      <c r="AA126" s="48" t="s">
        <v>44</v>
      </c>
      <c r="AB126"/>
    </row>
    <row r="127" spans="1:28" x14ac:dyDescent="0.25">
      <c r="A127" s="31" t="s">
        <v>291</v>
      </c>
      <c r="B127" s="31" t="s">
        <v>95</v>
      </c>
      <c r="C127" s="32" t="str">
        <f t="shared" si="10"/>
        <v>Maria Oliveira</v>
      </c>
      <c r="D127" s="38" t="s">
        <v>292</v>
      </c>
      <c r="E127" s="33">
        <f t="shared" si="11"/>
        <v>45785</v>
      </c>
      <c r="F127" s="32" t="s">
        <v>29</v>
      </c>
      <c r="G127" s="32" t="str">
        <f t="shared" si="12"/>
        <v>Camila Rocha</v>
      </c>
      <c r="H127" s="32" t="s">
        <v>23</v>
      </c>
      <c r="I127" s="32" t="s">
        <v>24</v>
      </c>
      <c r="J127" s="34">
        <v>4</v>
      </c>
      <c r="K127" s="35">
        <v>180</v>
      </c>
      <c r="L127" s="35">
        <v>0</v>
      </c>
      <c r="M127" s="36">
        <f t="shared" si="8"/>
        <v>720</v>
      </c>
      <c r="N127" s="32" t="s">
        <v>69</v>
      </c>
      <c r="Q127" s="49" t="s">
        <v>291</v>
      </c>
      <c r="R127" s="49" t="s">
        <v>95</v>
      </c>
      <c r="S127" s="58">
        <f t="shared" si="13"/>
        <v>45785</v>
      </c>
      <c r="T127" s="51" t="s">
        <v>29</v>
      </c>
      <c r="U127" s="50" t="s">
        <v>23</v>
      </c>
      <c r="V127" s="52" t="s">
        <v>24</v>
      </c>
      <c r="W127" s="53">
        <v>4</v>
      </c>
      <c r="X127" s="54">
        <v>180</v>
      </c>
      <c r="Y127" s="54">
        <v>0</v>
      </c>
      <c r="Z127" s="55">
        <f t="shared" si="9"/>
        <v>720</v>
      </c>
      <c r="AA127" s="56" t="s">
        <v>69</v>
      </c>
      <c r="AB127"/>
    </row>
    <row r="128" spans="1:28" x14ac:dyDescent="0.25">
      <c r="A128" s="26" t="s">
        <v>293</v>
      </c>
      <c r="B128" s="26" t="s">
        <v>34</v>
      </c>
      <c r="C128" s="26" t="str">
        <f t="shared" si="10"/>
        <v>Carlos Silva</v>
      </c>
      <c r="D128" s="37" t="s">
        <v>294</v>
      </c>
      <c r="E128" s="27">
        <f t="shared" si="11"/>
        <v>45999</v>
      </c>
      <c r="F128" s="26" t="s">
        <v>29</v>
      </c>
      <c r="G128" s="26" t="str">
        <f t="shared" si="12"/>
        <v>Camila Rocha</v>
      </c>
      <c r="H128" s="26" t="s">
        <v>23</v>
      </c>
      <c r="I128" s="26" t="s">
        <v>48</v>
      </c>
      <c r="J128" s="28">
        <v>3</v>
      </c>
      <c r="K128" s="29">
        <v>450</v>
      </c>
      <c r="L128" s="29">
        <v>0</v>
      </c>
      <c r="M128" s="30">
        <f t="shared" si="8"/>
        <v>1350</v>
      </c>
      <c r="N128" s="26" t="s">
        <v>69</v>
      </c>
      <c r="Q128" s="42" t="s">
        <v>293</v>
      </c>
      <c r="R128" s="42" t="s">
        <v>34</v>
      </c>
      <c r="S128" s="57">
        <f t="shared" si="13"/>
        <v>45999</v>
      </c>
      <c r="T128" s="44" t="s">
        <v>29</v>
      </c>
      <c r="U128" s="43" t="s">
        <v>23</v>
      </c>
      <c r="V128" s="42" t="s">
        <v>48</v>
      </c>
      <c r="W128" s="45">
        <v>3</v>
      </c>
      <c r="X128" s="46">
        <v>450</v>
      </c>
      <c r="Y128" s="46">
        <v>0</v>
      </c>
      <c r="Z128" s="47">
        <f t="shared" si="9"/>
        <v>1350</v>
      </c>
      <c r="AA128" s="48" t="s">
        <v>69</v>
      </c>
      <c r="AB128"/>
    </row>
    <row r="129" spans="1:28" x14ac:dyDescent="0.25">
      <c r="A129" s="31" t="s">
        <v>295</v>
      </c>
      <c r="B129" s="31" t="s">
        <v>71</v>
      </c>
      <c r="C129" s="32" t="str">
        <f t="shared" si="10"/>
        <v>Juliana Costa</v>
      </c>
      <c r="D129" s="38" t="s">
        <v>296</v>
      </c>
      <c r="E129" s="33">
        <f t="shared" si="11"/>
        <v>46041</v>
      </c>
      <c r="F129" s="32" t="s">
        <v>47</v>
      </c>
      <c r="G129" s="32" t="str">
        <f t="shared" si="12"/>
        <v>Bruno Martins</v>
      </c>
      <c r="H129" s="32" t="s">
        <v>16</v>
      </c>
      <c r="I129" s="32" t="s">
        <v>78</v>
      </c>
      <c r="J129" s="34">
        <v>1</v>
      </c>
      <c r="K129" s="35">
        <v>59</v>
      </c>
      <c r="L129" s="35">
        <v>0</v>
      </c>
      <c r="M129" s="36">
        <f t="shared" ref="M129:M149" si="14">(J129*K129)-L129</f>
        <v>59</v>
      </c>
      <c r="N129" s="32" t="s">
        <v>18</v>
      </c>
      <c r="Q129" s="49" t="s">
        <v>295</v>
      </c>
      <c r="R129" s="49" t="s">
        <v>71</v>
      </c>
      <c r="S129" s="58">
        <f t="shared" si="13"/>
        <v>46041</v>
      </c>
      <c r="T129" s="51" t="s">
        <v>47</v>
      </c>
      <c r="U129" s="50" t="s">
        <v>16</v>
      </c>
      <c r="V129" s="52" t="s">
        <v>78</v>
      </c>
      <c r="W129" s="53">
        <v>1</v>
      </c>
      <c r="X129" s="54">
        <v>59</v>
      </c>
      <c r="Y129" s="54">
        <v>0</v>
      </c>
      <c r="Z129" s="55">
        <f t="shared" ref="Z129:Z149" si="15">(W129*X129)-Y129</f>
        <v>59</v>
      </c>
      <c r="AA129" s="56" t="s">
        <v>18</v>
      </c>
      <c r="AB129"/>
    </row>
    <row r="130" spans="1:28" x14ac:dyDescent="0.25">
      <c r="A130" s="26" t="s">
        <v>297</v>
      </c>
      <c r="B130" s="26" t="s">
        <v>27</v>
      </c>
      <c r="C130" s="26" t="str">
        <f t="shared" si="10"/>
        <v>Roberto Santos</v>
      </c>
      <c r="D130" s="37" t="s">
        <v>298</v>
      </c>
      <c r="E130" s="27">
        <f t="shared" si="11"/>
        <v>45697</v>
      </c>
      <c r="F130" s="26" t="s">
        <v>29</v>
      </c>
      <c r="G130" s="26" t="str">
        <f t="shared" si="12"/>
        <v>Camila Rocha</v>
      </c>
      <c r="H130" s="26" t="s">
        <v>52</v>
      </c>
      <c r="I130" s="26" t="s">
        <v>61</v>
      </c>
      <c r="J130" s="28">
        <v>5</v>
      </c>
      <c r="K130" s="29">
        <v>199</v>
      </c>
      <c r="L130" s="29">
        <v>0</v>
      </c>
      <c r="M130" s="30">
        <f t="shared" si="14"/>
        <v>995</v>
      </c>
      <c r="N130" s="26" t="s">
        <v>65</v>
      </c>
      <c r="Q130" s="42" t="s">
        <v>297</v>
      </c>
      <c r="R130" s="42" t="s">
        <v>27</v>
      </c>
      <c r="S130" s="57">
        <f t="shared" si="13"/>
        <v>45697</v>
      </c>
      <c r="T130" s="44" t="s">
        <v>29</v>
      </c>
      <c r="U130" s="43" t="s">
        <v>52</v>
      </c>
      <c r="V130" s="42" t="s">
        <v>61</v>
      </c>
      <c r="W130" s="45">
        <v>5</v>
      </c>
      <c r="X130" s="46">
        <v>199</v>
      </c>
      <c r="Y130" s="46">
        <v>0</v>
      </c>
      <c r="Z130" s="47">
        <f t="shared" si="15"/>
        <v>995</v>
      </c>
      <c r="AA130" s="48" t="s">
        <v>65</v>
      </c>
      <c r="AB130"/>
    </row>
    <row r="131" spans="1:28" x14ac:dyDescent="0.25">
      <c r="A131" s="31" t="s">
        <v>299</v>
      </c>
      <c r="B131" s="31" t="s">
        <v>27</v>
      </c>
      <c r="C131" s="32" t="str">
        <f t="shared" ref="C131:C194" si="16">SUBSTITUTE(SUBSTITUTE(SUBSTITUTE(SUBSTITUTE(PROPER(B131)," Da "," ")," De "," ")," Do "," ")," Dos "," ")</f>
        <v>Roberto Santos</v>
      </c>
      <c r="D131" s="38" t="s">
        <v>28</v>
      </c>
      <c r="E131" s="33">
        <f t="shared" ref="E131:E194" si="17">DATEVALUE(D131)</f>
        <v>45901</v>
      </c>
      <c r="F131" s="32" t="s">
        <v>22</v>
      </c>
      <c r="G131" s="32" t="str">
        <f t="shared" ref="G131:G194" si="18">SUBSTITUTE(SUBSTITUTE(SUBSTITUTE(SUBSTITUTE(PROPER(F131)," Da "," ")," De "," ")," Do "," ")," Dos "," ")</f>
        <v>Amanda Costa</v>
      </c>
      <c r="H131" s="32" t="s">
        <v>52</v>
      </c>
      <c r="I131" s="32" t="s">
        <v>61</v>
      </c>
      <c r="J131" s="34">
        <v>5</v>
      </c>
      <c r="K131" s="35">
        <v>199</v>
      </c>
      <c r="L131" s="35">
        <v>0</v>
      </c>
      <c r="M131" s="36">
        <f t="shared" si="14"/>
        <v>995</v>
      </c>
      <c r="N131" s="32" t="s">
        <v>65</v>
      </c>
      <c r="Q131" s="49" t="s">
        <v>299</v>
      </c>
      <c r="R131" s="49" t="s">
        <v>27</v>
      </c>
      <c r="S131" s="58">
        <f t="shared" si="13"/>
        <v>45901</v>
      </c>
      <c r="T131" s="51" t="s">
        <v>22</v>
      </c>
      <c r="U131" s="50" t="s">
        <v>52</v>
      </c>
      <c r="V131" s="52" t="s">
        <v>61</v>
      </c>
      <c r="W131" s="53">
        <v>5</v>
      </c>
      <c r="X131" s="54">
        <v>199</v>
      </c>
      <c r="Y131" s="54">
        <v>0</v>
      </c>
      <c r="Z131" s="55">
        <f t="shared" si="15"/>
        <v>995</v>
      </c>
      <c r="AA131" s="56" t="s">
        <v>65</v>
      </c>
      <c r="AB131"/>
    </row>
    <row r="132" spans="1:28" x14ac:dyDescent="0.25">
      <c r="A132" s="26" t="s">
        <v>300</v>
      </c>
      <c r="B132" s="26" t="s">
        <v>101</v>
      </c>
      <c r="C132" s="26" t="str">
        <f t="shared" si="16"/>
        <v>Ana Souza</v>
      </c>
      <c r="D132" s="37" t="s">
        <v>301</v>
      </c>
      <c r="E132" s="27">
        <f t="shared" si="17"/>
        <v>45732</v>
      </c>
      <c r="F132" s="26" t="s">
        <v>39</v>
      </c>
      <c r="G132" s="26" t="str">
        <f t="shared" si="18"/>
        <v>Rodrigo Mello</v>
      </c>
      <c r="H132" s="26" t="s">
        <v>23</v>
      </c>
      <c r="I132" s="26" t="s">
        <v>24</v>
      </c>
      <c r="J132" s="28">
        <v>2</v>
      </c>
      <c r="K132" s="29">
        <v>180</v>
      </c>
      <c r="L132" s="29">
        <v>0</v>
      </c>
      <c r="M132" s="30">
        <f t="shared" si="14"/>
        <v>360</v>
      </c>
      <c r="N132" s="26" t="s">
        <v>89</v>
      </c>
      <c r="Q132" s="42" t="s">
        <v>300</v>
      </c>
      <c r="R132" s="42" t="s">
        <v>101</v>
      </c>
      <c r="S132" s="57">
        <f t="shared" si="13"/>
        <v>45732</v>
      </c>
      <c r="T132" s="44" t="s">
        <v>39</v>
      </c>
      <c r="U132" s="43" t="s">
        <v>23</v>
      </c>
      <c r="V132" s="42" t="s">
        <v>24</v>
      </c>
      <c r="W132" s="45">
        <v>2</v>
      </c>
      <c r="X132" s="46">
        <v>180</v>
      </c>
      <c r="Y132" s="46">
        <v>0</v>
      </c>
      <c r="Z132" s="47">
        <f t="shared" si="15"/>
        <v>360</v>
      </c>
      <c r="AA132" s="48" t="s">
        <v>89</v>
      </c>
      <c r="AB132"/>
    </row>
    <row r="133" spans="1:28" x14ac:dyDescent="0.25">
      <c r="A133" s="31" t="s">
        <v>302</v>
      </c>
      <c r="B133" s="31" t="s">
        <v>110</v>
      </c>
      <c r="C133" s="32" t="str">
        <f t="shared" si="16"/>
        <v>Fernanda Lima</v>
      </c>
      <c r="D133" s="38" t="s">
        <v>241</v>
      </c>
      <c r="E133" s="33">
        <f t="shared" si="17"/>
        <v>45724</v>
      </c>
      <c r="F133" s="32" t="s">
        <v>47</v>
      </c>
      <c r="G133" s="32" t="str">
        <f t="shared" si="18"/>
        <v>Bruno Martins</v>
      </c>
      <c r="H133" s="32" t="s">
        <v>30</v>
      </c>
      <c r="I133" s="32" t="s">
        <v>31</v>
      </c>
      <c r="J133" s="34">
        <v>4</v>
      </c>
      <c r="K133" s="35">
        <v>2500</v>
      </c>
      <c r="L133" s="35">
        <v>1423.65</v>
      </c>
      <c r="M133" s="36">
        <f t="shared" si="14"/>
        <v>8576.35</v>
      </c>
      <c r="N133" s="32" t="s">
        <v>69</v>
      </c>
      <c r="Q133" s="49" t="s">
        <v>302</v>
      </c>
      <c r="R133" s="49" t="s">
        <v>110</v>
      </c>
      <c r="S133" s="58">
        <f t="shared" si="13"/>
        <v>45724</v>
      </c>
      <c r="T133" s="51" t="s">
        <v>47</v>
      </c>
      <c r="U133" s="50" t="s">
        <v>30</v>
      </c>
      <c r="V133" s="52" t="s">
        <v>31</v>
      </c>
      <c r="W133" s="53">
        <v>4</v>
      </c>
      <c r="X133" s="54">
        <v>2500</v>
      </c>
      <c r="Y133" s="54">
        <v>1423.65</v>
      </c>
      <c r="Z133" s="55">
        <f t="shared" si="15"/>
        <v>8576.35</v>
      </c>
      <c r="AA133" s="56" t="s">
        <v>69</v>
      </c>
      <c r="AB133"/>
    </row>
    <row r="134" spans="1:28" x14ac:dyDescent="0.25">
      <c r="A134" s="26" t="s">
        <v>303</v>
      </c>
      <c r="B134" s="26" t="s">
        <v>27</v>
      </c>
      <c r="C134" s="26" t="str">
        <f t="shared" si="16"/>
        <v>Roberto Santos</v>
      </c>
      <c r="D134" s="37" t="s">
        <v>304</v>
      </c>
      <c r="E134" s="27">
        <f t="shared" si="17"/>
        <v>46016</v>
      </c>
      <c r="F134" s="26" t="s">
        <v>47</v>
      </c>
      <c r="G134" s="26" t="str">
        <f t="shared" si="18"/>
        <v>Bruno Martins</v>
      </c>
      <c r="H134" s="26" t="s">
        <v>52</v>
      </c>
      <c r="I134" s="26" t="s">
        <v>99</v>
      </c>
      <c r="J134" s="28">
        <v>2</v>
      </c>
      <c r="K134" s="29">
        <v>79</v>
      </c>
      <c r="L134" s="29">
        <v>0</v>
      </c>
      <c r="M134" s="30">
        <f t="shared" si="14"/>
        <v>158</v>
      </c>
      <c r="N134" s="26" t="s">
        <v>49</v>
      </c>
      <c r="Q134" s="42" t="s">
        <v>303</v>
      </c>
      <c r="R134" s="42" t="s">
        <v>27</v>
      </c>
      <c r="S134" s="57">
        <f t="shared" ref="S134:S197" si="19">DATEVALUE(D134)</f>
        <v>46016</v>
      </c>
      <c r="T134" s="44" t="s">
        <v>47</v>
      </c>
      <c r="U134" s="43" t="s">
        <v>52</v>
      </c>
      <c r="V134" s="42" t="s">
        <v>99</v>
      </c>
      <c r="W134" s="45">
        <v>2</v>
      </c>
      <c r="X134" s="46">
        <v>79</v>
      </c>
      <c r="Y134" s="46">
        <v>0</v>
      </c>
      <c r="Z134" s="47">
        <f t="shared" si="15"/>
        <v>158</v>
      </c>
      <c r="AA134" s="48" t="s">
        <v>49</v>
      </c>
      <c r="AB134"/>
    </row>
    <row r="135" spans="1:28" x14ac:dyDescent="0.25">
      <c r="A135" s="31" t="s">
        <v>305</v>
      </c>
      <c r="B135" s="31" t="s">
        <v>13</v>
      </c>
      <c r="C135" s="32" t="str">
        <f t="shared" si="16"/>
        <v>Lucas Almeida</v>
      </c>
      <c r="D135" s="38" t="s">
        <v>211</v>
      </c>
      <c r="E135" s="33">
        <f t="shared" si="17"/>
        <v>45919</v>
      </c>
      <c r="F135" s="32" t="s">
        <v>47</v>
      </c>
      <c r="G135" s="32" t="str">
        <f t="shared" si="18"/>
        <v>Bruno Martins</v>
      </c>
      <c r="H135" s="32" t="s">
        <v>16</v>
      </c>
      <c r="I135" s="32" t="s">
        <v>17</v>
      </c>
      <c r="J135" s="34">
        <v>2</v>
      </c>
      <c r="K135" s="35">
        <v>39</v>
      </c>
      <c r="L135" s="35">
        <v>4.08</v>
      </c>
      <c r="M135" s="36">
        <f t="shared" si="14"/>
        <v>73.92</v>
      </c>
      <c r="N135" s="32" t="s">
        <v>25</v>
      </c>
      <c r="Q135" s="49" t="s">
        <v>305</v>
      </c>
      <c r="R135" s="49" t="s">
        <v>13</v>
      </c>
      <c r="S135" s="58">
        <f t="shared" si="19"/>
        <v>45919</v>
      </c>
      <c r="T135" s="51" t="s">
        <v>47</v>
      </c>
      <c r="U135" s="50" t="s">
        <v>16</v>
      </c>
      <c r="V135" s="52" t="s">
        <v>17</v>
      </c>
      <c r="W135" s="53">
        <v>2</v>
      </c>
      <c r="X135" s="54">
        <v>39</v>
      </c>
      <c r="Y135" s="54">
        <v>4.08</v>
      </c>
      <c r="Z135" s="55">
        <f t="shared" si="15"/>
        <v>73.92</v>
      </c>
      <c r="AA135" s="56" t="s">
        <v>25</v>
      </c>
      <c r="AB135"/>
    </row>
    <row r="136" spans="1:28" x14ac:dyDescent="0.25">
      <c r="A136" s="26" t="s">
        <v>306</v>
      </c>
      <c r="B136" s="26" t="s">
        <v>95</v>
      </c>
      <c r="C136" s="26" t="str">
        <f t="shared" si="16"/>
        <v>Maria Oliveira</v>
      </c>
      <c r="D136" s="37" t="s">
        <v>307</v>
      </c>
      <c r="E136" s="27">
        <f t="shared" si="17"/>
        <v>45822</v>
      </c>
      <c r="F136" s="26" t="s">
        <v>29</v>
      </c>
      <c r="G136" s="26" t="str">
        <f t="shared" si="18"/>
        <v>Camila Rocha</v>
      </c>
      <c r="H136" s="26" t="s">
        <v>16</v>
      </c>
      <c r="I136" s="26" t="s">
        <v>78</v>
      </c>
      <c r="J136" s="28">
        <v>1</v>
      </c>
      <c r="K136" s="29">
        <v>59</v>
      </c>
      <c r="L136" s="29">
        <v>0.08</v>
      </c>
      <c r="M136" s="30">
        <f t="shared" si="14"/>
        <v>58.92</v>
      </c>
      <c r="N136" s="26" t="s">
        <v>49</v>
      </c>
      <c r="Q136" s="42" t="s">
        <v>306</v>
      </c>
      <c r="R136" s="42" t="s">
        <v>95</v>
      </c>
      <c r="S136" s="57">
        <f t="shared" si="19"/>
        <v>45822</v>
      </c>
      <c r="T136" s="44" t="s">
        <v>29</v>
      </c>
      <c r="U136" s="43" t="s">
        <v>16</v>
      </c>
      <c r="V136" s="42" t="s">
        <v>78</v>
      </c>
      <c r="W136" s="45">
        <v>1</v>
      </c>
      <c r="X136" s="46">
        <v>59</v>
      </c>
      <c r="Y136" s="46">
        <v>0.08</v>
      </c>
      <c r="Z136" s="47">
        <f t="shared" si="15"/>
        <v>58.92</v>
      </c>
      <c r="AA136" s="48" t="s">
        <v>49</v>
      </c>
      <c r="AB136"/>
    </row>
    <row r="137" spans="1:28" x14ac:dyDescent="0.25">
      <c r="A137" s="31" t="s">
        <v>308</v>
      </c>
      <c r="B137" s="31" t="s">
        <v>27</v>
      </c>
      <c r="C137" s="32" t="str">
        <f t="shared" si="16"/>
        <v>Roberto Santos</v>
      </c>
      <c r="D137" s="38" t="s">
        <v>309</v>
      </c>
      <c r="E137" s="33">
        <f t="shared" si="17"/>
        <v>45868</v>
      </c>
      <c r="F137" s="32" t="s">
        <v>39</v>
      </c>
      <c r="G137" s="32" t="str">
        <f t="shared" si="18"/>
        <v>Rodrigo Mello</v>
      </c>
      <c r="H137" s="32" t="s">
        <v>16</v>
      </c>
      <c r="I137" s="32" t="s">
        <v>78</v>
      </c>
      <c r="J137" s="34">
        <v>5</v>
      </c>
      <c r="K137" s="35">
        <v>59</v>
      </c>
      <c r="L137" s="35">
        <v>4.67</v>
      </c>
      <c r="M137" s="36">
        <f t="shared" si="14"/>
        <v>290.33</v>
      </c>
      <c r="N137" s="32" t="s">
        <v>49</v>
      </c>
      <c r="Q137" s="49" t="s">
        <v>308</v>
      </c>
      <c r="R137" s="49" t="s">
        <v>27</v>
      </c>
      <c r="S137" s="58">
        <f t="shared" si="19"/>
        <v>45868</v>
      </c>
      <c r="T137" s="51" t="s">
        <v>39</v>
      </c>
      <c r="U137" s="50" t="s">
        <v>16</v>
      </c>
      <c r="V137" s="52" t="s">
        <v>78</v>
      </c>
      <c r="W137" s="53">
        <v>5</v>
      </c>
      <c r="X137" s="54">
        <v>59</v>
      </c>
      <c r="Y137" s="54">
        <v>4.67</v>
      </c>
      <c r="Z137" s="55">
        <f t="shared" si="15"/>
        <v>290.33</v>
      </c>
      <c r="AA137" s="56" t="s">
        <v>49</v>
      </c>
      <c r="AB137"/>
    </row>
    <row r="138" spans="1:28" x14ac:dyDescent="0.25">
      <c r="A138" s="26" t="s">
        <v>310</v>
      </c>
      <c r="B138" s="26" t="s">
        <v>71</v>
      </c>
      <c r="C138" s="26" t="str">
        <f t="shared" si="16"/>
        <v>Juliana Costa</v>
      </c>
      <c r="D138" s="37" t="s">
        <v>311</v>
      </c>
      <c r="E138" s="27">
        <f t="shared" si="17"/>
        <v>46002</v>
      </c>
      <c r="F138" s="26" t="s">
        <v>47</v>
      </c>
      <c r="G138" s="26" t="str">
        <f t="shared" si="18"/>
        <v>Bruno Martins</v>
      </c>
      <c r="H138" s="26" t="s">
        <v>30</v>
      </c>
      <c r="I138" s="26" t="s">
        <v>68</v>
      </c>
      <c r="J138" s="28">
        <v>1</v>
      </c>
      <c r="K138" s="29">
        <v>799</v>
      </c>
      <c r="L138" s="29">
        <v>25.43</v>
      </c>
      <c r="M138" s="30">
        <f t="shared" si="14"/>
        <v>773.57</v>
      </c>
      <c r="N138" s="26" t="s">
        <v>18</v>
      </c>
      <c r="Q138" s="42" t="s">
        <v>310</v>
      </c>
      <c r="R138" s="42" t="s">
        <v>71</v>
      </c>
      <c r="S138" s="57">
        <f t="shared" si="19"/>
        <v>46002</v>
      </c>
      <c r="T138" s="44" t="s">
        <v>47</v>
      </c>
      <c r="U138" s="43" t="s">
        <v>30</v>
      </c>
      <c r="V138" s="42" t="s">
        <v>68</v>
      </c>
      <c r="W138" s="45">
        <v>1</v>
      </c>
      <c r="X138" s="46">
        <v>799</v>
      </c>
      <c r="Y138" s="46">
        <v>25.43</v>
      </c>
      <c r="Z138" s="47">
        <f t="shared" si="15"/>
        <v>773.57</v>
      </c>
      <c r="AA138" s="48" t="s">
        <v>18</v>
      </c>
      <c r="AB138"/>
    </row>
    <row r="139" spans="1:28" x14ac:dyDescent="0.25">
      <c r="A139" s="31" t="s">
        <v>312</v>
      </c>
      <c r="B139" s="31" t="s">
        <v>71</v>
      </c>
      <c r="C139" s="32" t="str">
        <f t="shared" si="16"/>
        <v>Juliana Costa</v>
      </c>
      <c r="D139" s="38" t="s">
        <v>206</v>
      </c>
      <c r="E139" s="33">
        <f t="shared" si="17"/>
        <v>45906</v>
      </c>
      <c r="F139" s="32" t="s">
        <v>22</v>
      </c>
      <c r="G139" s="32" t="str">
        <f t="shared" si="18"/>
        <v>Amanda Costa</v>
      </c>
      <c r="H139" s="32" t="s">
        <v>16</v>
      </c>
      <c r="I139" s="32" t="s">
        <v>78</v>
      </c>
      <c r="J139" s="34">
        <v>3</v>
      </c>
      <c r="K139" s="35">
        <v>59</v>
      </c>
      <c r="L139" s="35">
        <v>0</v>
      </c>
      <c r="M139" s="36">
        <f t="shared" si="14"/>
        <v>177</v>
      </c>
      <c r="N139" s="32" t="s">
        <v>18</v>
      </c>
      <c r="Q139" s="49" t="s">
        <v>312</v>
      </c>
      <c r="R139" s="49" t="s">
        <v>71</v>
      </c>
      <c r="S139" s="58">
        <f t="shared" si="19"/>
        <v>45906</v>
      </c>
      <c r="T139" s="51" t="s">
        <v>22</v>
      </c>
      <c r="U139" s="50" t="s">
        <v>16</v>
      </c>
      <c r="V139" s="52" t="s">
        <v>78</v>
      </c>
      <c r="W139" s="53">
        <v>3</v>
      </c>
      <c r="X139" s="54">
        <v>59</v>
      </c>
      <c r="Y139" s="54">
        <v>0</v>
      </c>
      <c r="Z139" s="55">
        <f t="shared" si="15"/>
        <v>177</v>
      </c>
      <c r="AA139" s="56" t="s">
        <v>18</v>
      </c>
      <c r="AB139"/>
    </row>
    <row r="140" spans="1:28" x14ac:dyDescent="0.25">
      <c r="A140" s="26" t="s">
        <v>313</v>
      </c>
      <c r="B140" s="26" t="s">
        <v>110</v>
      </c>
      <c r="C140" s="26" t="str">
        <f t="shared" si="16"/>
        <v>Fernanda Lima</v>
      </c>
      <c r="D140" s="37" t="s">
        <v>314</v>
      </c>
      <c r="E140" s="27">
        <f t="shared" si="17"/>
        <v>45803</v>
      </c>
      <c r="F140" s="26" t="s">
        <v>47</v>
      </c>
      <c r="G140" s="26" t="str">
        <f t="shared" si="18"/>
        <v>Bruno Martins</v>
      </c>
      <c r="H140" s="26" t="s">
        <v>30</v>
      </c>
      <c r="I140" s="26" t="s">
        <v>68</v>
      </c>
      <c r="J140" s="28">
        <v>5</v>
      </c>
      <c r="K140" s="29">
        <v>799</v>
      </c>
      <c r="L140" s="29">
        <v>96.52</v>
      </c>
      <c r="M140" s="30">
        <f t="shared" si="14"/>
        <v>3898.48</v>
      </c>
      <c r="N140" s="26" t="s">
        <v>69</v>
      </c>
      <c r="Q140" s="42" t="s">
        <v>313</v>
      </c>
      <c r="R140" s="42" t="s">
        <v>110</v>
      </c>
      <c r="S140" s="57">
        <f t="shared" si="19"/>
        <v>45803</v>
      </c>
      <c r="T140" s="44" t="s">
        <v>47</v>
      </c>
      <c r="U140" s="43" t="s">
        <v>30</v>
      </c>
      <c r="V140" s="42" t="s">
        <v>68</v>
      </c>
      <c r="W140" s="45">
        <v>5</v>
      </c>
      <c r="X140" s="46">
        <v>799</v>
      </c>
      <c r="Y140" s="46">
        <v>96.52</v>
      </c>
      <c r="Z140" s="47">
        <f t="shared" si="15"/>
        <v>3898.48</v>
      </c>
      <c r="AA140" s="48" t="s">
        <v>69</v>
      </c>
      <c r="AB140"/>
    </row>
    <row r="141" spans="1:28" x14ac:dyDescent="0.25">
      <c r="A141" s="31" t="s">
        <v>315</v>
      </c>
      <c r="B141" s="31" t="s">
        <v>110</v>
      </c>
      <c r="C141" s="32" t="str">
        <f t="shared" si="16"/>
        <v>Fernanda Lima</v>
      </c>
      <c r="D141" s="38" t="s">
        <v>316</v>
      </c>
      <c r="E141" s="33">
        <f t="shared" si="17"/>
        <v>46043</v>
      </c>
      <c r="F141" s="32" t="s">
        <v>39</v>
      </c>
      <c r="G141" s="32" t="str">
        <f t="shared" si="18"/>
        <v>Rodrigo Mello</v>
      </c>
      <c r="H141" s="32" t="s">
        <v>16</v>
      </c>
      <c r="I141" s="32" t="s">
        <v>78</v>
      </c>
      <c r="J141" s="34">
        <v>2</v>
      </c>
      <c r="K141" s="35">
        <v>59</v>
      </c>
      <c r="L141" s="35">
        <v>5.25</v>
      </c>
      <c r="M141" s="36">
        <f t="shared" si="14"/>
        <v>112.75</v>
      </c>
      <c r="N141" s="32" t="s">
        <v>69</v>
      </c>
      <c r="Q141" s="49" t="s">
        <v>315</v>
      </c>
      <c r="R141" s="49" t="s">
        <v>110</v>
      </c>
      <c r="S141" s="58">
        <f t="shared" si="19"/>
        <v>46043</v>
      </c>
      <c r="T141" s="51" t="s">
        <v>39</v>
      </c>
      <c r="U141" s="50" t="s">
        <v>16</v>
      </c>
      <c r="V141" s="52" t="s">
        <v>78</v>
      </c>
      <c r="W141" s="53">
        <v>2</v>
      </c>
      <c r="X141" s="54">
        <v>59</v>
      </c>
      <c r="Y141" s="54">
        <v>5.25</v>
      </c>
      <c r="Z141" s="55">
        <f t="shared" si="15"/>
        <v>112.75</v>
      </c>
      <c r="AA141" s="56" t="s">
        <v>69</v>
      </c>
      <c r="AB141"/>
    </row>
    <row r="142" spans="1:28" x14ac:dyDescent="0.25">
      <c r="A142" s="26" t="s">
        <v>317</v>
      </c>
      <c r="B142" s="26" t="s">
        <v>63</v>
      </c>
      <c r="C142" s="26" t="str">
        <f t="shared" si="16"/>
        <v>Marcos Rodrigues</v>
      </c>
      <c r="D142" s="37" t="s">
        <v>318</v>
      </c>
      <c r="E142" s="27">
        <f t="shared" si="17"/>
        <v>45717</v>
      </c>
      <c r="F142" s="26" t="s">
        <v>22</v>
      </c>
      <c r="G142" s="26" t="str">
        <f t="shared" si="18"/>
        <v>Amanda Costa</v>
      </c>
      <c r="H142" s="26" t="s">
        <v>16</v>
      </c>
      <c r="I142" s="26" t="s">
        <v>17</v>
      </c>
      <c r="J142" s="28">
        <v>4</v>
      </c>
      <c r="K142" s="29">
        <v>39</v>
      </c>
      <c r="L142" s="29">
        <v>0</v>
      </c>
      <c r="M142" s="30">
        <f t="shared" si="14"/>
        <v>156</v>
      </c>
      <c r="N142" s="26" t="s">
        <v>32</v>
      </c>
      <c r="Q142" s="42" t="s">
        <v>317</v>
      </c>
      <c r="R142" s="42" t="s">
        <v>63</v>
      </c>
      <c r="S142" s="57">
        <f t="shared" si="19"/>
        <v>45717</v>
      </c>
      <c r="T142" s="44" t="s">
        <v>22</v>
      </c>
      <c r="U142" s="43" t="s">
        <v>16</v>
      </c>
      <c r="V142" s="42" t="s">
        <v>17</v>
      </c>
      <c r="W142" s="45">
        <v>4</v>
      </c>
      <c r="X142" s="46">
        <v>39</v>
      </c>
      <c r="Y142" s="46">
        <v>0</v>
      </c>
      <c r="Z142" s="47">
        <f t="shared" si="15"/>
        <v>156</v>
      </c>
      <c r="AA142" s="48" t="s">
        <v>32</v>
      </c>
      <c r="AB142"/>
    </row>
    <row r="143" spans="1:28" x14ac:dyDescent="0.25">
      <c r="A143" s="31" t="s">
        <v>319</v>
      </c>
      <c r="B143" s="31" t="s">
        <v>20</v>
      </c>
      <c r="C143" s="32" t="str">
        <f t="shared" si="16"/>
        <v>Beatriz Ribeiro</v>
      </c>
      <c r="D143" s="38" t="s">
        <v>320</v>
      </c>
      <c r="E143" s="33">
        <f t="shared" si="17"/>
        <v>46056</v>
      </c>
      <c r="F143" s="32" t="s">
        <v>22</v>
      </c>
      <c r="G143" s="32" t="str">
        <f t="shared" si="18"/>
        <v>Amanda Costa</v>
      </c>
      <c r="H143" s="32" t="s">
        <v>30</v>
      </c>
      <c r="I143" s="32" t="s">
        <v>31</v>
      </c>
      <c r="J143" s="34">
        <v>3</v>
      </c>
      <c r="K143" s="35">
        <v>2500</v>
      </c>
      <c r="L143" s="35">
        <v>0</v>
      </c>
      <c r="M143" s="36">
        <f t="shared" si="14"/>
        <v>7500</v>
      </c>
      <c r="N143" s="32" t="s">
        <v>65</v>
      </c>
      <c r="Q143" s="49" t="s">
        <v>319</v>
      </c>
      <c r="R143" s="49" t="s">
        <v>20</v>
      </c>
      <c r="S143" s="58">
        <f t="shared" si="19"/>
        <v>46056</v>
      </c>
      <c r="T143" s="51" t="s">
        <v>22</v>
      </c>
      <c r="U143" s="50" t="s">
        <v>30</v>
      </c>
      <c r="V143" s="52" t="s">
        <v>31</v>
      </c>
      <c r="W143" s="53">
        <v>3</v>
      </c>
      <c r="X143" s="54">
        <v>2500</v>
      </c>
      <c r="Y143" s="54">
        <v>0</v>
      </c>
      <c r="Z143" s="55">
        <f t="shared" si="15"/>
        <v>7500</v>
      </c>
      <c r="AA143" s="56" t="s">
        <v>65</v>
      </c>
      <c r="AB143"/>
    </row>
    <row r="144" spans="1:28" x14ac:dyDescent="0.25">
      <c r="A144" s="26" t="s">
        <v>321</v>
      </c>
      <c r="B144" s="26" t="s">
        <v>71</v>
      </c>
      <c r="C144" s="26" t="str">
        <f t="shared" si="16"/>
        <v>Juliana Costa</v>
      </c>
      <c r="D144" s="37" t="s">
        <v>188</v>
      </c>
      <c r="E144" s="27">
        <f t="shared" si="17"/>
        <v>45972</v>
      </c>
      <c r="F144" s="26" t="s">
        <v>22</v>
      </c>
      <c r="G144" s="26" t="str">
        <f t="shared" si="18"/>
        <v>Amanda Costa</v>
      </c>
      <c r="H144" s="26" t="s">
        <v>52</v>
      </c>
      <c r="I144" s="26" t="s">
        <v>75</v>
      </c>
      <c r="J144" s="28">
        <v>2</v>
      </c>
      <c r="K144" s="29">
        <v>249</v>
      </c>
      <c r="L144" s="29">
        <v>0</v>
      </c>
      <c r="M144" s="30">
        <f t="shared" si="14"/>
        <v>498</v>
      </c>
      <c r="N144" s="26" t="s">
        <v>69</v>
      </c>
      <c r="Q144" s="42" t="s">
        <v>321</v>
      </c>
      <c r="R144" s="42" t="s">
        <v>71</v>
      </c>
      <c r="S144" s="57">
        <f t="shared" si="19"/>
        <v>45972</v>
      </c>
      <c r="T144" s="44" t="s">
        <v>22</v>
      </c>
      <c r="U144" s="43" t="s">
        <v>52</v>
      </c>
      <c r="V144" s="42" t="s">
        <v>75</v>
      </c>
      <c r="W144" s="45">
        <v>2</v>
      </c>
      <c r="X144" s="46">
        <v>249</v>
      </c>
      <c r="Y144" s="46">
        <v>0</v>
      </c>
      <c r="Z144" s="47">
        <f t="shared" si="15"/>
        <v>498</v>
      </c>
      <c r="AA144" s="48" t="s">
        <v>69</v>
      </c>
      <c r="AB144"/>
    </row>
    <row r="145" spans="1:28" x14ac:dyDescent="0.25">
      <c r="A145" s="31" t="s">
        <v>322</v>
      </c>
      <c r="B145" s="31" t="s">
        <v>55</v>
      </c>
      <c r="C145" s="32" t="str">
        <f t="shared" si="16"/>
        <v>Ricardo Carvalho</v>
      </c>
      <c r="D145" s="38" t="s">
        <v>323</v>
      </c>
      <c r="E145" s="33">
        <f t="shared" si="17"/>
        <v>45858</v>
      </c>
      <c r="F145" s="32" t="s">
        <v>22</v>
      </c>
      <c r="G145" s="32" t="str">
        <f t="shared" si="18"/>
        <v>Amanda Costa</v>
      </c>
      <c r="H145" s="32" t="s">
        <v>30</v>
      </c>
      <c r="I145" s="32" t="s">
        <v>68</v>
      </c>
      <c r="J145" s="34">
        <v>1</v>
      </c>
      <c r="K145" s="35">
        <v>799</v>
      </c>
      <c r="L145" s="35">
        <v>67.239999999999995</v>
      </c>
      <c r="M145" s="36">
        <f t="shared" si="14"/>
        <v>731.76</v>
      </c>
      <c r="N145" s="32" t="s">
        <v>32</v>
      </c>
      <c r="Q145" s="49" t="s">
        <v>322</v>
      </c>
      <c r="R145" s="49" t="s">
        <v>55</v>
      </c>
      <c r="S145" s="58">
        <f t="shared" si="19"/>
        <v>45858</v>
      </c>
      <c r="T145" s="51" t="s">
        <v>22</v>
      </c>
      <c r="U145" s="50" t="s">
        <v>30</v>
      </c>
      <c r="V145" s="52" t="s">
        <v>68</v>
      </c>
      <c r="W145" s="53">
        <v>1</v>
      </c>
      <c r="X145" s="54">
        <v>799</v>
      </c>
      <c r="Y145" s="54">
        <v>67.239999999999995</v>
      </c>
      <c r="Z145" s="55">
        <f t="shared" si="15"/>
        <v>731.76</v>
      </c>
      <c r="AA145" s="56" t="s">
        <v>32</v>
      </c>
      <c r="AB145"/>
    </row>
    <row r="146" spans="1:28" x14ac:dyDescent="0.25">
      <c r="A146" s="26" t="s">
        <v>324</v>
      </c>
      <c r="B146" s="26" t="s">
        <v>101</v>
      </c>
      <c r="C146" s="26" t="str">
        <f t="shared" si="16"/>
        <v>Ana Souza</v>
      </c>
      <c r="D146" s="37" t="s">
        <v>325</v>
      </c>
      <c r="E146" s="27">
        <f t="shared" si="17"/>
        <v>46034</v>
      </c>
      <c r="F146" s="26" t="s">
        <v>39</v>
      </c>
      <c r="G146" s="26" t="str">
        <f t="shared" si="18"/>
        <v>Rodrigo Mello</v>
      </c>
      <c r="H146" s="26" t="s">
        <v>23</v>
      </c>
      <c r="I146" s="26" t="s">
        <v>24</v>
      </c>
      <c r="J146" s="28">
        <v>5</v>
      </c>
      <c r="K146" s="29">
        <v>180</v>
      </c>
      <c r="L146" s="29">
        <v>0</v>
      </c>
      <c r="M146" s="30">
        <f t="shared" si="14"/>
        <v>900</v>
      </c>
      <c r="N146" s="26" t="s">
        <v>49</v>
      </c>
      <c r="Q146" s="42" t="s">
        <v>324</v>
      </c>
      <c r="R146" s="42" t="s">
        <v>101</v>
      </c>
      <c r="S146" s="57">
        <f t="shared" si="19"/>
        <v>46034</v>
      </c>
      <c r="T146" s="44" t="s">
        <v>39</v>
      </c>
      <c r="U146" s="43" t="s">
        <v>23</v>
      </c>
      <c r="V146" s="42" t="s">
        <v>24</v>
      </c>
      <c r="W146" s="45">
        <v>5</v>
      </c>
      <c r="X146" s="46">
        <v>180</v>
      </c>
      <c r="Y146" s="46">
        <v>0</v>
      </c>
      <c r="Z146" s="47">
        <f t="shared" si="15"/>
        <v>900</v>
      </c>
      <c r="AA146" s="48" t="s">
        <v>49</v>
      </c>
      <c r="AB146"/>
    </row>
    <row r="147" spans="1:28" x14ac:dyDescent="0.25">
      <c r="A147" s="31" t="s">
        <v>326</v>
      </c>
      <c r="B147" s="31" t="s">
        <v>110</v>
      </c>
      <c r="C147" s="32" t="str">
        <f t="shared" si="16"/>
        <v>Fernanda Lima</v>
      </c>
      <c r="D147" s="38" t="s">
        <v>327</v>
      </c>
      <c r="E147" s="33">
        <f t="shared" si="17"/>
        <v>45955</v>
      </c>
      <c r="F147" s="32" t="s">
        <v>22</v>
      </c>
      <c r="G147" s="32" t="str">
        <f t="shared" si="18"/>
        <v>Amanda Costa</v>
      </c>
      <c r="H147" s="32" t="s">
        <v>23</v>
      </c>
      <c r="I147" s="32" t="s">
        <v>24</v>
      </c>
      <c r="J147" s="34">
        <v>4</v>
      </c>
      <c r="K147" s="35">
        <v>180</v>
      </c>
      <c r="L147" s="35">
        <v>86.29</v>
      </c>
      <c r="M147" s="36">
        <f t="shared" si="14"/>
        <v>633.71</v>
      </c>
      <c r="N147" s="32" t="s">
        <v>18</v>
      </c>
      <c r="Q147" s="49" t="s">
        <v>326</v>
      </c>
      <c r="R147" s="49" t="s">
        <v>110</v>
      </c>
      <c r="S147" s="58">
        <f t="shared" si="19"/>
        <v>45955</v>
      </c>
      <c r="T147" s="51" t="s">
        <v>22</v>
      </c>
      <c r="U147" s="50" t="s">
        <v>23</v>
      </c>
      <c r="V147" s="52" t="s">
        <v>24</v>
      </c>
      <c r="W147" s="53">
        <v>4</v>
      </c>
      <c r="X147" s="54">
        <v>180</v>
      </c>
      <c r="Y147" s="54">
        <v>86.29</v>
      </c>
      <c r="Z147" s="55">
        <f t="shared" si="15"/>
        <v>633.71</v>
      </c>
      <c r="AA147" s="56" t="s">
        <v>18</v>
      </c>
      <c r="AB147"/>
    </row>
    <row r="148" spans="1:28" x14ac:dyDescent="0.25">
      <c r="A148" s="26" t="s">
        <v>328</v>
      </c>
      <c r="B148" s="26" t="s">
        <v>34</v>
      </c>
      <c r="C148" s="26" t="str">
        <f t="shared" si="16"/>
        <v>Carlos Silva</v>
      </c>
      <c r="D148" s="37" t="s">
        <v>329</v>
      </c>
      <c r="E148" s="27">
        <f t="shared" si="17"/>
        <v>46036</v>
      </c>
      <c r="F148" s="26" t="s">
        <v>22</v>
      </c>
      <c r="G148" s="26" t="str">
        <f t="shared" si="18"/>
        <v>Amanda Costa</v>
      </c>
      <c r="H148" s="26" t="s">
        <v>16</v>
      </c>
      <c r="I148" s="26" t="s">
        <v>78</v>
      </c>
      <c r="J148" s="28">
        <v>1</v>
      </c>
      <c r="K148" s="29">
        <v>59</v>
      </c>
      <c r="L148" s="29">
        <v>5.81</v>
      </c>
      <c r="M148" s="30">
        <f t="shared" si="14"/>
        <v>53.19</v>
      </c>
      <c r="N148" s="26" t="s">
        <v>25</v>
      </c>
      <c r="Q148" s="42" t="s">
        <v>328</v>
      </c>
      <c r="R148" s="42" t="s">
        <v>34</v>
      </c>
      <c r="S148" s="57">
        <f t="shared" si="19"/>
        <v>46036</v>
      </c>
      <c r="T148" s="44" t="s">
        <v>22</v>
      </c>
      <c r="U148" s="43" t="s">
        <v>16</v>
      </c>
      <c r="V148" s="42" t="s">
        <v>78</v>
      </c>
      <c r="W148" s="45">
        <v>1</v>
      </c>
      <c r="X148" s="46">
        <v>59</v>
      </c>
      <c r="Y148" s="46">
        <v>5.81</v>
      </c>
      <c r="Z148" s="47">
        <f t="shared" si="15"/>
        <v>53.19</v>
      </c>
      <c r="AA148" s="48" t="s">
        <v>25</v>
      </c>
      <c r="AB148"/>
    </row>
    <row r="149" spans="1:28" x14ac:dyDescent="0.25">
      <c r="A149" s="31" t="s">
        <v>330</v>
      </c>
      <c r="B149" s="31" t="s">
        <v>13</v>
      </c>
      <c r="C149" s="32" t="str">
        <f t="shared" si="16"/>
        <v>Lucas Almeida</v>
      </c>
      <c r="D149" s="38" t="s">
        <v>331</v>
      </c>
      <c r="E149" s="33">
        <f t="shared" si="17"/>
        <v>45854</v>
      </c>
      <c r="F149" s="32" t="s">
        <v>15</v>
      </c>
      <c r="G149" s="32" t="str">
        <f t="shared" si="18"/>
        <v>Larissa Dias</v>
      </c>
      <c r="H149" s="32" t="s">
        <v>52</v>
      </c>
      <c r="I149" s="32" t="s">
        <v>75</v>
      </c>
      <c r="J149" s="34">
        <v>3</v>
      </c>
      <c r="K149" s="35">
        <v>249</v>
      </c>
      <c r="L149" s="35">
        <v>0</v>
      </c>
      <c r="M149" s="36">
        <f t="shared" si="14"/>
        <v>747</v>
      </c>
      <c r="N149" s="32" t="s">
        <v>44</v>
      </c>
      <c r="Q149" s="49" t="s">
        <v>330</v>
      </c>
      <c r="R149" s="49" t="s">
        <v>13</v>
      </c>
      <c r="S149" s="58">
        <f t="shared" si="19"/>
        <v>45854</v>
      </c>
      <c r="T149" s="51" t="s">
        <v>15</v>
      </c>
      <c r="U149" s="50" t="s">
        <v>52</v>
      </c>
      <c r="V149" s="52" t="s">
        <v>75</v>
      </c>
      <c r="W149" s="53">
        <v>3</v>
      </c>
      <c r="X149" s="54">
        <v>249</v>
      </c>
      <c r="Y149" s="54">
        <v>0</v>
      </c>
      <c r="Z149" s="55">
        <f t="shared" si="15"/>
        <v>747</v>
      </c>
      <c r="AA149" s="56" t="s">
        <v>44</v>
      </c>
      <c r="AB149"/>
    </row>
    <row r="150" spans="1:28" x14ac:dyDescent="0.25">
      <c r="A150" s="26" t="s">
        <v>332</v>
      </c>
      <c r="B150" s="26" t="s">
        <v>13</v>
      </c>
      <c r="C150" s="26" t="str">
        <f t="shared" si="16"/>
        <v>Lucas Almeida</v>
      </c>
      <c r="D150" s="37" t="s">
        <v>200</v>
      </c>
      <c r="E150" s="27">
        <f t="shared" si="17"/>
        <v>45870</v>
      </c>
      <c r="F150" s="26" t="s">
        <v>29</v>
      </c>
      <c r="G150" s="26" t="str">
        <f t="shared" si="18"/>
        <v>Camila Rocha</v>
      </c>
      <c r="H150" s="26" t="s">
        <v>52</v>
      </c>
      <c r="I150" s="26" t="s">
        <v>75</v>
      </c>
      <c r="J150" s="28">
        <v>5</v>
      </c>
      <c r="K150" s="29">
        <v>249</v>
      </c>
      <c r="L150" s="29">
        <v>107.03</v>
      </c>
      <c r="M150" s="30">
        <f>(J150*K150)-L150</f>
        <v>1137.97</v>
      </c>
      <c r="N150" s="26" t="s">
        <v>49</v>
      </c>
      <c r="Q150" s="42" t="s">
        <v>332</v>
      </c>
      <c r="R150" s="42" t="s">
        <v>13</v>
      </c>
      <c r="S150" s="57">
        <f t="shared" si="19"/>
        <v>45870</v>
      </c>
      <c r="T150" s="44" t="s">
        <v>29</v>
      </c>
      <c r="U150" s="43" t="s">
        <v>52</v>
      </c>
      <c r="V150" s="42" t="s">
        <v>75</v>
      </c>
      <c r="W150" s="45">
        <v>5</v>
      </c>
      <c r="X150" s="46">
        <v>249</v>
      </c>
      <c r="Y150" s="46">
        <v>107.03</v>
      </c>
      <c r="Z150" s="47">
        <f>(W150*X150)-Y150</f>
        <v>1137.97</v>
      </c>
      <c r="AA150" s="48" t="s">
        <v>49</v>
      </c>
      <c r="AB150"/>
    </row>
    <row r="151" spans="1:28" x14ac:dyDescent="0.25">
      <c r="A151" s="31" t="s">
        <v>333</v>
      </c>
      <c r="B151" s="31" t="s">
        <v>71</v>
      </c>
      <c r="C151" s="32" t="str">
        <f t="shared" si="16"/>
        <v>Juliana Costa</v>
      </c>
      <c r="D151" s="38" t="s">
        <v>58</v>
      </c>
      <c r="E151" s="33">
        <f t="shared" si="17"/>
        <v>45920</v>
      </c>
      <c r="F151" s="32" t="s">
        <v>39</v>
      </c>
      <c r="G151" s="32" t="str">
        <f t="shared" si="18"/>
        <v>Rodrigo Mello</v>
      </c>
      <c r="H151" s="32" t="s">
        <v>16</v>
      </c>
      <c r="I151" s="32" t="s">
        <v>78</v>
      </c>
      <c r="J151" s="34">
        <v>5</v>
      </c>
      <c r="K151" s="35">
        <v>59</v>
      </c>
      <c r="L151" s="35">
        <v>0</v>
      </c>
      <c r="M151" s="36">
        <f t="shared" ref="M151:M197" si="20">(J151*K151)-L151</f>
        <v>295</v>
      </c>
      <c r="N151" s="32" t="s">
        <v>44</v>
      </c>
      <c r="Q151" s="49" t="s">
        <v>333</v>
      </c>
      <c r="R151" s="49" t="s">
        <v>71</v>
      </c>
      <c r="S151" s="58">
        <f t="shared" si="19"/>
        <v>45920</v>
      </c>
      <c r="T151" s="51" t="s">
        <v>39</v>
      </c>
      <c r="U151" s="50" t="s">
        <v>16</v>
      </c>
      <c r="V151" s="52" t="s">
        <v>78</v>
      </c>
      <c r="W151" s="53">
        <v>5</v>
      </c>
      <c r="X151" s="54">
        <v>59</v>
      </c>
      <c r="Y151" s="54">
        <v>0</v>
      </c>
      <c r="Z151" s="55">
        <f t="shared" ref="Z151:Z197" si="21">(W151*X151)-Y151</f>
        <v>295</v>
      </c>
      <c r="AA151" s="56" t="s">
        <v>44</v>
      </c>
      <c r="AB151"/>
    </row>
    <row r="152" spans="1:28" x14ac:dyDescent="0.25">
      <c r="A152" s="26" t="s">
        <v>334</v>
      </c>
      <c r="B152" s="26" t="s">
        <v>34</v>
      </c>
      <c r="C152" s="26" t="str">
        <f t="shared" si="16"/>
        <v>Carlos Silva</v>
      </c>
      <c r="D152" s="37" t="s">
        <v>253</v>
      </c>
      <c r="E152" s="27">
        <f t="shared" si="17"/>
        <v>45805</v>
      </c>
      <c r="F152" s="26" t="s">
        <v>15</v>
      </c>
      <c r="G152" s="26" t="str">
        <f t="shared" si="18"/>
        <v>Larissa Dias</v>
      </c>
      <c r="H152" s="26" t="s">
        <v>16</v>
      </c>
      <c r="I152" s="26" t="s">
        <v>78</v>
      </c>
      <c r="J152" s="28">
        <v>3</v>
      </c>
      <c r="K152" s="29">
        <v>59</v>
      </c>
      <c r="L152" s="29">
        <v>0</v>
      </c>
      <c r="M152" s="30">
        <f t="shared" si="20"/>
        <v>177</v>
      </c>
      <c r="N152" s="26" t="s">
        <v>25</v>
      </c>
      <c r="Q152" s="42" t="s">
        <v>334</v>
      </c>
      <c r="R152" s="42" t="s">
        <v>34</v>
      </c>
      <c r="S152" s="57">
        <f t="shared" si="19"/>
        <v>45805</v>
      </c>
      <c r="T152" s="44" t="s">
        <v>15</v>
      </c>
      <c r="U152" s="43" t="s">
        <v>16</v>
      </c>
      <c r="V152" s="42" t="s">
        <v>78</v>
      </c>
      <c r="W152" s="45">
        <v>3</v>
      </c>
      <c r="X152" s="46">
        <v>59</v>
      </c>
      <c r="Y152" s="46">
        <v>0</v>
      </c>
      <c r="Z152" s="47">
        <f t="shared" si="21"/>
        <v>177</v>
      </c>
      <c r="AA152" s="48" t="s">
        <v>25</v>
      </c>
      <c r="AB152"/>
    </row>
    <row r="153" spans="1:28" x14ac:dyDescent="0.25">
      <c r="A153" s="31" t="s">
        <v>335</v>
      </c>
      <c r="B153" s="31" t="s">
        <v>101</v>
      </c>
      <c r="C153" s="32" t="str">
        <f t="shared" si="16"/>
        <v>Ana Souza</v>
      </c>
      <c r="D153" s="38" t="s">
        <v>336</v>
      </c>
      <c r="E153" s="33">
        <f t="shared" si="17"/>
        <v>45696</v>
      </c>
      <c r="F153" s="32" t="s">
        <v>39</v>
      </c>
      <c r="G153" s="32" t="str">
        <f t="shared" si="18"/>
        <v>Rodrigo Mello</v>
      </c>
      <c r="H153" s="32" t="s">
        <v>23</v>
      </c>
      <c r="I153" s="32" t="s">
        <v>24</v>
      </c>
      <c r="J153" s="34">
        <v>4</v>
      </c>
      <c r="K153" s="35">
        <v>180</v>
      </c>
      <c r="L153" s="35">
        <v>0</v>
      </c>
      <c r="M153" s="36">
        <f t="shared" si="20"/>
        <v>720</v>
      </c>
      <c r="N153" s="32" t="s">
        <v>32</v>
      </c>
      <c r="Q153" s="49" t="s">
        <v>335</v>
      </c>
      <c r="R153" s="49" t="s">
        <v>101</v>
      </c>
      <c r="S153" s="58">
        <f t="shared" si="19"/>
        <v>45696</v>
      </c>
      <c r="T153" s="51" t="s">
        <v>39</v>
      </c>
      <c r="U153" s="50" t="s">
        <v>23</v>
      </c>
      <c r="V153" s="52" t="s">
        <v>24</v>
      </c>
      <c r="W153" s="53">
        <v>4</v>
      </c>
      <c r="X153" s="54">
        <v>180</v>
      </c>
      <c r="Y153" s="54">
        <v>0</v>
      </c>
      <c r="Z153" s="55">
        <f t="shared" si="21"/>
        <v>720</v>
      </c>
      <c r="AA153" s="56" t="s">
        <v>32</v>
      </c>
      <c r="AB153"/>
    </row>
    <row r="154" spans="1:28" x14ac:dyDescent="0.25">
      <c r="A154" s="26" t="s">
        <v>337</v>
      </c>
      <c r="B154" s="26" t="s">
        <v>55</v>
      </c>
      <c r="C154" s="26" t="str">
        <f t="shared" si="16"/>
        <v>Ricardo Carvalho</v>
      </c>
      <c r="D154" s="37" t="s">
        <v>338</v>
      </c>
      <c r="E154" s="27">
        <f t="shared" si="17"/>
        <v>45661</v>
      </c>
      <c r="F154" s="26" t="s">
        <v>22</v>
      </c>
      <c r="G154" s="26" t="str">
        <f t="shared" si="18"/>
        <v>Amanda Costa</v>
      </c>
      <c r="H154" s="26" t="s">
        <v>23</v>
      </c>
      <c r="I154" s="26" t="s">
        <v>48</v>
      </c>
      <c r="J154" s="28">
        <v>5</v>
      </c>
      <c r="K154" s="29">
        <v>450</v>
      </c>
      <c r="L154" s="29">
        <v>0</v>
      </c>
      <c r="M154" s="30">
        <f t="shared" si="20"/>
        <v>2250</v>
      </c>
      <c r="N154" s="26" t="s">
        <v>65</v>
      </c>
      <c r="Q154" s="42" t="s">
        <v>337</v>
      </c>
      <c r="R154" s="42" t="s">
        <v>55</v>
      </c>
      <c r="S154" s="57">
        <f t="shared" si="19"/>
        <v>45661</v>
      </c>
      <c r="T154" s="44" t="s">
        <v>22</v>
      </c>
      <c r="U154" s="43" t="s">
        <v>23</v>
      </c>
      <c r="V154" s="42" t="s">
        <v>48</v>
      </c>
      <c r="W154" s="45">
        <v>5</v>
      </c>
      <c r="X154" s="46">
        <v>450</v>
      </c>
      <c r="Y154" s="46">
        <v>0</v>
      </c>
      <c r="Z154" s="47">
        <f t="shared" si="21"/>
        <v>2250</v>
      </c>
      <c r="AA154" s="48" t="s">
        <v>65</v>
      </c>
      <c r="AB154"/>
    </row>
    <row r="155" spans="1:28" x14ac:dyDescent="0.25">
      <c r="A155" s="31" t="s">
        <v>339</v>
      </c>
      <c r="B155" s="31" t="s">
        <v>110</v>
      </c>
      <c r="C155" s="32" t="str">
        <f t="shared" si="16"/>
        <v>Fernanda Lima</v>
      </c>
      <c r="D155" s="38" t="s">
        <v>340</v>
      </c>
      <c r="E155" s="33">
        <f t="shared" si="17"/>
        <v>45690</v>
      </c>
      <c r="F155" s="32" t="s">
        <v>22</v>
      </c>
      <c r="G155" s="32" t="str">
        <f t="shared" si="18"/>
        <v>Amanda Costa</v>
      </c>
      <c r="H155" s="32" t="s">
        <v>16</v>
      </c>
      <c r="I155" s="32" t="s">
        <v>78</v>
      </c>
      <c r="J155" s="34">
        <v>4</v>
      </c>
      <c r="K155" s="35">
        <v>59</v>
      </c>
      <c r="L155" s="35">
        <v>12.92</v>
      </c>
      <c r="M155" s="36">
        <f t="shared" si="20"/>
        <v>223.08</v>
      </c>
      <c r="N155" s="32" t="s">
        <v>44</v>
      </c>
      <c r="Q155" s="49" t="s">
        <v>339</v>
      </c>
      <c r="R155" s="49" t="s">
        <v>110</v>
      </c>
      <c r="S155" s="58">
        <f t="shared" si="19"/>
        <v>45690</v>
      </c>
      <c r="T155" s="51" t="s">
        <v>22</v>
      </c>
      <c r="U155" s="50" t="s">
        <v>16</v>
      </c>
      <c r="V155" s="52" t="s">
        <v>78</v>
      </c>
      <c r="W155" s="53">
        <v>4</v>
      </c>
      <c r="X155" s="54">
        <v>59</v>
      </c>
      <c r="Y155" s="54">
        <v>12.92</v>
      </c>
      <c r="Z155" s="55">
        <f t="shared" si="21"/>
        <v>223.08</v>
      </c>
      <c r="AA155" s="56" t="s">
        <v>44</v>
      </c>
      <c r="AB155"/>
    </row>
    <row r="156" spans="1:28" x14ac:dyDescent="0.25">
      <c r="A156" s="26" t="s">
        <v>341</v>
      </c>
      <c r="B156" s="26" t="s">
        <v>277</v>
      </c>
      <c r="C156" s="26" t="str">
        <f t="shared" si="16"/>
        <v>Carlos Silva</v>
      </c>
      <c r="D156" s="37" t="s">
        <v>342</v>
      </c>
      <c r="E156" s="27">
        <f t="shared" si="17"/>
        <v>45973</v>
      </c>
      <c r="F156" s="26" t="s">
        <v>47</v>
      </c>
      <c r="G156" s="26" t="str">
        <f t="shared" si="18"/>
        <v>Bruno Martins</v>
      </c>
      <c r="H156" s="26" t="s">
        <v>23</v>
      </c>
      <c r="I156" s="26" t="s">
        <v>48</v>
      </c>
      <c r="J156" s="28">
        <v>2</v>
      </c>
      <c r="K156" s="29">
        <v>450</v>
      </c>
      <c r="L156" s="29">
        <v>3.64</v>
      </c>
      <c r="M156" s="30">
        <f t="shared" si="20"/>
        <v>896.36</v>
      </c>
      <c r="N156" s="26" t="s">
        <v>44</v>
      </c>
      <c r="Q156" s="42" t="s">
        <v>341</v>
      </c>
      <c r="R156" s="42" t="s">
        <v>34</v>
      </c>
      <c r="S156" s="57">
        <f t="shared" si="19"/>
        <v>45973</v>
      </c>
      <c r="T156" s="44" t="s">
        <v>47</v>
      </c>
      <c r="U156" s="43" t="s">
        <v>23</v>
      </c>
      <c r="V156" s="42" t="s">
        <v>48</v>
      </c>
      <c r="W156" s="45">
        <v>2</v>
      </c>
      <c r="X156" s="46">
        <v>450</v>
      </c>
      <c r="Y156" s="46">
        <v>3.64</v>
      </c>
      <c r="Z156" s="47">
        <f t="shared" si="21"/>
        <v>896.36</v>
      </c>
      <c r="AA156" s="48" t="s">
        <v>44</v>
      </c>
      <c r="AB156"/>
    </row>
    <row r="157" spans="1:28" x14ac:dyDescent="0.25">
      <c r="A157" s="31" t="s">
        <v>343</v>
      </c>
      <c r="B157" s="31" t="s">
        <v>110</v>
      </c>
      <c r="C157" s="32" t="str">
        <f t="shared" si="16"/>
        <v>Fernanda Lima</v>
      </c>
      <c r="D157" s="38" t="s">
        <v>344</v>
      </c>
      <c r="E157" s="33">
        <f t="shared" si="17"/>
        <v>45801</v>
      </c>
      <c r="F157" s="32" t="s">
        <v>15</v>
      </c>
      <c r="G157" s="32" t="str">
        <f t="shared" si="18"/>
        <v>Larissa Dias</v>
      </c>
      <c r="H157" s="32" t="s">
        <v>23</v>
      </c>
      <c r="I157" s="32" t="s">
        <v>24</v>
      </c>
      <c r="J157" s="34">
        <v>4</v>
      </c>
      <c r="K157" s="35">
        <v>180</v>
      </c>
      <c r="L157" s="35">
        <v>59.67</v>
      </c>
      <c r="M157" s="36">
        <f t="shared" si="20"/>
        <v>660.33</v>
      </c>
      <c r="N157" s="32" t="s">
        <v>44</v>
      </c>
      <c r="Q157" s="49" t="s">
        <v>343</v>
      </c>
      <c r="R157" s="49" t="s">
        <v>110</v>
      </c>
      <c r="S157" s="58">
        <f t="shared" si="19"/>
        <v>45801</v>
      </c>
      <c r="T157" s="51" t="s">
        <v>15</v>
      </c>
      <c r="U157" s="50" t="s">
        <v>23</v>
      </c>
      <c r="V157" s="52" t="s">
        <v>24</v>
      </c>
      <c r="W157" s="53">
        <v>4</v>
      </c>
      <c r="X157" s="54">
        <v>180</v>
      </c>
      <c r="Y157" s="54">
        <v>59.67</v>
      </c>
      <c r="Z157" s="55">
        <f t="shared" si="21"/>
        <v>660.33</v>
      </c>
      <c r="AA157" s="56" t="s">
        <v>44</v>
      </c>
      <c r="AB157"/>
    </row>
    <row r="158" spans="1:28" x14ac:dyDescent="0.25">
      <c r="A158" s="26" t="s">
        <v>345</v>
      </c>
      <c r="B158" s="26" t="s">
        <v>34</v>
      </c>
      <c r="C158" s="26" t="str">
        <f t="shared" si="16"/>
        <v>Carlos Silva</v>
      </c>
      <c r="D158" s="37" t="s">
        <v>1690</v>
      </c>
      <c r="E158" s="27">
        <f>DATEVALUE(D158)</f>
        <v>46016</v>
      </c>
      <c r="F158" s="26" t="s">
        <v>15</v>
      </c>
      <c r="G158" s="26" t="str">
        <f t="shared" si="18"/>
        <v>Larissa Dias</v>
      </c>
      <c r="H158" s="26" t="s">
        <v>16</v>
      </c>
      <c r="I158" s="26" t="s">
        <v>17</v>
      </c>
      <c r="J158" s="28">
        <v>5</v>
      </c>
      <c r="K158" s="29">
        <v>39</v>
      </c>
      <c r="L158" s="29">
        <v>0</v>
      </c>
      <c r="M158" s="30">
        <f t="shared" si="20"/>
        <v>195</v>
      </c>
      <c r="N158" s="26" t="s">
        <v>18</v>
      </c>
      <c r="Q158" s="42" t="s">
        <v>345</v>
      </c>
      <c r="R158" s="42" t="s">
        <v>34</v>
      </c>
      <c r="S158" s="57">
        <f t="shared" si="19"/>
        <v>46016</v>
      </c>
      <c r="T158" s="44" t="s">
        <v>15</v>
      </c>
      <c r="U158" s="43" t="s">
        <v>16</v>
      </c>
      <c r="V158" s="42" t="s">
        <v>17</v>
      </c>
      <c r="W158" s="45">
        <v>5</v>
      </c>
      <c r="X158" s="46">
        <v>39</v>
      </c>
      <c r="Y158" s="46">
        <v>0</v>
      </c>
      <c r="Z158" s="47">
        <f t="shared" si="21"/>
        <v>195</v>
      </c>
      <c r="AA158" s="48" t="s">
        <v>18</v>
      </c>
      <c r="AB158"/>
    </row>
    <row r="159" spans="1:28" x14ac:dyDescent="0.25">
      <c r="A159" s="31" t="s">
        <v>347</v>
      </c>
      <c r="B159" s="31" t="s">
        <v>37</v>
      </c>
      <c r="C159" s="32" t="str">
        <f t="shared" si="16"/>
        <v>Patricia Gomes</v>
      </c>
      <c r="D159" s="38" t="s">
        <v>157</v>
      </c>
      <c r="E159" s="33">
        <f t="shared" si="17"/>
        <v>45862</v>
      </c>
      <c r="F159" s="32" t="s">
        <v>22</v>
      </c>
      <c r="G159" s="32" t="str">
        <f t="shared" si="18"/>
        <v>Amanda Costa</v>
      </c>
      <c r="H159" s="32" t="s">
        <v>16</v>
      </c>
      <c r="I159" s="32" t="s">
        <v>116</v>
      </c>
      <c r="J159" s="34">
        <v>5</v>
      </c>
      <c r="K159" s="35">
        <v>45</v>
      </c>
      <c r="L159" s="35">
        <v>13.93</v>
      </c>
      <c r="M159" s="36">
        <f t="shared" si="20"/>
        <v>211.07</v>
      </c>
      <c r="N159" s="32" t="s">
        <v>32</v>
      </c>
      <c r="Q159" s="49" t="s">
        <v>347</v>
      </c>
      <c r="R159" s="49" t="s">
        <v>37</v>
      </c>
      <c r="S159" s="58">
        <f t="shared" si="19"/>
        <v>45862</v>
      </c>
      <c r="T159" s="51" t="s">
        <v>22</v>
      </c>
      <c r="U159" s="50" t="s">
        <v>16</v>
      </c>
      <c r="V159" s="52" t="s">
        <v>116</v>
      </c>
      <c r="W159" s="53">
        <v>5</v>
      </c>
      <c r="X159" s="54">
        <v>45</v>
      </c>
      <c r="Y159" s="54">
        <v>13.93</v>
      </c>
      <c r="Z159" s="55">
        <f t="shared" si="21"/>
        <v>211.07</v>
      </c>
      <c r="AA159" s="56" t="s">
        <v>32</v>
      </c>
      <c r="AB159"/>
    </row>
    <row r="160" spans="1:28" x14ac:dyDescent="0.25">
      <c r="A160" s="26" t="s">
        <v>348</v>
      </c>
      <c r="B160" s="26" t="s">
        <v>41</v>
      </c>
      <c r="C160" s="26" t="str">
        <f t="shared" si="16"/>
        <v>João Pereira</v>
      </c>
      <c r="D160" s="37" t="s">
        <v>349</v>
      </c>
      <c r="E160" s="27">
        <f t="shared" si="17"/>
        <v>45939</v>
      </c>
      <c r="F160" s="26" t="s">
        <v>15</v>
      </c>
      <c r="G160" s="26" t="str">
        <f t="shared" si="18"/>
        <v>Larissa Dias</v>
      </c>
      <c r="H160" s="26" t="s">
        <v>23</v>
      </c>
      <c r="I160" s="26" t="s">
        <v>43</v>
      </c>
      <c r="J160" s="28">
        <v>3</v>
      </c>
      <c r="K160" s="29">
        <v>350</v>
      </c>
      <c r="L160" s="29">
        <v>0</v>
      </c>
      <c r="M160" s="30">
        <f t="shared" si="20"/>
        <v>1050</v>
      </c>
      <c r="N160" s="26" t="s">
        <v>89</v>
      </c>
      <c r="Q160" s="42" t="s">
        <v>348</v>
      </c>
      <c r="R160" s="42" t="s">
        <v>41</v>
      </c>
      <c r="S160" s="57">
        <f t="shared" si="19"/>
        <v>45939</v>
      </c>
      <c r="T160" s="44" t="s">
        <v>15</v>
      </c>
      <c r="U160" s="43" t="s">
        <v>23</v>
      </c>
      <c r="V160" s="42" t="s">
        <v>43</v>
      </c>
      <c r="W160" s="45">
        <v>3</v>
      </c>
      <c r="X160" s="46">
        <v>350</v>
      </c>
      <c r="Y160" s="46">
        <v>0</v>
      </c>
      <c r="Z160" s="47">
        <f t="shared" si="21"/>
        <v>1050</v>
      </c>
      <c r="AA160" s="48" t="s">
        <v>89</v>
      </c>
      <c r="AB160"/>
    </row>
    <row r="161" spans="1:28" x14ac:dyDescent="0.25">
      <c r="A161" s="31" t="s">
        <v>350</v>
      </c>
      <c r="B161" s="31" t="s">
        <v>71</v>
      </c>
      <c r="C161" s="32" t="str">
        <f t="shared" si="16"/>
        <v>Juliana Costa</v>
      </c>
      <c r="D161" s="38" t="s">
        <v>1691</v>
      </c>
      <c r="E161" s="33">
        <f t="shared" si="17"/>
        <v>46023</v>
      </c>
      <c r="F161" s="32" t="s">
        <v>39</v>
      </c>
      <c r="G161" s="32" t="str">
        <f t="shared" si="18"/>
        <v>Rodrigo Mello</v>
      </c>
      <c r="H161" s="32" t="s">
        <v>30</v>
      </c>
      <c r="I161" s="32" t="s">
        <v>106</v>
      </c>
      <c r="J161" s="34">
        <v>3</v>
      </c>
      <c r="K161" s="35">
        <v>299</v>
      </c>
      <c r="L161" s="35">
        <v>116.55</v>
      </c>
      <c r="M161" s="36">
        <f t="shared" si="20"/>
        <v>780.45</v>
      </c>
      <c r="N161" s="32" t="s">
        <v>65</v>
      </c>
      <c r="Q161" s="49" t="s">
        <v>350</v>
      </c>
      <c r="R161" s="49" t="s">
        <v>71</v>
      </c>
      <c r="S161" s="58">
        <f t="shared" si="19"/>
        <v>46023</v>
      </c>
      <c r="T161" s="51" t="s">
        <v>39</v>
      </c>
      <c r="U161" s="50" t="s">
        <v>30</v>
      </c>
      <c r="V161" s="52" t="s">
        <v>106</v>
      </c>
      <c r="W161" s="53">
        <v>3</v>
      </c>
      <c r="X161" s="54">
        <v>299</v>
      </c>
      <c r="Y161" s="54">
        <v>116.55</v>
      </c>
      <c r="Z161" s="55">
        <f t="shared" si="21"/>
        <v>780.45</v>
      </c>
      <c r="AA161" s="56" t="s">
        <v>65</v>
      </c>
      <c r="AB161"/>
    </row>
    <row r="162" spans="1:28" x14ac:dyDescent="0.25">
      <c r="A162" s="26" t="s">
        <v>351</v>
      </c>
      <c r="B162" s="26" t="s">
        <v>13</v>
      </c>
      <c r="C162" s="26" t="str">
        <f t="shared" si="16"/>
        <v>Lucas Almeida</v>
      </c>
      <c r="D162" s="37" t="s">
        <v>292</v>
      </c>
      <c r="E162" s="27">
        <f t="shared" si="17"/>
        <v>45785</v>
      </c>
      <c r="F162" s="26" t="s">
        <v>29</v>
      </c>
      <c r="G162" s="26" t="str">
        <f t="shared" si="18"/>
        <v>Camila Rocha</v>
      </c>
      <c r="H162" s="26" t="s">
        <v>23</v>
      </c>
      <c r="I162" s="26" t="s">
        <v>88</v>
      </c>
      <c r="J162" s="28">
        <v>3</v>
      </c>
      <c r="K162" s="29">
        <v>650</v>
      </c>
      <c r="L162" s="29">
        <v>0</v>
      </c>
      <c r="M162" s="30">
        <f t="shared" si="20"/>
        <v>1950</v>
      </c>
      <c r="N162" s="26" t="s">
        <v>44</v>
      </c>
      <c r="Q162" s="42" t="s">
        <v>351</v>
      </c>
      <c r="R162" s="42" t="s">
        <v>13</v>
      </c>
      <c r="S162" s="57">
        <f t="shared" si="19"/>
        <v>45785</v>
      </c>
      <c r="T162" s="44" t="s">
        <v>29</v>
      </c>
      <c r="U162" s="43" t="s">
        <v>23</v>
      </c>
      <c r="V162" s="42" t="s">
        <v>88</v>
      </c>
      <c r="W162" s="45">
        <v>3</v>
      </c>
      <c r="X162" s="46">
        <v>650</v>
      </c>
      <c r="Y162" s="46">
        <v>0</v>
      </c>
      <c r="Z162" s="47">
        <f t="shared" si="21"/>
        <v>1950</v>
      </c>
      <c r="AA162" s="48" t="s">
        <v>44</v>
      </c>
      <c r="AB162"/>
    </row>
    <row r="163" spans="1:28" x14ac:dyDescent="0.25">
      <c r="A163" s="31" t="s">
        <v>352</v>
      </c>
      <c r="B163" s="31" t="s">
        <v>27</v>
      </c>
      <c r="C163" s="32" t="str">
        <f t="shared" si="16"/>
        <v>Roberto Santos</v>
      </c>
      <c r="D163" s="38" t="s">
        <v>353</v>
      </c>
      <c r="E163" s="33">
        <f t="shared" si="17"/>
        <v>45774</v>
      </c>
      <c r="F163" s="32" t="s">
        <v>47</v>
      </c>
      <c r="G163" s="32" t="str">
        <f t="shared" si="18"/>
        <v>Bruno Martins</v>
      </c>
      <c r="H163" s="32" t="s">
        <v>23</v>
      </c>
      <c r="I163" s="32" t="s">
        <v>88</v>
      </c>
      <c r="J163" s="34">
        <v>4</v>
      </c>
      <c r="K163" s="35">
        <v>650</v>
      </c>
      <c r="L163" s="35">
        <v>0</v>
      </c>
      <c r="M163" s="36">
        <f t="shared" si="20"/>
        <v>2600</v>
      </c>
      <c r="N163" s="32" t="s">
        <v>69</v>
      </c>
      <c r="Q163" s="49" t="s">
        <v>352</v>
      </c>
      <c r="R163" s="49" t="s">
        <v>27</v>
      </c>
      <c r="S163" s="58">
        <f t="shared" si="19"/>
        <v>45774</v>
      </c>
      <c r="T163" s="51" t="s">
        <v>47</v>
      </c>
      <c r="U163" s="50" t="s">
        <v>23</v>
      </c>
      <c r="V163" s="52" t="s">
        <v>88</v>
      </c>
      <c r="W163" s="53">
        <v>4</v>
      </c>
      <c r="X163" s="54">
        <v>650</v>
      </c>
      <c r="Y163" s="54">
        <v>0</v>
      </c>
      <c r="Z163" s="55">
        <f t="shared" si="21"/>
        <v>2600</v>
      </c>
      <c r="AA163" s="56" t="s">
        <v>69</v>
      </c>
      <c r="AB163"/>
    </row>
    <row r="164" spans="1:28" x14ac:dyDescent="0.25">
      <c r="A164" s="26" t="s">
        <v>354</v>
      </c>
      <c r="B164" s="26" t="s">
        <v>63</v>
      </c>
      <c r="C164" s="26" t="str">
        <f t="shared" si="16"/>
        <v>Marcos Rodrigues</v>
      </c>
      <c r="D164" s="37" t="s">
        <v>355</v>
      </c>
      <c r="E164" s="27">
        <f t="shared" si="17"/>
        <v>45895</v>
      </c>
      <c r="F164" s="26" t="s">
        <v>39</v>
      </c>
      <c r="G164" s="26" t="str">
        <f t="shared" si="18"/>
        <v>Rodrigo Mello</v>
      </c>
      <c r="H164" s="26" t="s">
        <v>52</v>
      </c>
      <c r="I164" s="26" t="s">
        <v>53</v>
      </c>
      <c r="J164" s="28">
        <v>4</v>
      </c>
      <c r="K164" s="29">
        <v>149</v>
      </c>
      <c r="L164" s="29">
        <v>11.44</v>
      </c>
      <c r="M164" s="30">
        <f t="shared" si="20"/>
        <v>584.55999999999995</v>
      </c>
      <c r="N164" s="26" t="s">
        <v>18</v>
      </c>
      <c r="Q164" s="42" t="s">
        <v>354</v>
      </c>
      <c r="R164" s="42" t="s">
        <v>63</v>
      </c>
      <c r="S164" s="57">
        <f t="shared" si="19"/>
        <v>45895</v>
      </c>
      <c r="T164" s="44" t="s">
        <v>39</v>
      </c>
      <c r="U164" s="43" t="s">
        <v>52</v>
      </c>
      <c r="V164" s="42" t="s">
        <v>53</v>
      </c>
      <c r="W164" s="45">
        <v>4</v>
      </c>
      <c r="X164" s="46">
        <v>149</v>
      </c>
      <c r="Y164" s="46">
        <v>11.44</v>
      </c>
      <c r="Z164" s="47">
        <f t="shared" si="21"/>
        <v>584.55999999999995</v>
      </c>
      <c r="AA164" s="48" t="s">
        <v>18</v>
      </c>
      <c r="AB164"/>
    </row>
    <row r="165" spans="1:28" x14ac:dyDescent="0.25">
      <c r="A165" s="31" t="s">
        <v>356</v>
      </c>
      <c r="B165" s="31" t="s">
        <v>34</v>
      </c>
      <c r="C165" s="32" t="str">
        <f t="shared" si="16"/>
        <v>Carlos Silva</v>
      </c>
      <c r="D165" s="38" t="s">
        <v>200</v>
      </c>
      <c r="E165" s="33">
        <f t="shared" si="17"/>
        <v>45870</v>
      </c>
      <c r="F165" s="32" t="s">
        <v>22</v>
      </c>
      <c r="G165" s="32" t="str">
        <f t="shared" si="18"/>
        <v>Amanda Costa</v>
      </c>
      <c r="H165" s="32" t="s">
        <v>16</v>
      </c>
      <c r="I165" s="32" t="s">
        <v>17</v>
      </c>
      <c r="J165" s="34">
        <v>5</v>
      </c>
      <c r="K165" s="35">
        <v>39</v>
      </c>
      <c r="L165" s="35">
        <v>16.809999999999999</v>
      </c>
      <c r="M165" s="36">
        <f t="shared" si="20"/>
        <v>178.19</v>
      </c>
      <c r="N165" s="32" t="s">
        <v>69</v>
      </c>
      <c r="Q165" s="49" t="s">
        <v>356</v>
      </c>
      <c r="R165" s="49" t="s">
        <v>34</v>
      </c>
      <c r="S165" s="58">
        <f t="shared" si="19"/>
        <v>45870</v>
      </c>
      <c r="T165" s="51" t="s">
        <v>22</v>
      </c>
      <c r="U165" s="50" t="s">
        <v>16</v>
      </c>
      <c r="V165" s="52" t="s">
        <v>17</v>
      </c>
      <c r="W165" s="53">
        <v>5</v>
      </c>
      <c r="X165" s="54">
        <v>39</v>
      </c>
      <c r="Y165" s="54">
        <v>16.809999999999999</v>
      </c>
      <c r="Z165" s="55">
        <f t="shared" si="21"/>
        <v>178.19</v>
      </c>
      <c r="AA165" s="56" t="s">
        <v>69</v>
      </c>
      <c r="AB165"/>
    </row>
    <row r="166" spans="1:28" x14ac:dyDescent="0.25">
      <c r="A166" s="26" t="s">
        <v>357</v>
      </c>
      <c r="B166" s="26" t="s">
        <v>20</v>
      </c>
      <c r="C166" s="26" t="str">
        <f t="shared" si="16"/>
        <v>Beatriz Ribeiro</v>
      </c>
      <c r="D166" s="37" t="s">
        <v>290</v>
      </c>
      <c r="E166" s="27">
        <f t="shared" si="17"/>
        <v>45884</v>
      </c>
      <c r="F166" s="26" t="s">
        <v>47</v>
      </c>
      <c r="G166" s="26" t="str">
        <f t="shared" si="18"/>
        <v>Bruno Martins</v>
      </c>
      <c r="H166" s="26" t="s">
        <v>23</v>
      </c>
      <c r="I166" s="26" t="s">
        <v>24</v>
      </c>
      <c r="J166" s="28">
        <v>1</v>
      </c>
      <c r="K166" s="29">
        <v>180</v>
      </c>
      <c r="L166" s="29">
        <v>26.03</v>
      </c>
      <c r="M166" s="30">
        <f t="shared" si="20"/>
        <v>153.97</v>
      </c>
      <c r="N166" s="26" t="s">
        <v>65</v>
      </c>
      <c r="Q166" s="42" t="s">
        <v>357</v>
      </c>
      <c r="R166" s="42" t="s">
        <v>20</v>
      </c>
      <c r="S166" s="57">
        <f t="shared" si="19"/>
        <v>45884</v>
      </c>
      <c r="T166" s="44" t="s">
        <v>47</v>
      </c>
      <c r="U166" s="43" t="s">
        <v>23</v>
      </c>
      <c r="V166" s="42" t="s">
        <v>24</v>
      </c>
      <c r="W166" s="45">
        <v>1</v>
      </c>
      <c r="X166" s="46">
        <v>180</v>
      </c>
      <c r="Y166" s="46">
        <v>26.03</v>
      </c>
      <c r="Z166" s="47">
        <f t="shared" si="21"/>
        <v>153.97</v>
      </c>
      <c r="AA166" s="48" t="s">
        <v>65</v>
      </c>
      <c r="AB166"/>
    </row>
    <row r="167" spans="1:28" x14ac:dyDescent="0.25">
      <c r="A167" s="31" t="s">
        <v>358</v>
      </c>
      <c r="B167" s="31" t="s">
        <v>71</v>
      </c>
      <c r="C167" s="32" t="str">
        <f t="shared" si="16"/>
        <v>Juliana Costa</v>
      </c>
      <c r="D167" s="38" t="s">
        <v>87</v>
      </c>
      <c r="E167" s="33">
        <f t="shared" si="17"/>
        <v>45996</v>
      </c>
      <c r="F167" s="32" t="s">
        <v>15</v>
      </c>
      <c r="G167" s="32" t="str">
        <f t="shared" si="18"/>
        <v>Larissa Dias</v>
      </c>
      <c r="H167" s="32" t="s">
        <v>23</v>
      </c>
      <c r="I167" s="32" t="s">
        <v>48</v>
      </c>
      <c r="J167" s="34">
        <v>2</v>
      </c>
      <c r="K167" s="35">
        <v>450</v>
      </c>
      <c r="L167" s="35">
        <v>0</v>
      </c>
      <c r="M167" s="36">
        <f t="shared" si="20"/>
        <v>900</v>
      </c>
      <c r="N167" s="32" t="s">
        <v>89</v>
      </c>
      <c r="Q167" s="49" t="s">
        <v>358</v>
      </c>
      <c r="R167" s="49" t="s">
        <v>71</v>
      </c>
      <c r="S167" s="58">
        <f t="shared" si="19"/>
        <v>45996</v>
      </c>
      <c r="T167" s="51" t="s">
        <v>15</v>
      </c>
      <c r="U167" s="50" t="s">
        <v>23</v>
      </c>
      <c r="V167" s="52" t="s">
        <v>48</v>
      </c>
      <c r="W167" s="53">
        <v>2</v>
      </c>
      <c r="X167" s="54">
        <v>450</v>
      </c>
      <c r="Y167" s="54">
        <v>0</v>
      </c>
      <c r="Z167" s="55">
        <f t="shared" si="21"/>
        <v>900</v>
      </c>
      <c r="AA167" s="56" t="s">
        <v>89</v>
      </c>
      <c r="AB167"/>
    </row>
    <row r="168" spans="1:28" x14ac:dyDescent="0.25">
      <c r="A168" s="26" t="s">
        <v>359</v>
      </c>
      <c r="B168" s="26" t="s">
        <v>55</v>
      </c>
      <c r="C168" s="26" t="str">
        <f t="shared" si="16"/>
        <v>Ricardo Carvalho</v>
      </c>
      <c r="D168" s="37" t="s">
        <v>360</v>
      </c>
      <c r="E168" s="27">
        <f t="shared" si="17"/>
        <v>45778</v>
      </c>
      <c r="F168" s="26" t="s">
        <v>47</v>
      </c>
      <c r="G168" s="26" t="str">
        <f t="shared" si="18"/>
        <v>Bruno Martins</v>
      </c>
      <c r="H168" s="26" t="s">
        <v>23</v>
      </c>
      <c r="I168" s="26" t="s">
        <v>43</v>
      </c>
      <c r="J168" s="28">
        <v>4</v>
      </c>
      <c r="K168" s="29">
        <v>350</v>
      </c>
      <c r="L168" s="29">
        <v>201.95</v>
      </c>
      <c r="M168" s="30">
        <f t="shared" si="20"/>
        <v>1198.05</v>
      </c>
      <c r="N168" s="26" t="s">
        <v>89</v>
      </c>
      <c r="Q168" s="42" t="s">
        <v>359</v>
      </c>
      <c r="R168" s="42" t="s">
        <v>55</v>
      </c>
      <c r="S168" s="57">
        <f t="shared" si="19"/>
        <v>45778</v>
      </c>
      <c r="T168" s="44" t="s">
        <v>47</v>
      </c>
      <c r="U168" s="43" t="s">
        <v>23</v>
      </c>
      <c r="V168" s="42" t="s">
        <v>43</v>
      </c>
      <c r="W168" s="45">
        <v>4</v>
      </c>
      <c r="X168" s="46">
        <v>350</v>
      </c>
      <c r="Y168" s="46">
        <v>201.95</v>
      </c>
      <c r="Z168" s="47">
        <f t="shared" si="21"/>
        <v>1198.05</v>
      </c>
      <c r="AA168" s="48" t="s">
        <v>89</v>
      </c>
      <c r="AB168"/>
    </row>
    <row r="169" spans="1:28" x14ac:dyDescent="0.25">
      <c r="A169" s="31" t="s">
        <v>361</v>
      </c>
      <c r="B169" s="31" t="s">
        <v>27</v>
      </c>
      <c r="C169" s="32" t="str">
        <f t="shared" si="16"/>
        <v>Roberto Santos</v>
      </c>
      <c r="D169" s="38" t="s">
        <v>362</v>
      </c>
      <c r="E169" s="33">
        <f t="shared" si="17"/>
        <v>45980</v>
      </c>
      <c r="F169" s="32" t="s">
        <v>47</v>
      </c>
      <c r="G169" s="32" t="str">
        <f t="shared" si="18"/>
        <v>Bruno Martins</v>
      </c>
      <c r="H169" s="32" t="s">
        <v>23</v>
      </c>
      <c r="I169" s="32" t="s">
        <v>43</v>
      </c>
      <c r="J169" s="34">
        <v>1</v>
      </c>
      <c r="K169" s="35">
        <v>350</v>
      </c>
      <c r="L169" s="35">
        <v>20.440000000000001</v>
      </c>
      <c r="M169" s="36">
        <f t="shared" si="20"/>
        <v>329.56</v>
      </c>
      <c r="N169" s="32" t="s">
        <v>49</v>
      </c>
      <c r="Q169" s="49" t="s">
        <v>361</v>
      </c>
      <c r="R169" s="49" t="s">
        <v>27</v>
      </c>
      <c r="S169" s="58">
        <f t="shared" si="19"/>
        <v>45980</v>
      </c>
      <c r="T169" s="51" t="s">
        <v>47</v>
      </c>
      <c r="U169" s="50" t="s">
        <v>23</v>
      </c>
      <c r="V169" s="52" t="s">
        <v>43</v>
      </c>
      <c r="W169" s="53">
        <v>1</v>
      </c>
      <c r="X169" s="54">
        <v>350</v>
      </c>
      <c r="Y169" s="54">
        <v>20.440000000000001</v>
      </c>
      <c r="Z169" s="55">
        <f t="shared" si="21"/>
        <v>329.56</v>
      </c>
      <c r="AA169" s="56" t="s">
        <v>49</v>
      </c>
      <c r="AB169"/>
    </row>
    <row r="170" spans="1:28" x14ac:dyDescent="0.25">
      <c r="A170" s="26" t="s">
        <v>363</v>
      </c>
      <c r="B170" s="26" t="s">
        <v>27</v>
      </c>
      <c r="C170" s="26" t="str">
        <f t="shared" si="16"/>
        <v>Roberto Santos</v>
      </c>
      <c r="D170" s="37" t="s">
        <v>364</v>
      </c>
      <c r="E170" s="27">
        <f t="shared" si="17"/>
        <v>45838</v>
      </c>
      <c r="F170" s="26" t="s">
        <v>29</v>
      </c>
      <c r="G170" s="26" t="str">
        <f t="shared" si="18"/>
        <v>Camila Rocha</v>
      </c>
      <c r="H170" s="26" t="s">
        <v>23</v>
      </c>
      <c r="I170" s="26" t="s">
        <v>24</v>
      </c>
      <c r="J170" s="28">
        <v>4</v>
      </c>
      <c r="K170" s="29">
        <v>180</v>
      </c>
      <c r="L170" s="29">
        <v>20.52</v>
      </c>
      <c r="M170" s="30">
        <f t="shared" si="20"/>
        <v>699.48</v>
      </c>
      <c r="N170" s="26" t="s">
        <v>25</v>
      </c>
      <c r="Q170" s="42" t="s">
        <v>363</v>
      </c>
      <c r="R170" s="42" t="s">
        <v>27</v>
      </c>
      <c r="S170" s="57">
        <f t="shared" si="19"/>
        <v>45838</v>
      </c>
      <c r="T170" s="44" t="s">
        <v>29</v>
      </c>
      <c r="U170" s="43" t="s">
        <v>23</v>
      </c>
      <c r="V170" s="42" t="s">
        <v>24</v>
      </c>
      <c r="W170" s="45">
        <v>4</v>
      </c>
      <c r="X170" s="46">
        <v>180</v>
      </c>
      <c r="Y170" s="46">
        <v>20.52</v>
      </c>
      <c r="Z170" s="47">
        <f t="shared" si="21"/>
        <v>699.48</v>
      </c>
      <c r="AA170" s="48" t="s">
        <v>25</v>
      </c>
      <c r="AB170"/>
    </row>
    <row r="171" spans="1:28" x14ac:dyDescent="0.25">
      <c r="A171" s="31" t="s">
        <v>365</v>
      </c>
      <c r="B171" s="31" t="s">
        <v>37</v>
      </c>
      <c r="C171" s="32" t="str">
        <f t="shared" si="16"/>
        <v>Patricia Gomes</v>
      </c>
      <c r="D171" s="38" t="s">
        <v>366</v>
      </c>
      <c r="E171" s="33">
        <f t="shared" si="17"/>
        <v>45806</v>
      </c>
      <c r="F171" s="32" t="s">
        <v>15</v>
      </c>
      <c r="G171" s="32" t="str">
        <f t="shared" si="18"/>
        <v>Larissa Dias</v>
      </c>
      <c r="H171" s="32" t="s">
        <v>16</v>
      </c>
      <c r="I171" s="32" t="s">
        <v>17</v>
      </c>
      <c r="J171" s="34">
        <v>5</v>
      </c>
      <c r="K171" s="35">
        <v>39</v>
      </c>
      <c r="L171" s="35">
        <v>25.57</v>
      </c>
      <c r="M171" s="36">
        <f t="shared" si="20"/>
        <v>169.43</v>
      </c>
      <c r="N171" s="32" t="s">
        <v>69</v>
      </c>
      <c r="Q171" s="49" t="s">
        <v>365</v>
      </c>
      <c r="R171" s="49" t="s">
        <v>37</v>
      </c>
      <c r="S171" s="58">
        <f t="shared" si="19"/>
        <v>45806</v>
      </c>
      <c r="T171" s="51" t="s">
        <v>15</v>
      </c>
      <c r="U171" s="50" t="s">
        <v>16</v>
      </c>
      <c r="V171" s="52" t="s">
        <v>17</v>
      </c>
      <c r="W171" s="53">
        <v>5</v>
      </c>
      <c r="X171" s="54">
        <v>39</v>
      </c>
      <c r="Y171" s="54">
        <v>25.57</v>
      </c>
      <c r="Z171" s="55">
        <f t="shared" si="21"/>
        <v>169.43</v>
      </c>
      <c r="AA171" s="56" t="s">
        <v>69</v>
      </c>
      <c r="AB171"/>
    </row>
    <row r="172" spans="1:28" x14ac:dyDescent="0.25">
      <c r="A172" s="26" t="s">
        <v>367</v>
      </c>
      <c r="B172" s="26" t="s">
        <v>101</v>
      </c>
      <c r="C172" s="26" t="str">
        <f t="shared" si="16"/>
        <v>Ana Souza</v>
      </c>
      <c r="D172" s="37" t="s">
        <v>368</v>
      </c>
      <c r="E172" s="27">
        <f t="shared" si="17"/>
        <v>45673</v>
      </c>
      <c r="F172" s="26" t="s">
        <v>29</v>
      </c>
      <c r="G172" s="26" t="str">
        <f t="shared" si="18"/>
        <v>Camila Rocha</v>
      </c>
      <c r="H172" s="26" t="s">
        <v>16</v>
      </c>
      <c r="I172" s="26" t="s">
        <v>78</v>
      </c>
      <c r="J172" s="28">
        <v>3</v>
      </c>
      <c r="K172" s="29">
        <v>59</v>
      </c>
      <c r="L172" s="29">
        <v>0</v>
      </c>
      <c r="M172" s="30">
        <f t="shared" si="20"/>
        <v>177</v>
      </c>
      <c r="N172" s="26" t="s">
        <v>65</v>
      </c>
      <c r="Q172" s="42" t="s">
        <v>367</v>
      </c>
      <c r="R172" s="42" t="s">
        <v>101</v>
      </c>
      <c r="S172" s="57">
        <f t="shared" si="19"/>
        <v>45673</v>
      </c>
      <c r="T172" s="44" t="s">
        <v>29</v>
      </c>
      <c r="U172" s="43" t="s">
        <v>16</v>
      </c>
      <c r="V172" s="42" t="s">
        <v>78</v>
      </c>
      <c r="W172" s="45">
        <v>3</v>
      </c>
      <c r="X172" s="46">
        <v>59</v>
      </c>
      <c r="Y172" s="46">
        <v>0</v>
      </c>
      <c r="Z172" s="47">
        <f t="shared" si="21"/>
        <v>177</v>
      </c>
      <c r="AA172" s="48" t="s">
        <v>65</v>
      </c>
      <c r="AB172"/>
    </row>
    <row r="173" spans="1:28" x14ac:dyDescent="0.25">
      <c r="A173" s="31" t="s">
        <v>369</v>
      </c>
      <c r="B173" s="31" t="s">
        <v>37</v>
      </c>
      <c r="C173" s="32" t="str">
        <f t="shared" si="16"/>
        <v>Patricia Gomes</v>
      </c>
      <c r="D173" s="38" t="s">
        <v>80</v>
      </c>
      <c r="E173" s="33">
        <f t="shared" si="17"/>
        <v>45813</v>
      </c>
      <c r="F173" s="32" t="s">
        <v>47</v>
      </c>
      <c r="G173" s="32" t="str">
        <f t="shared" si="18"/>
        <v>Bruno Martins</v>
      </c>
      <c r="H173" s="32" t="s">
        <v>16</v>
      </c>
      <c r="I173" s="32" t="s">
        <v>103</v>
      </c>
      <c r="J173" s="34">
        <v>5</v>
      </c>
      <c r="K173" s="35">
        <v>89</v>
      </c>
      <c r="L173" s="35">
        <v>16.420000000000002</v>
      </c>
      <c r="M173" s="36">
        <f t="shared" si="20"/>
        <v>428.58</v>
      </c>
      <c r="N173" s="32" t="s">
        <v>49</v>
      </c>
      <c r="Q173" s="49" t="s">
        <v>369</v>
      </c>
      <c r="R173" s="49" t="s">
        <v>37</v>
      </c>
      <c r="S173" s="58">
        <f t="shared" si="19"/>
        <v>45813</v>
      </c>
      <c r="T173" s="51" t="s">
        <v>47</v>
      </c>
      <c r="U173" s="50" t="s">
        <v>16</v>
      </c>
      <c r="V173" s="52" t="s">
        <v>103</v>
      </c>
      <c r="W173" s="53">
        <v>5</v>
      </c>
      <c r="X173" s="54">
        <v>89</v>
      </c>
      <c r="Y173" s="54">
        <v>16.420000000000002</v>
      </c>
      <c r="Z173" s="55">
        <f t="shared" si="21"/>
        <v>428.58</v>
      </c>
      <c r="AA173" s="56" t="s">
        <v>49</v>
      </c>
      <c r="AB173"/>
    </row>
    <row r="174" spans="1:28" x14ac:dyDescent="0.25">
      <c r="A174" s="26" t="s">
        <v>370</v>
      </c>
      <c r="B174" s="26" t="s">
        <v>71</v>
      </c>
      <c r="C174" s="26" t="str">
        <f t="shared" si="16"/>
        <v>Juliana Costa</v>
      </c>
      <c r="D174" s="37" t="s">
        <v>371</v>
      </c>
      <c r="E174" s="27">
        <f t="shared" si="17"/>
        <v>46007</v>
      </c>
      <c r="F174" s="26" t="s">
        <v>29</v>
      </c>
      <c r="G174" s="26" t="str">
        <f t="shared" si="18"/>
        <v>Camila Rocha</v>
      </c>
      <c r="H174" s="26" t="s">
        <v>16</v>
      </c>
      <c r="I174" s="26" t="s">
        <v>116</v>
      </c>
      <c r="J174" s="28">
        <v>5</v>
      </c>
      <c r="K174" s="29">
        <v>45</v>
      </c>
      <c r="L174" s="29">
        <v>4.8099999999999996</v>
      </c>
      <c r="M174" s="30">
        <f t="shared" si="20"/>
        <v>220.19</v>
      </c>
      <c r="N174" s="26" t="s">
        <v>65</v>
      </c>
      <c r="Q174" s="42" t="s">
        <v>370</v>
      </c>
      <c r="R174" s="42" t="s">
        <v>71</v>
      </c>
      <c r="S174" s="57">
        <f t="shared" si="19"/>
        <v>46007</v>
      </c>
      <c r="T174" s="44" t="s">
        <v>29</v>
      </c>
      <c r="U174" s="43" t="s">
        <v>16</v>
      </c>
      <c r="V174" s="42" t="s">
        <v>116</v>
      </c>
      <c r="W174" s="45">
        <v>5</v>
      </c>
      <c r="X174" s="46">
        <v>45</v>
      </c>
      <c r="Y174" s="46">
        <v>4.8099999999999996</v>
      </c>
      <c r="Z174" s="47">
        <f t="shared" si="21"/>
        <v>220.19</v>
      </c>
      <c r="AA174" s="48" t="s">
        <v>65</v>
      </c>
      <c r="AB174"/>
    </row>
    <row r="175" spans="1:28" x14ac:dyDescent="0.25">
      <c r="A175" s="31" t="s">
        <v>372</v>
      </c>
      <c r="B175" s="31" t="s">
        <v>27</v>
      </c>
      <c r="C175" s="32" t="str">
        <f t="shared" si="16"/>
        <v>Roberto Santos</v>
      </c>
      <c r="D175" s="38" t="s">
        <v>373</v>
      </c>
      <c r="E175" s="33">
        <f t="shared" si="17"/>
        <v>46024</v>
      </c>
      <c r="F175" s="32" t="s">
        <v>39</v>
      </c>
      <c r="G175" s="32" t="str">
        <f t="shared" si="18"/>
        <v>Rodrigo Mello</v>
      </c>
      <c r="H175" s="32" t="s">
        <v>30</v>
      </c>
      <c r="I175" s="32" t="s">
        <v>68</v>
      </c>
      <c r="J175" s="34">
        <v>2</v>
      </c>
      <c r="K175" s="35">
        <v>799</v>
      </c>
      <c r="L175" s="35">
        <v>0</v>
      </c>
      <c r="M175" s="36">
        <f t="shared" si="20"/>
        <v>1598</v>
      </c>
      <c r="N175" s="32" t="s">
        <v>65</v>
      </c>
      <c r="Q175" s="49" t="s">
        <v>372</v>
      </c>
      <c r="R175" s="49" t="s">
        <v>27</v>
      </c>
      <c r="S175" s="58">
        <f t="shared" si="19"/>
        <v>46024</v>
      </c>
      <c r="T175" s="51" t="s">
        <v>39</v>
      </c>
      <c r="U175" s="50" t="s">
        <v>30</v>
      </c>
      <c r="V175" s="52" t="s">
        <v>68</v>
      </c>
      <c r="W175" s="53">
        <v>2</v>
      </c>
      <c r="X175" s="54">
        <v>799</v>
      </c>
      <c r="Y175" s="54">
        <v>0</v>
      </c>
      <c r="Z175" s="55">
        <f t="shared" si="21"/>
        <v>1598</v>
      </c>
      <c r="AA175" s="56" t="s">
        <v>65</v>
      </c>
      <c r="AB175"/>
    </row>
    <row r="176" spans="1:28" x14ac:dyDescent="0.25">
      <c r="A176" s="26" t="s">
        <v>374</v>
      </c>
      <c r="B176" s="26" t="s">
        <v>101</v>
      </c>
      <c r="C176" s="26" t="str">
        <f t="shared" si="16"/>
        <v>Ana Souza</v>
      </c>
      <c r="D176" s="37" t="s">
        <v>263</v>
      </c>
      <c r="E176" s="27">
        <f t="shared" si="17"/>
        <v>45684</v>
      </c>
      <c r="F176" s="26" t="s">
        <v>47</v>
      </c>
      <c r="G176" s="26" t="str">
        <f t="shared" si="18"/>
        <v>Bruno Martins</v>
      </c>
      <c r="H176" s="26" t="s">
        <v>16</v>
      </c>
      <c r="I176" s="26" t="s">
        <v>103</v>
      </c>
      <c r="J176" s="28">
        <v>3</v>
      </c>
      <c r="K176" s="29">
        <v>89</v>
      </c>
      <c r="L176" s="29">
        <v>0</v>
      </c>
      <c r="M176" s="30">
        <f t="shared" si="20"/>
        <v>267</v>
      </c>
      <c r="N176" s="26" t="s">
        <v>89</v>
      </c>
      <c r="Q176" s="42" t="s">
        <v>374</v>
      </c>
      <c r="R176" s="42" t="s">
        <v>101</v>
      </c>
      <c r="S176" s="57">
        <f t="shared" si="19"/>
        <v>45684</v>
      </c>
      <c r="T176" s="44" t="s">
        <v>47</v>
      </c>
      <c r="U176" s="43" t="s">
        <v>16</v>
      </c>
      <c r="V176" s="42" t="s">
        <v>103</v>
      </c>
      <c r="W176" s="45">
        <v>3</v>
      </c>
      <c r="X176" s="46">
        <v>89</v>
      </c>
      <c r="Y176" s="46">
        <v>0</v>
      </c>
      <c r="Z176" s="47">
        <f t="shared" si="21"/>
        <v>267</v>
      </c>
      <c r="AA176" s="48" t="s">
        <v>89</v>
      </c>
      <c r="AB176"/>
    </row>
    <row r="177" spans="1:28" x14ac:dyDescent="0.25">
      <c r="A177" s="31" t="s">
        <v>375</v>
      </c>
      <c r="B177" s="31" t="s">
        <v>63</v>
      </c>
      <c r="C177" s="32" t="str">
        <f t="shared" si="16"/>
        <v>Marcos Rodrigues</v>
      </c>
      <c r="D177" s="38" t="s">
        <v>120</v>
      </c>
      <c r="E177" s="33">
        <f t="shared" si="17"/>
        <v>45730</v>
      </c>
      <c r="F177" s="32" t="s">
        <v>15</v>
      </c>
      <c r="G177" s="32" t="str">
        <f t="shared" si="18"/>
        <v>Larissa Dias</v>
      </c>
      <c r="H177" s="32" t="s">
        <v>16</v>
      </c>
      <c r="I177" s="32" t="s">
        <v>17</v>
      </c>
      <c r="J177" s="34">
        <v>3</v>
      </c>
      <c r="K177" s="35">
        <v>39</v>
      </c>
      <c r="L177" s="35">
        <v>1.33</v>
      </c>
      <c r="M177" s="36">
        <f t="shared" si="20"/>
        <v>115.67</v>
      </c>
      <c r="N177" s="32" t="s">
        <v>18</v>
      </c>
      <c r="Q177" s="49" t="s">
        <v>375</v>
      </c>
      <c r="R177" s="49" t="s">
        <v>63</v>
      </c>
      <c r="S177" s="58">
        <f t="shared" si="19"/>
        <v>45730</v>
      </c>
      <c r="T177" s="51" t="s">
        <v>15</v>
      </c>
      <c r="U177" s="50" t="s">
        <v>16</v>
      </c>
      <c r="V177" s="52" t="s">
        <v>17</v>
      </c>
      <c r="W177" s="53">
        <v>3</v>
      </c>
      <c r="X177" s="54">
        <v>39</v>
      </c>
      <c r="Y177" s="54">
        <v>1.33</v>
      </c>
      <c r="Z177" s="55">
        <f t="shared" si="21"/>
        <v>115.67</v>
      </c>
      <c r="AA177" s="56" t="s">
        <v>18</v>
      </c>
      <c r="AB177"/>
    </row>
    <row r="178" spans="1:28" x14ac:dyDescent="0.25">
      <c r="A178" s="26" t="s">
        <v>376</v>
      </c>
      <c r="B178" s="26" t="s">
        <v>101</v>
      </c>
      <c r="C178" s="26" t="str">
        <f t="shared" si="16"/>
        <v>Ana Souza</v>
      </c>
      <c r="D178" s="37" t="s">
        <v>377</v>
      </c>
      <c r="E178" s="27">
        <f t="shared" si="17"/>
        <v>45975</v>
      </c>
      <c r="F178" s="26" t="s">
        <v>29</v>
      </c>
      <c r="G178" s="26" t="str">
        <f t="shared" si="18"/>
        <v>Camila Rocha</v>
      </c>
      <c r="H178" s="26" t="s">
        <v>30</v>
      </c>
      <c r="I178" s="26" t="s">
        <v>31</v>
      </c>
      <c r="J178" s="28">
        <v>5</v>
      </c>
      <c r="K178" s="29">
        <v>2500</v>
      </c>
      <c r="L178" s="29">
        <v>0</v>
      </c>
      <c r="M178" s="30">
        <f t="shared" si="20"/>
        <v>12500</v>
      </c>
      <c r="N178" s="26" t="s">
        <v>49</v>
      </c>
      <c r="Q178" s="42" t="s">
        <v>376</v>
      </c>
      <c r="R178" s="42" t="s">
        <v>101</v>
      </c>
      <c r="S178" s="57">
        <f t="shared" si="19"/>
        <v>45975</v>
      </c>
      <c r="T178" s="44" t="s">
        <v>29</v>
      </c>
      <c r="U178" s="43" t="s">
        <v>30</v>
      </c>
      <c r="V178" s="42" t="s">
        <v>31</v>
      </c>
      <c r="W178" s="45">
        <v>5</v>
      </c>
      <c r="X178" s="46">
        <v>2500</v>
      </c>
      <c r="Y178" s="46">
        <v>0</v>
      </c>
      <c r="Z178" s="47">
        <f t="shared" si="21"/>
        <v>12500</v>
      </c>
      <c r="AA178" s="48" t="s">
        <v>49</v>
      </c>
      <c r="AB178"/>
    </row>
    <row r="179" spans="1:28" x14ac:dyDescent="0.25">
      <c r="A179" s="31" t="s">
        <v>378</v>
      </c>
      <c r="B179" s="31" t="s">
        <v>71</v>
      </c>
      <c r="C179" s="32" t="str">
        <f t="shared" si="16"/>
        <v>Juliana Costa</v>
      </c>
      <c r="D179" s="38" t="s">
        <v>379</v>
      </c>
      <c r="E179" s="33">
        <f t="shared" si="17"/>
        <v>45797</v>
      </c>
      <c r="F179" s="32" t="s">
        <v>39</v>
      </c>
      <c r="G179" s="32" t="str">
        <f t="shared" si="18"/>
        <v>Rodrigo Mello</v>
      </c>
      <c r="H179" s="32" t="s">
        <v>30</v>
      </c>
      <c r="I179" s="32" t="s">
        <v>68</v>
      </c>
      <c r="J179" s="34">
        <v>3</v>
      </c>
      <c r="K179" s="35">
        <v>799</v>
      </c>
      <c r="L179" s="35">
        <v>237.84</v>
      </c>
      <c r="M179" s="36">
        <f t="shared" si="20"/>
        <v>2159.16</v>
      </c>
      <c r="N179" s="32" t="s">
        <v>49</v>
      </c>
      <c r="Q179" s="49" t="s">
        <v>378</v>
      </c>
      <c r="R179" s="49" t="s">
        <v>71</v>
      </c>
      <c r="S179" s="58">
        <f t="shared" si="19"/>
        <v>45797</v>
      </c>
      <c r="T179" s="51" t="s">
        <v>39</v>
      </c>
      <c r="U179" s="50" t="s">
        <v>30</v>
      </c>
      <c r="V179" s="52" t="s">
        <v>68</v>
      </c>
      <c r="W179" s="53">
        <v>3</v>
      </c>
      <c r="X179" s="54">
        <v>799</v>
      </c>
      <c r="Y179" s="54">
        <v>237.84</v>
      </c>
      <c r="Z179" s="55">
        <f t="shared" si="21"/>
        <v>2159.16</v>
      </c>
      <c r="AA179" s="56" t="s">
        <v>49</v>
      </c>
      <c r="AB179"/>
    </row>
    <row r="180" spans="1:28" x14ac:dyDescent="0.25">
      <c r="A180" s="26" t="s">
        <v>380</v>
      </c>
      <c r="B180" s="26" t="s">
        <v>37</v>
      </c>
      <c r="C180" s="26" t="str">
        <f t="shared" si="16"/>
        <v>Patricia Gomes</v>
      </c>
      <c r="D180" s="37" t="s">
        <v>381</v>
      </c>
      <c r="E180" s="27">
        <f t="shared" si="17"/>
        <v>46037</v>
      </c>
      <c r="F180" s="26" t="s">
        <v>22</v>
      </c>
      <c r="G180" s="26" t="str">
        <f t="shared" si="18"/>
        <v>Amanda Costa</v>
      </c>
      <c r="H180" s="26" t="s">
        <v>52</v>
      </c>
      <c r="I180" s="26" t="s">
        <v>53</v>
      </c>
      <c r="J180" s="28">
        <v>5</v>
      </c>
      <c r="K180" s="29">
        <v>149</v>
      </c>
      <c r="L180" s="29">
        <v>16.559999999999999</v>
      </c>
      <c r="M180" s="30">
        <f t="shared" si="20"/>
        <v>728.44</v>
      </c>
      <c r="N180" s="26" t="s">
        <v>25</v>
      </c>
      <c r="Q180" s="42" t="s">
        <v>380</v>
      </c>
      <c r="R180" s="42" t="s">
        <v>37</v>
      </c>
      <c r="S180" s="57">
        <f t="shared" si="19"/>
        <v>46037</v>
      </c>
      <c r="T180" s="44" t="s">
        <v>22</v>
      </c>
      <c r="U180" s="43" t="s">
        <v>52</v>
      </c>
      <c r="V180" s="42" t="s">
        <v>53</v>
      </c>
      <c r="W180" s="45">
        <v>5</v>
      </c>
      <c r="X180" s="46">
        <v>149</v>
      </c>
      <c r="Y180" s="46">
        <v>16.559999999999999</v>
      </c>
      <c r="Z180" s="47">
        <f t="shared" si="21"/>
        <v>728.44</v>
      </c>
      <c r="AA180" s="48" t="s">
        <v>25</v>
      </c>
      <c r="AB180"/>
    </row>
    <row r="181" spans="1:28" x14ac:dyDescent="0.25">
      <c r="A181" s="31" t="s">
        <v>380</v>
      </c>
      <c r="B181" s="31" t="s">
        <v>37</v>
      </c>
      <c r="C181" s="32" t="str">
        <f t="shared" si="16"/>
        <v>Patricia Gomes</v>
      </c>
      <c r="D181" s="38" t="s">
        <v>726</v>
      </c>
      <c r="E181" s="33">
        <f t="shared" si="17"/>
        <v>45690</v>
      </c>
      <c r="F181" s="32" t="s">
        <v>15</v>
      </c>
      <c r="G181" s="32" t="str">
        <f t="shared" si="18"/>
        <v>Larissa Dias</v>
      </c>
      <c r="H181" s="32" t="s">
        <v>23</v>
      </c>
      <c r="I181" s="32" t="s">
        <v>48</v>
      </c>
      <c r="J181" s="34">
        <v>2</v>
      </c>
      <c r="K181" s="35">
        <v>450</v>
      </c>
      <c r="L181" s="35">
        <v>0</v>
      </c>
      <c r="M181" s="36">
        <f t="shared" si="20"/>
        <v>900</v>
      </c>
      <c r="N181" s="32" t="s">
        <v>89</v>
      </c>
      <c r="Q181" s="49" t="s">
        <v>380</v>
      </c>
      <c r="R181" s="49" t="s">
        <v>37</v>
      </c>
      <c r="S181" s="58">
        <f t="shared" si="19"/>
        <v>45690</v>
      </c>
      <c r="T181" s="51" t="s">
        <v>15</v>
      </c>
      <c r="U181" s="50" t="s">
        <v>23</v>
      </c>
      <c r="V181" s="52" t="s">
        <v>48</v>
      </c>
      <c r="W181" s="53">
        <v>2</v>
      </c>
      <c r="X181" s="54">
        <v>450</v>
      </c>
      <c r="Y181" s="54">
        <v>0</v>
      </c>
      <c r="Z181" s="55">
        <f t="shared" si="21"/>
        <v>900</v>
      </c>
      <c r="AA181" s="56" t="s">
        <v>89</v>
      </c>
      <c r="AB181"/>
    </row>
    <row r="182" spans="1:28" x14ac:dyDescent="0.25">
      <c r="A182" s="26" t="s">
        <v>382</v>
      </c>
      <c r="B182" s="26" t="s">
        <v>13</v>
      </c>
      <c r="C182" s="26" t="str">
        <f t="shared" si="16"/>
        <v>Lucas Almeida</v>
      </c>
      <c r="D182" s="37" t="s">
        <v>132</v>
      </c>
      <c r="E182" s="27">
        <f t="shared" si="17"/>
        <v>45747</v>
      </c>
      <c r="F182" s="26" t="s">
        <v>39</v>
      </c>
      <c r="G182" s="26" t="str">
        <f t="shared" si="18"/>
        <v>Rodrigo Mello</v>
      </c>
      <c r="H182" s="26" t="s">
        <v>30</v>
      </c>
      <c r="I182" s="26" t="s">
        <v>68</v>
      </c>
      <c r="J182" s="28">
        <v>5</v>
      </c>
      <c r="K182" s="29">
        <v>799</v>
      </c>
      <c r="L182" s="29">
        <v>327.49</v>
      </c>
      <c r="M182" s="30">
        <f t="shared" si="20"/>
        <v>3667.51</v>
      </c>
      <c r="N182" s="26" t="s">
        <v>49</v>
      </c>
      <c r="Q182" s="42" t="s">
        <v>382</v>
      </c>
      <c r="R182" s="42" t="s">
        <v>13</v>
      </c>
      <c r="S182" s="57">
        <f t="shared" si="19"/>
        <v>45747</v>
      </c>
      <c r="T182" s="44" t="s">
        <v>39</v>
      </c>
      <c r="U182" s="43" t="s">
        <v>30</v>
      </c>
      <c r="V182" s="42" t="s">
        <v>68</v>
      </c>
      <c r="W182" s="45">
        <v>5</v>
      </c>
      <c r="X182" s="46">
        <v>799</v>
      </c>
      <c r="Y182" s="46">
        <v>327.49</v>
      </c>
      <c r="Z182" s="47">
        <f t="shared" si="21"/>
        <v>3667.51</v>
      </c>
      <c r="AA182" s="48" t="s">
        <v>49</v>
      </c>
      <c r="AB182"/>
    </row>
    <row r="183" spans="1:28" x14ac:dyDescent="0.25">
      <c r="A183" s="31" t="s">
        <v>383</v>
      </c>
      <c r="B183" s="31" t="s">
        <v>55</v>
      </c>
      <c r="C183" s="32" t="str">
        <f t="shared" si="16"/>
        <v>Ricardo Carvalho</v>
      </c>
      <c r="D183" s="38" t="s">
        <v>384</v>
      </c>
      <c r="E183" s="33">
        <f t="shared" si="17"/>
        <v>46058</v>
      </c>
      <c r="F183" s="32" t="s">
        <v>47</v>
      </c>
      <c r="G183" s="32" t="str">
        <f t="shared" si="18"/>
        <v>Bruno Martins</v>
      </c>
      <c r="H183" s="32" t="s">
        <v>23</v>
      </c>
      <c r="I183" s="32" t="s">
        <v>48</v>
      </c>
      <c r="J183" s="34">
        <v>3</v>
      </c>
      <c r="K183" s="35">
        <v>450</v>
      </c>
      <c r="L183" s="35">
        <v>174.47</v>
      </c>
      <c r="M183" s="36">
        <f t="shared" si="20"/>
        <v>1175.53</v>
      </c>
      <c r="N183" s="32" t="s">
        <v>49</v>
      </c>
      <c r="Q183" s="49" t="s">
        <v>383</v>
      </c>
      <c r="R183" s="49" t="s">
        <v>55</v>
      </c>
      <c r="S183" s="58">
        <f t="shared" si="19"/>
        <v>46058</v>
      </c>
      <c r="T183" s="51" t="s">
        <v>47</v>
      </c>
      <c r="U183" s="50" t="s">
        <v>23</v>
      </c>
      <c r="V183" s="52" t="s">
        <v>48</v>
      </c>
      <c r="W183" s="53">
        <v>3</v>
      </c>
      <c r="X183" s="54">
        <v>450</v>
      </c>
      <c r="Y183" s="54">
        <v>174.47</v>
      </c>
      <c r="Z183" s="55">
        <f t="shared" si="21"/>
        <v>1175.53</v>
      </c>
      <c r="AA183" s="56" t="s">
        <v>49</v>
      </c>
      <c r="AB183"/>
    </row>
    <row r="184" spans="1:28" x14ac:dyDescent="0.25">
      <c r="A184" s="26" t="s">
        <v>385</v>
      </c>
      <c r="B184" s="26" t="s">
        <v>13</v>
      </c>
      <c r="C184" s="26" t="str">
        <f t="shared" si="16"/>
        <v>Lucas Almeida</v>
      </c>
      <c r="D184" s="37" t="s">
        <v>386</v>
      </c>
      <c r="E184" s="27">
        <f t="shared" si="17"/>
        <v>45883</v>
      </c>
      <c r="F184" s="26" t="s">
        <v>29</v>
      </c>
      <c r="G184" s="26" t="str">
        <f t="shared" si="18"/>
        <v>Camila Rocha</v>
      </c>
      <c r="H184" s="26" t="s">
        <v>16</v>
      </c>
      <c r="I184" s="26" t="s">
        <v>78</v>
      </c>
      <c r="J184" s="28">
        <v>4</v>
      </c>
      <c r="K184" s="29">
        <v>59</v>
      </c>
      <c r="L184" s="29">
        <v>0</v>
      </c>
      <c r="M184" s="30">
        <f t="shared" si="20"/>
        <v>236</v>
      </c>
      <c r="N184" s="26" t="s">
        <v>18</v>
      </c>
      <c r="Q184" s="42" t="s">
        <v>385</v>
      </c>
      <c r="R184" s="42" t="s">
        <v>13</v>
      </c>
      <c r="S184" s="57">
        <f t="shared" si="19"/>
        <v>45883</v>
      </c>
      <c r="T184" s="44" t="s">
        <v>29</v>
      </c>
      <c r="U184" s="43" t="s">
        <v>16</v>
      </c>
      <c r="V184" s="42" t="s">
        <v>78</v>
      </c>
      <c r="W184" s="45">
        <v>4</v>
      </c>
      <c r="X184" s="46">
        <v>59</v>
      </c>
      <c r="Y184" s="46">
        <v>0</v>
      </c>
      <c r="Z184" s="47">
        <f t="shared" si="21"/>
        <v>236</v>
      </c>
      <c r="AA184" s="48" t="s">
        <v>18</v>
      </c>
      <c r="AB184"/>
    </row>
    <row r="185" spans="1:28" x14ac:dyDescent="0.25">
      <c r="A185" s="31" t="s">
        <v>387</v>
      </c>
      <c r="B185" s="31" t="s">
        <v>27</v>
      </c>
      <c r="C185" s="32" t="str">
        <f t="shared" si="16"/>
        <v>Roberto Santos</v>
      </c>
      <c r="D185" s="38" t="s">
        <v>388</v>
      </c>
      <c r="E185" s="33">
        <f t="shared" si="17"/>
        <v>45790</v>
      </c>
      <c r="F185" s="32" t="s">
        <v>15</v>
      </c>
      <c r="G185" s="32" t="str">
        <f t="shared" si="18"/>
        <v>Larissa Dias</v>
      </c>
      <c r="H185" s="32" t="s">
        <v>30</v>
      </c>
      <c r="I185" s="32" t="s">
        <v>31</v>
      </c>
      <c r="J185" s="34">
        <v>1</v>
      </c>
      <c r="K185" s="35">
        <v>2500</v>
      </c>
      <c r="L185" s="35">
        <v>0</v>
      </c>
      <c r="M185" s="36">
        <f t="shared" si="20"/>
        <v>2500</v>
      </c>
      <c r="N185" s="32" t="s">
        <v>89</v>
      </c>
      <c r="Q185" s="49" t="s">
        <v>387</v>
      </c>
      <c r="R185" s="49" t="s">
        <v>27</v>
      </c>
      <c r="S185" s="58">
        <f t="shared" si="19"/>
        <v>45790</v>
      </c>
      <c r="T185" s="51" t="s">
        <v>15</v>
      </c>
      <c r="U185" s="50" t="s">
        <v>30</v>
      </c>
      <c r="V185" s="52" t="s">
        <v>31</v>
      </c>
      <c r="W185" s="53">
        <v>1</v>
      </c>
      <c r="X185" s="54">
        <v>2500</v>
      </c>
      <c r="Y185" s="54">
        <v>0</v>
      </c>
      <c r="Z185" s="55">
        <f t="shared" si="21"/>
        <v>2500</v>
      </c>
      <c r="AA185" s="56" t="s">
        <v>89</v>
      </c>
      <c r="AB185"/>
    </row>
    <row r="186" spans="1:28" x14ac:dyDescent="0.25">
      <c r="A186" s="26" t="s">
        <v>389</v>
      </c>
      <c r="B186" s="26" t="s">
        <v>71</v>
      </c>
      <c r="C186" s="26" t="str">
        <f t="shared" si="16"/>
        <v>Juliana Costa</v>
      </c>
      <c r="D186" s="37" t="s">
        <v>390</v>
      </c>
      <c r="E186" s="27">
        <f t="shared" si="17"/>
        <v>45670</v>
      </c>
      <c r="F186" s="26" t="s">
        <v>39</v>
      </c>
      <c r="G186" s="26" t="str">
        <f t="shared" si="18"/>
        <v>Rodrigo Mello</v>
      </c>
      <c r="H186" s="26" t="s">
        <v>23</v>
      </c>
      <c r="I186" s="26" t="s">
        <v>43</v>
      </c>
      <c r="J186" s="28">
        <v>3</v>
      </c>
      <c r="K186" s="29">
        <v>350</v>
      </c>
      <c r="L186" s="29">
        <v>88.75</v>
      </c>
      <c r="M186" s="30">
        <f t="shared" si="20"/>
        <v>961.25</v>
      </c>
      <c r="N186" s="26" t="s">
        <v>89</v>
      </c>
      <c r="Q186" s="42" t="s">
        <v>389</v>
      </c>
      <c r="R186" s="42" t="s">
        <v>71</v>
      </c>
      <c r="S186" s="57">
        <f t="shared" si="19"/>
        <v>45670</v>
      </c>
      <c r="T186" s="44" t="s">
        <v>39</v>
      </c>
      <c r="U186" s="43" t="s">
        <v>23</v>
      </c>
      <c r="V186" s="42" t="s">
        <v>43</v>
      </c>
      <c r="W186" s="45">
        <v>3</v>
      </c>
      <c r="X186" s="46">
        <v>350</v>
      </c>
      <c r="Y186" s="46">
        <v>88.75</v>
      </c>
      <c r="Z186" s="47">
        <f t="shared" si="21"/>
        <v>961.25</v>
      </c>
      <c r="AA186" s="48" t="s">
        <v>89</v>
      </c>
      <c r="AB186"/>
    </row>
    <row r="187" spans="1:28" x14ac:dyDescent="0.25">
      <c r="A187" s="31" t="s">
        <v>391</v>
      </c>
      <c r="B187" s="31" t="s">
        <v>37</v>
      </c>
      <c r="C187" s="32" t="str">
        <f t="shared" si="16"/>
        <v>Patricia Gomes</v>
      </c>
      <c r="D187" s="38" t="s">
        <v>392</v>
      </c>
      <c r="E187" s="33">
        <f t="shared" si="17"/>
        <v>45867</v>
      </c>
      <c r="F187" s="32" t="s">
        <v>47</v>
      </c>
      <c r="G187" s="32" t="str">
        <f t="shared" si="18"/>
        <v>Bruno Martins</v>
      </c>
      <c r="H187" s="32" t="s">
        <v>23</v>
      </c>
      <c r="I187" s="32" t="s">
        <v>24</v>
      </c>
      <c r="J187" s="34">
        <v>3</v>
      </c>
      <c r="K187" s="35">
        <v>180</v>
      </c>
      <c r="L187" s="35">
        <v>50.63</v>
      </c>
      <c r="M187" s="36">
        <f t="shared" si="20"/>
        <v>489.37</v>
      </c>
      <c r="N187" s="32" t="s">
        <v>32</v>
      </c>
      <c r="Q187" s="49" t="s">
        <v>391</v>
      </c>
      <c r="R187" s="49" t="s">
        <v>37</v>
      </c>
      <c r="S187" s="58">
        <f t="shared" si="19"/>
        <v>45867</v>
      </c>
      <c r="T187" s="51" t="s">
        <v>47</v>
      </c>
      <c r="U187" s="50" t="s">
        <v>23</v>
      </c>
      <c r="V187" s="52" t="s">
        <v>24</v>
      </c>
      <c r="W187" s="53">
        <v>3</v>
      </c>
      <c r="X187" s="54">
        <v>180</v>
      </c>
      <c r="Y187" s="54">
        <v>50.63</v>
      </c>
      <c r="Z187" s="55">
        <f t="shared" si="21"/>
        <v>489.37</v>
      </c>
      <c r="AA187" s="56" t="s">
        <v>32</v>
      </c>
      <c r="AB187"/>
    </row>
    <row r="188" spans="1:28" x14ac:dyDescent="0.25">
      <c r="A188" s="26" t="s">
        <v>393</v>
      </c>
      <c r="B188" s="26" t="s">
        <v>95</v>
      </c>
      <c r="C188" s="26" t="str">
        <f t="shared" si="16"/>
        <v>Maria Oliveira</v>
      </c>
      <c r="D188" s="37" t="s">
        <v>394</v>
      </c>
      <c r="E188" s="27">
        <f t="shared" si="17"/>
        <v>45954</v>
      </c>
      <c r="F188" s="26" t="s">
        <v>47</v>
      </c>
      <c r="G188" s="26" t="str">
        <f t="shared" si="18"/>
        <v>Bruno Martins</v>
      </c>
      <c r="H188" s="26" t="s">
        <v>52</v>
      </c>
      <c r="I188" s="26" t="s">
        <v>99</v>
      </c>
      <c r="J188" s="28">
        <v>3</v>
      </c>
      <c r="K188" s="29">
        <v>79</v>
      </c>
      <c r="L188" s="29">
        <v>0</v>
      </c>
      <c r="M188" s="30">
        <f t="shared" si="20"/>
        <v>237</v>
      </c>
      <c r="N188" s="26" t="s">
        <v>89</v>
      </c>
      <c r="Q188" s="42" t="s">
        <v>393</v>
      </c>
      <c r="R188" s="42" t="s">
        <v>95</v>
      </c>
      <c r="S188" s="57">
        <f t="shared" si="19"/>
        <v>45954</v>
      </c>
      <c r="T188" s="44" t="s">
        <v>47</v>
      </c>
      <c r="U188" s="43" t="s">
        <v>52</v>
      </c>
      <c r="V188" s="42" t="s">
        <v>99</v>
      </c>
      <c r="W188" s="45">
        <v>3</v>
      </c>
      <c r="X188" s="46">
        <v>79</v>
      </c>
      <c r="Y188" s="46">
        <v>0</v>
      </c>
      <c r="Z188" s="47">
        <f t="shared" si="21"/>
        <v>237</v>
      </c>
      <c r="AA188" s="48" t="s">
        <v>89</v>
      </c>
      <c r="AB188"/>
    </row>
    <row r="189" spans="1:28" x14ac:dyDescent="0.25">
      <c r="A189" s="31" t="s">
        <v>395</v>
      </c>
      <c r="B189" s="31" t="s">
        <v>63</v>
      </c>
      <c r="C189" s="32" t="str">
        <f t="shared" si="16"/>
        <v>Marcos Rodrigues</v>
      </c>
      <c r="D189" s="38" t="s">
        <v>172</v>
      </c>
      <c r="E189" s="33">
        <f t="shared" si="17"/>
        <v>45823</v>
      </c>
      <c r="F189" s="32" t="s">
        <v>29</v>
      </c>
      <c r="G189" s="32" t="str">
        <f t="shared" si="18"/>
        <v>Camila Rocha</v>
      </c>
      <c r="H189" s="32" t="s">
        <v>52</v>
      </c>
      <c r="I189" s="32" t="s">
        <v>53</v>
      </c>
      <c r="J189" s="34">
        <v>5</v>
      </c>
      <c r="K189" s="35">
        <v>149</v>
      </c>
      <c r="L189" s="35">
        <v>0</v>
      </c>
      <c r="M189" s="36">
        <f t="shared" si="20"/>
        <v>745</v>
      </c>
      <c r="N189" s="32" t="s">
        <v>69</v>
      </c>
      <c r="Q189" s="49" t="s">
        <v>395</v>
      </c>
      <c r="R189" s="49" t="s">
        <v>63</v>
      </c>
      <c r="S189" s="58">
        <f t="shared" si="19"/>
        <v>45823</v>
      </c>
      <c r="T189" s="51" t="s">
        <v>29</v>
      </c>
      <c r="U189" s="50" t="s">
        <v>52</v>
      </c>
      <c r="V189" s="52" t="s">
        <v>53</v>
      </c>
      <c r="W189" s="53">
        <v>5</v>
      </c>
      <c r="X189" s="54">
        <v>149</v>
      </c>
      <c r="Y189" s="54">
        <v>0</v>
      </c>
      <c r="Z189" s="55">
        <f t="shared" si="21"/>
        <v>745</v>
      </c>
      <c r="AA189" s="56" t="s">
        <v>69</v>
      </c>
      <c r="AB189"/>
    </row>
    <row r="190" spans="1:28" x14ac:dyDescent="0.25">
      <c r="A190" s="26" t="s">
        <v>396</v>
      </c>
      <c r="B190" s="26" t="s">
        <v>71</v>
      </c>
      <c r="C190" s="26" t="str">
        <f t="shared" si="16"/>
        <v>Juliana Costa</v>
      </c>
      <c r="D190" s="37" t="s">
        <v>397</v>
      </c>
      <c r="E190" s="27">
        <f t="shared" si="17"/>
        <v>45876</v>
      </c>
      <c r="F190" s="26" t="s">
        <v>39</v>
      </c>
      <c r="G190" s="26" t="str">
        <f t="shared" si="18"/>
        <v>Rodrigo Mello</v>
      </c>
      <c r="H190" s="26" t="s">
        <v>30</v>
      </c>
      <c r="I190" s="26" t="s">
        <v>31</v>
      </c>
      <c r="J190" s="28">
        <v>1</v>
      </c>
      <c r="K190" s="29">
        <v>2500</v>
      </c>
      <c r="L190" s="29">
        <v>0</v>
      </c>
      <c r="M190" s="30">
        <f t="shared" si="20"/>
        <v>2500</v>
      </c>
      <c r="N190" s="26" t="s">
        <v>18</v>
      </c>
      <c r="Q190" s="42" t="s">
        <v>396</v>
      </c>
      <c r="R190" s="42" t="s">
        <v>71</v>
      </c>
      <c r="S190" s="57">
        <f t="shared" si="19"/>
        <v>45876</v>
      </c>
      <c r="T190" s="44" t="s">
        <v>39</v>
      </c>
      <c r="U190" s="43" t="s">
        <v>30</v>
      </c>
      <c r="V190" s="42" t="s">
        <v>31</v>
      </c>
      <c r="W190" s="45">
        <v>1</v>
      </c>
      <c r="X190" s="46">
        <v>2500</v>
      </c>
      <c r="Y190" s="46">
        <v>0</v>
      </c>
      <c r="Z190" s="47">
        <f t="shared" si="21"/>
        <v>2500</v>
      </c>
      <c r="AA190" s="48" t="s">
        <v>18</v>
      </c>
      <c r="AB190"/>
    </row>
    <row r="191" spans="1:28" x14ac:dyDescent="0.25">
      <c r="A191" s="31" t="s">
        <v>398</v>
      </c>
      <c r="B191" s="31" t="s">
        <v>34</v>
      </c>
      <c r="C191" s="32" t="str">
        <f t="shared" si="16"/>
        <v>Carlos Silva</v>
      </c>
      <c r="D191" s="38" t="s">
        <v>399</v>
      </c>
      <c r="E191" s="33">
        <f t="shared" si="17"/>
        <v>45951</v>
      </c>
      <c r="F191" s="32" t="s">
        <v>47</v>
      </c>
      <c r="G191" s="32" t="str">
        <f t="shared" si="18"/>
        <v>Bruno Martins</v>
      </c>
      <c r="H191" s="32" t="s">
        <v>16</v>
      </c>
      <c r="I191" s="32" t="s">
        <v>78</v>
      </c>
      <c r="J191" s="34">
        <v>1</v>
      </c>
      <c r="K191" s="35">
        <v>59</v>
      </c>
      <c r="L191" s="35">
        <v>1.56</v>
      </c>
      <c r="M191" s="36">
        <f t="shared" si="20"/>
        <v>57.44</v>
      </c>
      <c r="N191" s="32" t="s">
        <v>32</v>
      </c>
      <c r="Q191" s="49" t="s">
        <v>398</v>
      </c>
      <c r="R191" s="49" t="s">
        <v>34</v>
      </c>
      <c r="S191" s="58">
        <f t="shared" si="19"/>
        <v>45951</v>
      </c>
      <c r="T191" s="51" t="s">
        <v>47</v>
      </c>
      <c r="U191" s="50" t="s">
        <v>16</v>
      </c>
      <c r="V191" s="52" t="s">
        <v>78</v>
      </c>
      <c r="W191" s="53">
        <v>1</v>
      </c>
      <c r="X191" s="54">
        <v>59</v>
      </c>
      <c r="Y191" s="54">
        <v>1.56</v>
      </c>
      <c r="Z191" s="55">
        <f t="shared" si="21"/>
        <v>57.44</v>
      </c>
      <c r="AA191" s="56" t="s">
        <v>32</v>
      </c>
      <c r="AB191"/>
    </row>
    <row r="192" spans="1:28" x14ac:dyDescent="0.25">
      <c r="A192" s="26" t="s">
        <v>400</v>
      </c>
      <c r="B192" s="26" t="s">
        <v>63</v>
      </c>
      <c r="C192" s="26" t="str">
        <f t="shared" si="16"/>
        <v>Marcos Rodrigues</v>
      </c>
      <c r="D192" s="37" t="s">
        <v>401</v>
      </c>
      <c r="E192" s="27">
        <f t="shared" si="17"/>
        <v>45772</v>
      </c>
      <c r="F192" s="26" t="s">
        <v>39</v>
      </c>
      <c r="G192" s="26" t="str">
        <f t="shared" si="18"/>
        <v>Rodrigo Mello</v>
      </c>
      <c r="H192" s="26" t="s">
        <v>52</v>
      </c>
      <c r="I192" s="26" t="s">
        <v>99</v>
      </c>
      <c r="J192" s="28">
        <v>4</v>
      </c>
      <c r="K192" s="29">
        <v>79</v>
      </c>
      <c r="L192" s="29">
        <v>0</v>
      </c>
      <c r="M192" s="30">
        <f t="shared" si="20"/>
        <v>316</v>
      </c>
      <c r="N192" s="26" t="s">
        <v>18</v>
      </c>
      <c r="Q192" s="42" t="s">
        <v>400</v>
      </c>
      <c r="R192" s="42" t="s">
        <v>63</v>
      </c>
      <c r="S192" s="57">
        <f t="shared" si="19"/>
        <v>45772</v>
      </c>
      <c r="T192" s="44" t="s">
        <v>39</v>
      </c>
      <c r="U192" s="43" t="s">
        <v>52</v>
      </c>
      <c r="V192" s="42" t="s">
        <v>99</v>
      </c>
      <c r="W192" s="45">
        <v>4</v>
      </c>
      <c r="X192" s="46">
        <v>79</v>
      </c>
      <c r="Y192" s="46">
        <v>0</v>
      </c>
      <c r="Z192" s="47">
        <f t="shared" si="21"/>
        <v>316</v>
      </c>
      <c r="AA192" s="48" t="s">
        <v>18</v>
      </c>
      <c r="AB192"/>
    </row>
    <row r="193" spans="1:28" x14ac:dyDescent="0.25">
      <c r="A193" s="31" t="s">
        <v>402</v>
      </c>
      <c r="B193" s="31" t="s">
        <v>34</v>
      </c>
      <c r="C193" s="32" t="str">
        <f t="shared" si="16"/>
        <v>Carlos Silva</v>
      </c>
      <c r="D193" s="38" t="s">
        <v>403</v>
      </c>
      <c r="E193" s="33">
        <f t="shared" si="17"/>
        <v>45949</v>
      </c>
      <c r="F193" s="32" t="s">
        <v>15</v>
      </c>
      <c r="G193" s="32" t="str">
        <f t="shared" si="18"/>
        <v>Larissa Dias</v>
      </c>
      <c r="H193" s="32" t="s">
        <v>52</v>
      </c>
      <c r="I193" s="32" t="s">
        <v>75</v>
      </c>
      <c r="J193" s="34">
        <v>5</v>
      </c>
      <c r="K193" s="35">
        <v>249</v>
      </c>
      <c r="L193" s="35">
        <v>152.02000000000001</v>
      </c>
      <c r="M193" s="36">
        <f t="shared" si="20"/>
        <v>1092.98</v>
      </c>
      <c r="N193" s="32" t="s">
        <v>49</v>
      </c>
      <c r="Q193" s="49" t="s">
        <v>402</v>
      </c>
      <c r="R193" s="49" t="s">
        <v>34</v>
      </c>
      <c r="S193" s="58">
        <f t="shared" si="19"/>
        <v>45949</v>
      </c>
      <c r="T193" s="51" t="s">
        <v>15</v>
      </c>
      <c r="U193" s="50" t="s">
        <v>52</v>
      </c>
      <c r="V193" s="52" t="s">
        <v>75</v>
      </c>
      <c r="W193" s="53">
        <v>5</v>
      </c>
      <c r="X193" s="54">
        <v>249</v>
      </c>
      <c r="Y193" s="54">
        <v>152.02000000000001</v>
      </c>
      <c r="Z193" s="55">
        <f t="shared" si="21"/>
        <v>1092.98</v>
      </c>
      <c r="AA193" s="56" t="s">
        <v>49</v>
      </c>
      <c r="AB193"/>
    </row>
    <row r="194" spans="1:28" x14ac:dyDescent="0.25">
      <c r="A194" s="26" t="s">
        <v>404</v>
      </c>
      <c r="B194" s="26" t="s">
        <v>41</v>
      </c>
      <c r="C194" s="26" t="str">
        <f t="shared" si="16"/>
        <v>João Pereira</v>
      </c>
      <c r="D194" s="37" t="s">
        <v>405</v>
      </c>
      <c r="E194" s="27">
        <f t="shared" si="17"/>
        <v>46019</v>
      </c>
      <c r="F194" s="26" t="s">
        <v>22</v>
      </c>
      <c r="G194" s="26" t="str">
        <f t="shared" si="18"/>
        <v>Amanda Costa</v>
      </c>
      <c r="H194" s="26" t="s">
        <v>30</v>
      </c>
      <c r="I194" s="26" t="s">
        <v>68</v>
      </c>
      <c r="J194" s="28">
        <v>4</v>
      </c>
      <c r="K194" s="29">
        <v>799</v>
      </c>
      <c r="L194" s="29">
        <v>164.38</v>
      </c>
      <c r="M194" s="30">
        <f t="shared" si="20"/>
        <v>3031.62</v>
      </c>
      <c r="N194" s="26" t="s">
        <v>69</v>
      </c>
      <c r="Q194" s="42" t="s">
        <v>404</v>
      </c>
      <c r="R194" s="42" t="s">
        <v>41</v>
      </c>
      <c r="S194" s="57">
        <f t="shared" si="19"/>
        <v>46019</v>
      </c>
      <c r="T194" s="44" t="s">
        <v>22</v>
      </c>
      <c r="U194" s="43" t="s">
        <v>30</v>
      </c>
      <c r="V194" s="42" t="s">
        <v>68</v>
      </c>
      <c r="W194" s="45">
        <v>4</v>
      </c>
      <c r="X194" s="46">
        <v>799</v>
      </c>
      <c r="Y194" s="46">
        <v>164.38</v>
      </c>
      <c r="Z194" s="47">
        <f t="shared" si="21"/>
        <v>3031.62</v>
      </c>
      <c r="AA194" s="48" t="s">
        <v>69</v>
      </c>
      <c r="AB194"/>
    </row>
    <row r="195" spans="1:28" x14ac:dyDescent="0.25">
      <c r="A195" s="31" t="s">
        <v>406</v>
      </c>
      <c r="B195" s="31" t="s">
        <v>110</v>
      </c>
      <c r="C195" s="32" t="str">
        <f t="shared" ref="C195:C258" si="22">SUBSTITUTE(SUBSTITUTE(SUBSTITUTE(SUBSTITUTE(PROPER(B195)," Da "," ")," De "," ")," Do "," ")," Dos "," ")</f>
        <v>Fernanda Lima</v>
      </c>
      <c r="D195" s="38" t="s">
        <v>407</v>
      </c>
      <c r="E195" s="33">
        <f t="shared" ref="E195:E258" si="23">DATEVALUE(D195)</f>
        <v>45969</v>
      </c>
      <c r="F195" s="32" t="s">
        <v>39</v>
      </c>
      <c r="G195" s="32" t="str">
        <f t="shared" ref="G195:G258" si="24">SUBSTITUTE(SUBSTITUTE(SUBSTITUTE(SUBSTITUTE(PROPER(F195)," Da "," ")," De "," ")," Do "," ")," Dos "," ")</f>
        <v>Rodrigo Mello</v>
      </c>
      <c r="H195" s="32" t="s">
        <v>16</v>
      </c>
      <c r="I195" s="32" t="s">
        <v>116</v>
      </c>
      <c r="J195" s="34">
        <v>5</v>
      </c>
      <c r="K195" s="35">
        <v>45</v>
      </c>
      <c r="L195" s="35">
        <v>0</v>
      </c>
      <c r="M195" s="36">
        <f t="shared" si="20"/>
        <v>225</v>
      </c>
      <c r="N195" s="32" t="s">
        <v>18</v>
      </c>
      <c r="Q195" s="49" t="s">
        <v>406</v>
      </c>
      <c r="R195" s="49" t="s">
        <v>110</v>
      </c>
      <c r="S195" s="58">
        <f t="shared" si="19"/>
        <v>45969</v>
      </c>
      <c r="T195" s="51" t="s">
        <v>39</v>
      </c>
      <c r="U195" s="50" t="s">
        <v>16</v>
      </c>
      <c r="V195" s="52" t="s">
        <v>116</v>
      </c>
      <c r="W195" s="53">
        <v>5</v>
      </c>
      <c r="X195" s="54">
        <v>45</v>
      </c>
      <c r="Y195" s="54">
        <v>0</v>
      </c>
      <c r="Z195" s="55">
        <f t="shared" si="21"/>
        <v>225</v>
      </c>
      <c r="AA195" s="56" t="s">
        <v>18</v>
      </c>
      <c r="AB195"/>
    </row>
    <row r="196" spans="1:28" x14ac:dyDescent="0.25">
      <c r="A196" s="26" t="s">
        <v>408</v>
      </c>
      <c r="B196" s="26" t="s">
        <v>110</v>
      </c>
      <c r="C196" s="26" t="str">
        <f t="shared" si="22"/>
        <v>Fernanda Lima</v>
      </c>
      <c r="D196" s="37" t="s">
        <v>409</v>
      </c>
      <c r="E196" s="27">
        <f t="shared" si="23"/>
        <v>45885</v>
      </c>
      <c r="F196" s="26" t="s">
        <v>39</v>
      </c>
      <c r="G196" s="26" t="str">
        <f t="shared" si="24"/>
        <v>Rodrigo Mello</v>
      </c>
      <c r="H196" s="26" t="s">
        <v>23</v>
      </c>
      <c r="I196" s="26" t="s">
        <v>43</v>
      </c>
      <c r="J196" s="28">
        <v>5</v>
      </c>
      <c r="K196" s="29">
        <v>350</v>
      </c>
      <c r="L196" s="29">
        <v>0</v>
      </c>
      <c r="M196" s="30">
        <f t="shared" si="20"/>
        <v>1750</v>
      </c>
      <c r="N196" s="26" t="s">
        <v>89</v>
      </c>
      <c r="Q196" s="42" t="s">
        <v>408</v>
      </c>
      <c r="R196" s="42" t="s">
        <v>110</v>
      </c>
      <c r="S196" s="57">
        <f t="shared" si="19"/>
        <v>45885</v>
      </c>
      <c r="T196" s="44" t="s">
        <v>39</v>
      </c>
      <c r="U196" s="43" t="s">
        <v>23</v>
      </c>
      <c r="V196" s="42" t="s">
        <v>43</v>
      </c>
      <c r="W196" s="45">
        <v>5</v>
      </c>
      <c r="X196" s="46">
        <v>350</v>
      </c>
      <c r="Y196" s="46">
        <v>0</v>
      </c>
      <c r="Z196" s="47">
        <f t="shared" si="21"/>
        <v>1750</v>
      </c>
      <c r="AA196" s="48" t="s">
        <v>89</v>
      </c>
      <c r="AB196"/>
    </row>
    <row r="197" spans="1:28" x14ac:dyDescent="0.25">
      <c r="A197" s="31" t="s">
        <v>410</v>
      </c>
      <c r="B197" s="31" t="s">
        <v>20</v>
      </c>
      <c r="C197" s="32" t="str">
        <f t="shared" si="22"/>
        <v>Beatriz Ribeiro</v>
      </c>
      <c r="D197" s="38" t="s">
        <v>284</v>
      </c>
      <c r="E197" s="33">
        <f t="shared" si="23"/>
        <v>46032</v>
      </c>
      <c r="F197" s="32" t="s">
        <v>29</v>
      </c>
      <c r="G197" s="32" t="str">
        <f t="shared" si="24"/>
        <v>Camila Rocha</v>
      </c>
      <c r="H197" s="32" t="s">
        <v>52</v>
      </c>
      <c r="I197" s="32" t="s">
        <v>75</v>
      </c>
      <c r="J197" s="34">
        <v>4</v>
      </c>
      <c r="K197" s="35">
        <v>249</v>
      </c>
      <c r="L197" s="35">
        <v>93.47</v>
      </c>
      <c r="M197" s="36">
        <f t="shared" si="20"/>
        <v>902.53</v>
      </c>
      <c r="N197" s="32" t="s">
        <v>32</v>
      </c>
      <c r="Q197" s="49" t="s">
        <v>410</v>
      </c>
      <c r="R197" s="49" t="s">
        <v>20</v>
      </c>
      <c r="S197" s="58">
        <f t="shared" si="19"/>
        <v>46032</v>
      </c>
      <c r="T197" s="51" t="s">
        <v>29</v>
      </c>
      <c r="U197" s="50" t="s">
        <v>52</v>
      </c>
      <c r="V197" s="52" t="s">
        <v>75</v>
      </c>
      <c r="W197" s="53">
        <v>4</v>
      </c>
      <c r="X197" s="54">
        <v>249</v>
      </c>
      <c r="Y197" s="54">
        <v>93.47</v>
      </c>
      <c r="Z197" s="55">
        <f t="shared" si="21"/>
        <v>902.53</v>
      </c>
      <c r="AA197" s="56" t="s">
        <v>32</v>
      </c>
      <c r="AB197"/>
    </row>
    <row r="198" spans="1:28" x14ac:dyDescent="0.25">
      <c r="A198" s="26" t="s">
        <v>411</v>
      </c>
      <c r="B198" s="26" t="s">
        <v>37</v>
      </c>
      <c r="C198" s="26" t="str">
        <f t="shared" si="22"/>
        <v>Patricia Gomes</v>
      </c>
      <c r="D198" s="37" t="s">
        <v>412</v>
      </c>
      <c r="E198" s="27">
        <f t="shared" si="23"/>
        <v>45991</v>
      </c>
      <c r="F198" s="26" t="s">
        <v>29</v>
      </c>
      <c r="G198" s="26" t="str">
        <f t="shared" si="24"/>
        <v>Camila Rocha</v>
      </c>
      <c r="H198" s="26" t="s">
        <v>23</v>
      </c>
      <c r="I198" s="26" t="s">
        <v>48</v>
      </c>
      <c r="J198" s="28">
        <v>1</v>
      </c>
      <c r="K198" s="29">
        <v>450</v>
      </c>
      <c r="L198" s="29">
        <v>38.090000000000003</v>
      </c>
      <c r="M198" s="30">
        <f>(J198*K198)-L198</f>
        <v>411.90999999999997</v>
      </c>
      <c r="N198" s="26" t="s">
        <v>44</v>
      </c>
      <c r="Q198" s="42" t="s">
        <v>411</v>
      </c>
      <c r="R198" s="42" t="s">
        <v>37</v>
      </c>
      <c r="S198" s="57">
        <f t="shared" ref="S198:S261" si="25">DATEVALUE(D198)</f>
        <v>45991</v>
      </c>
      <c r="T198" s="44" t="s">
        <v>29</v>
      </c>
      <c r="U198" s="43" t="s">
        <v>23</v>
      </c>
      <c r="V198" s="42" t="s">
        <v>48</v>
      </c>
      <c r="W198" s="45">
        <v>1</v>
      </c>
      <c r="X198" s="46">
        <v>450</v>
      </c>
      <c r="Y198" s="46">
        <v>38.090000000000003</v>
      </c>
      <c r="Z198" s="47">
        <f>(W198*X198)-Y198</f>
        <v>411.90999999999997</v>
      </c>
      <c r="AA198" s="48" t="s">
        <v>44</v>
      </c>
      <c r="AB198"/>
    </row>
    <row r="199" spans="1:28" x14ac:dyDescent="0.25">
      <c r="A199" s="31" t="s">
        <v>413</v>
      </c>
      <c r="B199" s="31" t="s">
        <v>37</v>
      </c>
      <c r="C199" s="32" t="str">
        <f t="shared" si="22"/>
        <v>Patricia Gomes</v>
      </c>
      <c r="D199" s="38" t="s">
        <v>397</v>
      </c>
      <c r="E199" s="33">
        <f t="shared" si="23"/>
        <v>45876</v>
      </c>
      <c r="F199" s="32" t="s">
        <v>22</v>
      </c>
      <c r="G199" s="32" t="str">
        <f t="shared" si="24"/>
        <v>Amanda Costa</v>
      </c>
      <c r="H199" s="32" t="s">
        <v>52</v>
      </c>
      <c r="I199" s="32" t="s">
        <v>75</v>
      </c>
      <c r="J199" s="34">
        <v>5</v>
      </c>
      <c r="K199" s="35">
        <v>249</v>
      </c>
      <c r="L199" s="35">
        <v>0</v>
      </c>
      <c r="M199" s="36">
        <f t="shared" ref="M199:M262" si="26">(J199*K199)-L199</f>
        <v>1245</v>
      </c>
      <c r="N199" s="32" t="s">
        <v>69</v>
      </c>
      <c r="Q199" s="49" t="s">
        <v>413</v>
      </c>
      <c r="R199" s="49" t="s">
        <v>37</v>
      </c>
      <c r="S199" s="58">
        <f t="shared" si="25"/>
        <v>45876</v>
      </c>
      <c r="T199" s="51" t="s">
        <v>22</v>
      </c>
      <c r="U199" s="50" t="s">
        <v>52</v>
      </c>
      <c r="V199" s="52" t="s">
        <v>75</v>
      </c>
      <c r="W199" s="53">
        <v>5</v>
      </c>
      <c r="X199" s="54">
        <v>249</v>
      </c>
      <c r="Y199" s="54">
        <v>0</v>
      </c>
      <c r="Z199" s="55">
        <f t="shared" ref="Z199:Z262" si="27">(W199*X199)-Y199</f>
        <v>1245</v>
      </c>
      <c r="AA199" s="56" t="s">
        <v>69</v>
      </c>
      <c r="AB199"/>
    </row>
    <row r="200" spans="1:28" x14ac:dyDescent="0.25">
      <c r="A200" s="26" t="s">
        <v>414</v>
      </c>
      <c r="B200" s="26" t="s">
        <v>55</v>
      </c>
      <c r="C200" s="26" t="str">
        <f t="shared" si="22"/>
        <v>Ricardo Carvalho</v>
      </c>
      <c r="D200" s="37" t="s">
        <v>415</v>
      </c>
      <c r="E200" s="27">
        <f t="shared" si="23"/>
        <v>45842</v>
      </c>
      <c r="F200" s="26" t="s">
        <v>29</v>
      </c>
      <c r="G200" s="26" t="str">
        <f t="shared" si="24"/>
        <v>Camila Rocha</v>
      </c>
      <c r="H200" s="26" t="s">
        <v>52</v>
      </c>
      <c r="I200" s="26" t="s">
        <v>99</v>
      </c>
      <c r="J200" s="28">
        <v>4</v>
      </c>
      <c r="K200" s="29">
        <v>79</v>
      </c>
      <c r="L200" s="29">
        <v>14.22</v>
      </c>
      <c r="M200" s="30">
        <f t="shared" si="26"/>
        <v>301.77999999999997</v>
      </c>
      <c r="N200" s="26" t="s">
        <v>44</v>
      </c>
      <c r="Q200" s="42" t="s">
        <v>414</v>
      </c>
      <c r="R200" s="42" t="s">
        <v>55</v>
      </c>
      <c r="S200" s="57">
        <f t="shared" si="25"/>
        <v>45842</v>
      </c>
      <c r="T200" s="44" t="s">
        <v>29</v>
      </c>
      <c r="U200" s="43" t="s">
        <v>52</v>
      </c>
      <c r="V200" s="42" t="s">
        <v>99</v>
      </c>
      <c r="W200" s="45">
        <v>4</v>
      </c>
      <c r="X200" s="46">
        <v>79</v>
      </c>
      <c r="Y200" s="46">
        <v>14.22</v>
      </c>
      <c r="Z200" s="47">
        <f t="shared" si="27"/>
        <v>301.77999999999997</v>
      </c>
      <c r="AA200" s="48" t="s">
        <v>44</v>
      </c>
      <c r="AB200"/>
    </row>
    <row r="201" spans="1:28" x14ac:dyDescent="0.25">
      <c r="A201" s="31" t="s">
        <v>416</v>
      </c>
      <c r="B201" s="31" t="s">
        <v>13</v>
      </c>
      <c r="C201" s="32" t="str">
        <f t="shared" si="22"/>
        <v>Lucas Almeida</v>
      </c>
      <c r="D201" s="38" t="s">
        <v>417</v>
      </c>
      <c r="E201" s="33">
        <f t="shared" si="23"/>
        <v>45921</v>
      </c>
      <c r="F201" s="32" t="s">
        <v>15</v>
      </c>
      <c r="G201" s="32" t="str">
        <f t="shared" si="24"/>
        <v>Larissa Dias</v>
      </c>
      <c r="H201" s="32" t="s">
        <v>16</v>
      </c>
      <c r="I201" s="32" t="s">
        <v>116</v>
      </c>
      <c r="J201" s="34">
        <v>1</v>
      </c>
      <c r="K201" s="35">
        <v>45</v>
      </c>
      <c r="L201" s="35">
        <v>4.46</v>
      </c>
      <c r="M201" s="36">
        <f t="shared" si="26"/>
        <v>40.54</v>
      </c>
      <c r="N201" s="32" t="s">
        <v>18</v>
      </c>
      <c r="Q201" s="49" t="s">
        <v>416</v>
      </c>
      <c r="R201" s="49" t="s">
        <v>13</v>
      </c>
      <c r="S201" s="58">
        <f t="shared" si="25"/>
        <v>45921</v>
      </c>
      <c r="T201" s="51" t="s">
        <v>15</v>
      </c>
      <c r="U201" s="50" t="s">
        <v>16</v>
      </c>
      <c r="V201" s="52" t="s">
        <v>116</v>
      </c>
      <c r="W201" s="53">
        <v>1</v>
      </c>
      <c r="X201" s="54">
        <v>45</v>
      </c>
      <c r="Y201" s="54">
        <v>4.46</v>
      </c>
      <c r="Z201" s="55">
        <f t="shared" si="27"/>
        <v>40.54</v>
      </c>
      <c r="AA201" s="56" t="s">
        <v>18</v>
      </c>
      <c r="AB201"/>
    </row>
    <row r="202" spans="1:28" x14ac:dyDescent="0.25">
      <c r="A202" s="26" t="s">
        <v>418</v>
      </c>
      <c r="B202" s="26" t="s">
        <v>20</v>
      </c>
      <c r="C202" s="26" t="str">
        <f t="shared" si="22"/>
        <v>Beatriz Ribeiro</v>
      </c>
      <c r="D202" s="37" t="s">
        <v>392</v>
      </c>
      <c r="E202" s="27">
        <f t="shared" si="23"/>
        <v>45867</v>
      </c>
      <c r="F202" s="26" t="s">
        <v>29</v>
      </c>
      <c r="G202" s="26" t="str">
        <f t="shared" si="24"/>
        <v>Camila Rocha</v>
      </c>
      <c r="H202" s="26" t="s">
        <v>16</v>
      </c>
      <c r="I202" s="26" t="s">
        <v>103</v>
      </c>
      <c r="J202" s="28">
        <v>5</v>
      </c>
      <c r="K202" s="29">
        <v>89</v>
      </c>
      <c r="L202" s="29">
        <v>0</v>
      </c>
      <c r="M202" s="30">
        <f t="shared" si="26"/>
        <v>445</v>
      </c>
      <c r="N202" s="26" t="s">
        <v>25</v>
      </c>
      <c r="Q202" s="42" t="s">
        <v>418</v>
      </c>
      <c r="R202" s="42" t="s">
        <v>20</v>
      </c>
      <c r="S202" s="57">
        <f t="shared" si="25"/>
        <v>45867</v>
      </c>
      <c r="T202" s="44" t="s">
        <v>29</v>
      </c>
      <c r="U202" s="43" t="s">
        <v>16</v>
      </c>
      <c r="V202" s="42" t="s">
        <v>103</v>
      </c>
      <c r="W202" s="45">
        <v>5</v>
      </c>
      <c r="X202" s="46">
        <v>89</v>
      </c>
      <c r="Y202" s="46">
        <v>0</v>
      </c>
      <c r="Z202" s="47">
        <f t="shared" si="27"/>
        <v>445</v>
      </c>
      <c r="AA202" s="48" t="s">
        <v>25</v>
      </c>
      <c r="AB202"/>
    </row>
    <row r="203" spans="1:28" x14ac:dyDescent="0.25">
      <c r="A203" s="31" t="s">
        <v>419</v>
      </c>
      <c r="B203" s="31" t="s">
        <v>63</v>
      </c>
      <c r="C203" s="32" t="str">
        <f t="shared" si="22"/>
        <v>Marcos Rodrigues</v>
      </c>
      <c r="D203" s="38" t="s">
        <v>329</v>
      </c>
      <c r="E203" s="33">
        <f t="shared" si="23"/>
        <v>46036</v>
      </c>
      <c r="F203" s="32" t="s">
        <v>22</v>
      </c>
      <c r="G203" s="32" t="str">
        <f t="shared" si="24"/>
        <v>Amanda Costa</v>
      </c>
      <c r="H203" s="32" t="s">
        <v>52</v>
      </c>
      <c r="I203" s="32" t="s">
        <v>99</v>
      </c>
      <c r="J203" s="34">
        <v>3</v>
      </c>
      <c r="K203" s="35">
        <v>79</v>
      </c>
      <c r="L203" s="35">
        <v>0</v>
      </c>
      <c r="M203" s="36">
        <f t="shared" si="26"/>
        <v>237</v>
      </c>
      <c r="N203" s="32" t="s">
        <v>69</v>
      </c>
      <c r="Q203" s="49" t="s">
        <v>419</v>
      </c>
      <c r="R203" s="49" t="s">
        <v>63</v>
      </c>
      <c r="S203" s="58">
        <f t="shared" si="25"/>
        <v>46036</v>
      </c>
      <c r="T203" s="51" t="s">
        <v>22</v>
      </c>
      <c r="U203" s="50" t="s">
        <v>52</v>
      </c>
      <c r="V203" s="52" t="s">
        <v>99</v>
      </c>
      <c r="W203" s="53">
        <v>3</v>
      </c>
      <c r="X203" s="54">
        <v>79</v>
      </c>
      <c r="Y203" s="54">
        <v>0</v>
      </c>
      <c r="Z203" s="55">
        <f t="shared" si="27"/>
        <v>237</v>
      </c>
      <c r="AA203" s="56" t="s">
        <v>69</v>
      </c>
      <c r="AB203"/>
    </row>
    <row r="204" spans="1:28" x14ac:dyDescent="0.25">
      <c r="A204" s="26" t="s">
        <v>420</v>
      </c>
      <c r="B204" s="26" t="s">
        <v>55</v>
      </c>
      <c r="C204" s="26" t="str">
        <f t="shared" si="22"/>
        <v>Ricardo Carvalho</v>
      </c>
      <c r="D204" s="37" t="s">
        <v>421</v>
      </c>
      <c r="E204" s="27">
        <f t="shared" si="23"/>
        <v>45926</v>
      </c>
      <c r="F204" s="26" t="s">
        <v>29</v>
      </c>
      <c r="G204" s="26" t="str">
        <f t="shared" si="24"/>
        <v>Camila Rocha</v>
      </c>
      <c r="H204" s="26" t="s">
        <v>52</v>
      </c>
      <c r="I204" s="26" t="s">
        <v>75</v>
      </c>
      <c r="J204" s="28">
        <v>5</v>
      </c>
      <c r="K204" s="29">
        <v>249</v>
      </c>
      <c r="L204" s="29">
        <v>63.61</v>
      </c>
      <c r="M204" s="30">
        <f t="shared" si="26"/>
        <v>1181.3900000000001</v>
      </c>
      <c r="N204" s="26" t="s">
        <v>49</v>
      </c>
      <c r="Q204" s="42" t="s">
        <v>420</v>
      </c>
      <c r="R204" s="42" t="s">
        <v>55</v>
      </c>
      <c r="S204" s="57">
        <f t="shared" si="25"/>
        <v>45926</v>
      </c>
      <c r="T204" s="44" t="s">
        <v>29</v>
      </c>
      <c r="U204" s="43" t="s">
        <v>52</v>
      </c>
      <c r="V204" s="42" t="s">
        <v>75</v>
      </c>
      <c r="W204" s="45">
        <v>5</v>
      </c>
      <c r="X204" s="46">
        <v>249</v>
      </c>
      <c r="Y204" s="46">
        <v>63.61</v>
      </c>
      <c r="Z204" s="47">
        <f t="shared" si="27"/>
        <v>1181.3900000000001</v>
      </c>
      <c r="AA204" s="48" t="s">
        <v>49</v>
      </c>
      <c r="AB204"/>
    </row>
    <row r="205" spans="1:28" x14ac:dyDescent="0.25">
      <c r="A205" s="31" t="s">
        <v>422</v>
      </c>
      <c r="B205" s="31" t="s">
        <v>55</v>
      </c>
      <c r="C205" s="32" t="str">
        <f t="shared" si="22"/>
        <v>Ricardo Carvalho</v>
      </c>
      <c r="D205" s="38" t="s">
        <v>423</v>
      </c>
      <c r="E205" s="33">
        <f t="shared" si="23"/>
        <v>45771</v>
      </c>
      <c r="F205" s="32" t="s">
        <v>29</v>
      </c>
      <c r="G205" s="32" t="str">
        <f t="shared" si="24"/>
        <v>Camila Rocha</v>
      </c>
      <c r="H205" s="32" t="s">
        <v>16</v>
      </c>
      <c r="I205" s="32" t="s">
        <v>103</v>
      </c>
      <c r="J205" s="34">
        <v>1</v>
      </c>
      <c r="K205" s="35">
        <v>89</v>
      </c>
      <c r="L205" s="35">
        <v>0</v>
      </c>
      <c r="M205" s="36">
        <f t="shared" si="26"/>
        <v>89</v>
      </c>
      <c r="N205" s="32" t="s">
        <v>89</v>
      </c>
      <c r="Q205" s="49" t="s">
        <v>422</v>
      </c>
      <c r="R205" s="49" t="s">
        <v>55</v>
      </c>
      <c r="S205" s="58">
        <f t="shared" si="25"/>
        <v>45771</v>
      </c>
      <c r="T205" s="51" t="s">
        <v>29</v>
      </c>
      <c r="U205" s="50" t="s">
        <v>16</v>
      </c>
      <c r="V205" s="52" t="s">
        <v>103</v>
      </c>
      <c r="W205" s="53">
        <v>1</v>
      </c>
      <c r="X205" s="54">
        <v>89</v>
      </c>
      <c r="Y205" s="54">
        <v>0</v>
      </c>
      <c r="Z205" s="55">
        <f t="shared" si="27"/>
        <v>89</v>
      </c>
      <c r="AA205" s="56" t="s">
        <v>89</v>
      </c>
      <c r="AB205"/>
    </row>
    <row r="206" spans="1:28" x14ac:dyDescent="0.25">
      <c r="A206" s="26" t="s">
        <v>424</v>
      </c>
      <c r="B206" s="26" t="s">
        <v>63</v>
      </c>
      <c r="C206" s="26" t="str">
        <f t="shared" si="22"/>
        <v>Marcos Rodrigues</v>
      </c>
      <c r="D206" s="37" t="s">
        <v>425</v>
      </c>
      <c r="E206" s="27">
        <f t="shared" si="23"/>
        <v>45751</v>
      </c>
      <c r="F206" s="26" t="s">
        <v>39</v>
      </c>
      <c r="G206" s="26" t="str">
        <f t="shared" si="24"/>
        <v>Rodrigo Mello</v>
      </c>
      <c r="H206" s="26" t="s">
        <v>16</v>
      </c>
      <c r="I206" s="26" t="s">
        <v>116</v>
      </c>
      <c r="J206" s="28">
        <v>3</v>
      </c>
      <c r="K206" s="29">
        <v>45</v>
      </c>
      <c r="L206" s="29">
        <v>0</v>
      </c>
      <c r="M206" s="30">
        <f t="shared" si="26"/>
        <v>135</v>
      </c>
      <c r="N206" s="26" t="s">
        <v>32</v>
      </c>
      <c r="Q206" s="42" t="s">
        <v>424</v>
      </c>
      <c r="R206" s="42" t="s">
        <v>63</v>
      </c>
      <c r="S206" s="57">
        <f t="shared" si="25"/>
        <v>45751</v>
      </c>
      <c r="T206" s="44" t="s">
        <v>39</v>
      </c>
      <c r="U206" s="43" t="s">
        <v>16</v>
      </c>
      <c r="V206" s="42" t="s">
        <v>116</v>
      </c>
      <c r="W206" s="45">
        <v>3</v>
      </c>
      <c r="X206" s="46">
        <v>45</v>
      </c>
      <c r="Y206" s="46">
        <v>0</v>
      </c>
      <c r="Z206" s="47">
        <f t="shared" si="27"/>
        <v>135</v>
      </c>
      <c r="AA206" s="48" t="s">
        <v>32</v>
      </c>
      <c r="AB206"/>
    </row>
    <row r="207" spans="1:28" x14ac:dyDescent="0.25">
      <c r="A207" s="31" t="s">
        <v>426</v>
      </c>
      <c r="B207" s="31" t="s">
        <v>101</v>
      </c>
      <c r="C207" s="32" t="str">
        <f t="shared" si="22"/>
        <v>Ana Souza</v>
      </c>
      <c r="D207" s="38" t="s">
        <v>427</v>
      </c>
      <c r="E207" s="33">
        <f t="shared" si="23"/>
        <v>45820</v>
      </c>
      <c r="F207" s="32" t="s">
        <v>39</v>
      </c>
      <c r="G207" s="32" t="str">
        <f t="shared" si="24"/>
        <v>Rodrigo Mello</v>
      </c>
      <c r="H207" s="32" t="s">
        <v>30</v>
      </c>
      <c r="I207" s="32" t="s">
        <v>31</v>
      </c>
      <c r="J207" s="34">
        <v>5</v>
      </c>
      <c r="K207" s="35">
        <v>2500</v>
      </c>
      <c r="L207" s="35">
        <v>25.41</v>
      </c>
      <c r="M207" s="36">
        <f t="shared" si="26"/>
        <v>12474.59</v>
      </c>
      <c r="N207" s="32" t="s">
        <v>65</v>
      </c>
      <c r="Q207" s="49" t="s">
        <v>426</v>
      </c>
      <c r="R207" s="49" t="s">
        <v>101</v>
      </c>
      <c r="S207" s="58">
        <f t="shared" si="25"/>
        <v>45820</v>
      </c>
      <c r="T207" s="51" t="s">
        <v>39</v>
      </c>
      <c r="U207" s="50" t="s">
        <v>30</v>
      </c>
      <c r="V207" s="52" t="s">
        <v>31</v>
      </c>
      <c r="W207" s="53">
        <v>5</v>
      </c>
      <c r="X207" s="54">
        <v>2500</v>
      </c>
      <c r="Y207" s="54">
        <v>25.41</v>
      </c>
      <c r="Z207" s="55">
        <f t="shared" si="27"/>
        <v>12474.59</v>
      </c>
      <c r="AA207" s="56" t="s">
        <v>65</v>
      </c>
      <c r="AB207"/>
    </row>
    <row r="208" spans="1:28" x14ac:dyDescent="0.25">
      <c r="A208" s="26" t="s">
        <v>428</v>
      </c>
      <c r="B208" s="26" t="s">
        <v>20</v>
      </c>
      <c r="C208" s="26" t="str">
        <f t="shared" si="22"/>
        <v>Beatriz Ribeiro</v>
      </c>
      <c r="D208" s="37" t="s">
        <v>429</v>
      </c>
      <c r="E208" s="27">
        <f t="shared" si="23"/>
        <v>45658</v>
      </c>
      <c r="F208" s="26" t="s">
        <v>47</v>
      </c>
      <c r="G208" s="26" t="str">
        <f t="shared" si="24"/>
        <v>Bruno Martins</v>
      </c>
      <c r="H208" s="26" t="s">
        <v>16</v>
      </c>
      <c r="I208" s="26" t="s">
        <v>116</v>
      </c>
      <c r="J208" s="28">
        <v>2</v>
      </c>
      <c r="K208" s="29">
        <v>45</v>
      </c>
      <c r="L208" s="29">
        <v>4.83</v>
      </c>
      <c r="M208" s="30">
        <f t="shared" si="26"/>
        <v>85.17</v>
      </c>
      <c r="N208" s="26" t="s">
        <v>69</v>
      </c>
      <c r="Q208" s="42" t="s">
        <v>428</v>
      </c>
      <c r="R208" s="42" t="s">
        <v>20</v>
      </c>
      <c r="S208" s="57">
        <f t="shared" si="25"/>
        <v>45658</v>
      </c>
      <c r="T208" s="44" t="s">
        <v>47</v>
      </c>
      <c r="U208" s="43" t="s">
        <v>16</v>
      </c>
      <c r="V208" s="42" t="s">
        <v>116</v>
      </c>
      <c r="W208" s="45">
        <v>2</v>
      </c>
      <c r="X208" s="46">
        <v>45</v>
      </c>
      <c r="Y208" s="46">
        <v>4.83</v>
      </c>
      <c r="Z208" s="47">
        <f t="shared" si="27"/>
        <v>85.17</v>
      </c>
      <c r="AA208" s="48" t="s">
        <v>69</v>
      </c>
      <c r="AB208"/>
    </row>
    <row r="209" spans="1:28" x14ac:dyDescent="0.25">
      <c r="A209" s="31" t="s">
        <v>430</v>
      </c>
      <c r="B209" s="31" t="s">
        <v>34</v>
      </c>
      <c r="C209" s="32" t="str">
        <f t="shared" si="22"/>
        <v>Carlos Silva</v>
      </c>
      <c r="D209" s="38" t="s">
        <v>431</v>
      </c>
      <c r="E209" s="33">
        <f t="shared" si="23"/>
        <v>45701</v>
      </c>
      <c r="F209" s="32" t="s">
        <v>15</v>
      </c>
      <c r="G209" s="32" t="str">
        <f t="shared" si="24"/>
        <v>Larissa Dias</v>
      </c>
      <c r="H209" s="32" t="s">
        <v>23</v>
      </c>
      <c r="I209" s="32" t="s">
        <v>48</v>
      </c>
      <c r="J209" s="34">
        <v>3</v>
      </c>
      <c r="K209" s="35">
        <v>450</v>
      </c>
      <c r="L209" s="35">
        <v>0</v>
      </c>
      <c r="M209" s="36">
        <f t="shared" si="26"/>
        <v>1350</v>
      </c>
      <c r="N209" s="32" t="s">
        <v>65</v>
      </c>
      <c r="Q209" s="49" t="s">
        <v>430</v>
      </c>
      <c r="R209" s="49" t="s">
        <v>34</v>
      </c>
      <c r="S209" s="58">
        <f t="shared" si="25"/>
        <v>45701</v>
      </c>
      <c r="T209" s="51" t="s">
        <v>15</v>
      </c>
      <c r="U209" s="50" t="s">
        <v>23</v>
      </c>
      <c r="V209" s="52" t="s">
        <v>48</v>
      </c>
      <c r="W209" s="53">
        <v>3</v>
      </c>
      <c r="X209" s="54">
        <v>450</v>
      </c>
      <c r="Y209" s="54">
        <v>0</v>
      </c>
      <c r="Z209" s="55">
        <f t="shared" si="27"/>
        <v>1350</v>
      </c>
      <c r="AA209" s="56" t="s">
        <v>65</v>
      </c>
      <c r="AB209"/>
    </row>
    <row r="210" spans="1:28" x14ac:dyDescent="0.25">
      <c r="A210" s="26" t="s">
        <v>432</v>
      </c>
      <c r="B210" s="26" t="s">
        <v>63</v>
      </c>
      <c r="C210" s="26" t="str">
        <f t="shared" si="22"/>
        <v>Marcos Rodrigues</v>
      </c>
      <c r="D210" s="37" t="s">
        <v>433</v>
      </c>
      <c r="E210" s="27">
        <f t="shared" si="23"/>
        <v>45738</v>
      </c>
      <c r="F210" s="26" t="s">
        <v>39</v>
      </c>
      <c r="G210" s="26" t="str">
        <f t="shared" si="24"/>
        <v>Rodrigo Mello</v>
      </c>
      <c r="H210" s="26" t="s">
        <v>16</v>
      </c>
      <c r="I210" s="26" t="s">
        <v>78</v>
      </c>
      <c r="J210" s="28">
        <v>3</v>
      </c>
      <c r="K210" s="29">
        <v>59</v>
      </c>
      <c r="L210" s="29">
        <v>0</v>
      </c>
      <c r="M210" s="30">
        <f t="shared" si="26"/>
        <v>177</v>
      </c>
      <c r="N210" s="26" t="s">
        <v>44</v>
      </c>
      <c r="Q210" s="42" t="s">
        <v>432</v>
      </c>
      <c r="R210" s="42" t="s">
        <v>63</v>
      </c>
      <c r="S210" s="57">
        <f t="shared" si="25"/>
        <v>45738</v>
      </c>
      <c r="T210" s="44" t="s">
        <v>39</v>
      </c>
      <c r="U210" s="43" t="s">
        <v>16</v>
      </c>
      <c r="V210" s="42" t="s">
        <v>78</v>
      </c>
      <c r="W210" s="45">
        <v>3</v>
      </c>
      <c r="X210" s="46">
        <v>59</v>
      </c>
      <c r="Y210" s="46">
        <v>0</v>
      </c>
      <c r="Z210" s="47">
        <f t="shared" si="27"/>
        <v>177</v>
      </c>
      <c r="AA210" s="48" t="s">
        <v>44</v>
      </c>
      <c r="AB210"/>
    </row>
    <row r="211" spans="1:28" x14ac:dyDescent="0.25">
      <c r="A211" s="31" t="s">
        <v>434</v>
      </c>
      <c r="B211" s="31" t="s">
        <v>41</v>
      </c>
      <c r="C211" s="32" t="str">
        <f t="shared" si="22"/>
        <v>João Pereira</v>
      </c>
      <c r="D211" s="38" t="s">
        <v>435</v>
      </c>
      <c r="E211" s="33">
        <f t="shared" si="23"/>
        <v>46047</v>
      </c>
      <c r="F211" s="32" t="s">
        <v>29</v>
      </c>
      <c r="G211" s="32" t="str">
        <f t="shared" si="24"/>
        <v>Camila Rocha</v>
      </c>
      <c r="H211" s="32" t="s">
        <v>30</v>
      </c>
      <c r="I211" s="32" t="s">
        <v>31</v>
      </c>
      <c r="J211" s="34">
        <v>1</v>
      </c>
      <c r="K211" s="35">
        <v>2500</v>
      </c>
      <c r="L211" s="35">
        <v>339.08</v>
      </c>
      <c r="M211" s="36">
        <f t="shared" si="26"/>
        <v>2160.92</v>
      </c>
      <c r="N211" s="32" t="s">
        <v>25</v>
      </c>
      <c r="Q211" s="49" t="s">
        <v>434</v>
      </c>
      <c r="R211" s="49" t="s">
        <v>41</v>
      </c>
      <c r="S211" s="58">
        <f t="shared" si="25"/>
        <v>46047</v>
      </c>
      <c r="T211" s="51" t="s">
        <v>29</v>
      </c>
      <c r="U211" s="50" t="s">
        <v>30</v>
      </c>
      <c r="V211" s="52" t="s">
        <v>31</v>
      </c>
      <c r="W211" s="53">
        <v>1</v>
      </c>
      <c r="X211" s="54">
        <v>2500</v>
      </c>
      <c r="Y211" s="54">
        <v>339.08</v>
      </c>
      <c r="Z211" s="55">
        <f t="shared" si="27"/>
        <v>2160.92</v>
      </c>
      <c r="AA211" s="56" t="s">
        <v>25</v>
      </c>
      <c r="AB211"/>
    </row>
    <row r="212" spans="1:28" x14ac:dyDescent="0.25">
      <c r="A212" s="26" t="s">
        <v>436</v>
      </c>
      <c r="B212" s="26" t="s">
        <v>110</v>
      </c>
      <c r="C212" s="26" t="str">
        <f t="shared" si="22"/>
        <v>Fernanda Lima</v>
      </c>
      <c r="D212" s="37" t="s">
        <v>437</v>
      </c>
      <c r="E212" s="27">
        <f t="shared" si="23"/>
        <v>45914</v>
      </c>
      <c r="F212" s="26" t="s">
        <v>22</v>
      </c>
      <c r="G212" s="26" t="str">
        <f t="shared" si="24"/>
        <v>Amanda Costa</v>
      </c>
      <c r="H212" s="26" t="s">
        <v>30</v>
      </c>
      <c r="I212" s="26" t="s">
        <v>31</v>
      </c>
      <c r="J212" s="28">
        <v>1</v>
      </c>
      <c r="K212" s="29">
        <v>2500</v>
      </c>
      <c r="L212" s="29">
        <v>297.82</v>
      </c>
      <c r="M212" s="30">
        <f t="shared" si="26"/>
        <v>2202.1799999999998</v>
      </c>
      <c r="N212" s="26" t="s">
        <v>49</v>
      </c>
      <c r="Q212" s="42" t="s">
        <v>436</v>
      </c>
      <c r="R212" s="42" t="s">
        <v>110</v>
      </c>
      <c r="S212" s="57">
        <f t="shared" si="25"/>
        <v>45914</v>
      </c>
      <c r="T212" s="44" t="s">
        <v>22</v>
      </c>
      <c r="U212" s="43" t="s">
        <v>30</v>
      </c>
      <c r="V212" s="42" t="s">
        <v>31</v>
      </c>
      <c r="W212" s="45">
        <v>1</v>
      </c>
      <c r="X212" s="46">
        <v>2500</v>
      </c>
      <c r="Y212" s="46">
        <v>297.82</v>
      </c>
      <c r="Z212" s="47">
        <f t="shared" si="27"/>
        <v>2202.1799999999998</v>
      </c>
      <c r="AA212" s="48" t="s">
        <v>49</v>
      </c>
      <c r="AB212"/>
    </row>
    <row r="213" spans="1:28" x14ac:dyDescent="0.25">
      <c r="A213" s="31" t="s">
        <v>438</v>
      </c>
      <c r="B213" s="31" t="s">
        <v>41</v>
      </c>
      <c r="C213" s="32" t="str">
        <f t="shared" si="22"/>
        <v>João Pereira</v>
      </c>
      <c r="D213" s="38" t="s">
        <v>439</v>
      </c>
      <c r="E213" s="33">
        <f t="shared" si="23"/>
        <v>46000</v>
      </c>
      <c r="F213" s="32" t="s">
        <v>47</v>
      </c>
      <c r="G213" s="32" t="str">
        <f t="shared" si="24"/>
        <v>Bruno Martins</v>
      </c>
      <c r="H213" s="32" t="s">
        <v>16</v>
      </c>
      <c r="I213" s="32" t="s">
        <v>103</v>
      </c>
      <c r="J213" s="34">
        <v>4</v>
      </c>
      <c r="K213" s="35">
        <v>89</v>
      </c>
      <c r="L213" s="35">
        <v>11.12</v>
      </c>
      <c r="M213" s="36">
        <f t="shared" si="26"/>
        <v>344.88</v>
      </c>
      <c r="N213" s="32" t="s">
        <v>49</v>
      </c>
      <c r="Q213" s="49" t="s">
        <v>438</v>
      </c>
      <c r="R213" s="49" t="s">
        <v>41</v>
      </c>
      <c r="S213" s="58">
        <f t="shared" si="25"/>
        <v>46000</v>
      </c>
      <c r="T213" s="51" t="s">
        <v>47</v>
      </c>
      <c r="U213" s="50" t="s">
        <v>16</v>
      </c>
      <c r="V213" s="52" t="s">
        <v>103</v>
      </c>
      <c r="W213" s="53">
        <v>4</v>
      </c>
      <c r="X213" s="54">
        <v>89</v>
      </c>
      <c r="Y213" s="54">
        <v>11.12</v>
      </c>
      <c r="Z213" s="55">
        <f t="shared" si="27"/>
        <v>344.88</v>
      </c>
      <c r="AA213" s="56" t="s">
        <v>49</v>
      </c>
      <c r="AB213"/>
    </row>
    <row r="214" spans="1:28" x14ac:dyDescent="0.25">
      <c r="A214" s="26" t="s">
        <v>440</v>
      </c>
      <c r="B214" s="26" t="s">
        <v>55</v>
      </c>
      <c r="C214" s="26" t="str">
        <f t="shared" si="22"/>
        <v>Ricardo Carvalho</v>
      </c>
      <c r="D214" s="37" t="s">
        <v>441</v>
      </c>
      <c r="E214" s="27">
        <f t="shared" si="23"/>
        <v>45959</v>
      </c>
      <c r="F214" s="26" t="s">
        <v>22</v>
      </c>
      <c r="G214" s="26" t="str">
        <f t="shared" si="24"/>
        <v>Amanda Costa</v>
      </c>
      <c r="H214" s="26" t="s">
        <v>52</v>
      </c>
      <c r="I214" s="26" t="s">
        <v>75</v>
      </c>
      <c r="J214" s="28">
        <v>5</v>
      </c>
      <c r="K214" s="29">
        <v>249</v>
      </c>
      <c r="L214" s="29">
        <v>42.89</v>
      </c>
      <c r="M214" s="30">
        <f t="shared" si="26"/>
        <v>1202.1099999999999</v>
      </c>
      <c r="N214" s="26" t="s">
        <v>89</v>
      </c>
      <c r="Q214" s="42" t="s">
        <v>440</v>
      </c>
      <c r="R214" s="42" t="s">
        <v>55</v>
      </c>
      <c r="S214" s="57">
        <f t="shared" si="25"/>
        <v>45959</v>
      </c>
      <c r="T214" s="44" t="s">
        <v>22</v>
      </c>
      <c r="U214" s="43" t="s">
        <v>52</v>
      </c>
      <c r="V214" s="42" t="s">
        <v>75</v>
      </c>
      <c r="W214" s="45">
        <v>5</v>
      </c>
      <c r="X214" s="46">
        <v>249</v>
      </c>
      <c r="Y214" s="46">
        <v>42.89</v>
      </c>
      <c r="Z214" s="47">
        <f t="shared" si="27"/>
        <v>1202.1099999999999</v>
      </c>
      <c r="AA214" s="48" t="s">
        <v>89</v>
      </c>
      <c r="AB214"/>
    </row>
    <row r="215" spans="1:28" x14ac:dyDescent="0.25">
      <c r="A215" s="31" t="s">
        <v>442</v>
      </c>
      <c r="B215" s="31" t="s">
        <v>63</v>
      </c>
      <c r="C215" s="32" t="str">
        <f t="shared" si="22"/>
        <v>Marcos Rodrigues</v>
      </c>
      <c r="D215" s="38" t="s">
        <v>443</v>
      </c>
      <c r="E215" s="33">
        <f t="shared" si="23"/>
        <v>45934</v>
      </c>
      <c r="F215" s="32" t="s">
        <v>29</v>
      </c>
      <c r="G215" s="32" t="str">
        <f t="shared" si="24"/>
        <v>Camila Rocha</v>
      </c>
      <c r="H215" s="32" t="s">
        <v>16</v>
      </c>
      <c r="I215" s="32" t="s">
        <v>103</v>
      </c>
      <c r="J215" s="34">
        <v>1</v>
      </c>
      <c r="K215" s="35">
        <v>89</v>
      </c>
      <c r="L215" s="35">
        <v>0</v>
      </c>
      <c r="M215" s="36">
        <f t="shared" si="26"/>
        <v>89</v>
      </c>
      <c r="N215" s="32" t="s">
        <v>69</v>
      </c>
      <c r="Q215" s="49" t="s">
        <v>442</v>
      </c>
      <c r="R215" s="49" t="s">
        <v>63</v>
      </c>
      <c r="S215" s="58">
        <f t="shared" si="25"/>
        <v>45934</v>
      </c>
      <c r="T215" s="51" t="s">
        <v>29</v>
      </c>
      <c r="U215" s="50" t="s">
        <v>16</v>
      </c>
      <c r="V215" s="52" t="s">
        <v>103</v>
      </c>
      <c r="W215" s="53">
        <v>1</v>
      </c>
      <c r="X215" s="54">
        <v>89</v>
      </c>
      <c r="Y215" s="54">
        <v>0</v>
      </c>
      <c r="Z215" s="55">
        <f t="shared" si="27"/>
        <v>89</v>
      </c>
      <c r="AA215" s="56" t="s">
        <v>69</v>
      </c>
      <c r="AB215"/>
    </row>
    <row r="216" spans="1:28" x14ac:dyDescent="0.25">
      <c r="A216" s="26" t="s">
        <v>444</v>
      </c>
      <c r="B216" s="26" t="s">
        <v>101</v>
      </c>
      <c r="C216" s="26" t="str">
        <f t="shared" si="22"/>
        <v>Ana Souza</v>
      </c>
      <c r="D216" s="37" t="s">
        <v>83</v>
      </c>
      <c r="E216" s="27">
        <f t="shared" si="23"/>
        <v>45748</v>
      </c>
      <c r="F216" s="26" t="s">
        <v>47</v>
      </c>
      <c r="G216" s="26" t="str">
        <f t="shared" si="24"/>
        <v>Bruno Martins</v>
      </c>
      <c r="H216" s="26" t="s">
        <v>52</v>
      </c>
      <c r="I216" s="26" t="s">
        <v>53</v>
      </c>
      <c r="J216" s="28">
        <v>5</v>
      </c>
      <c r="K216" s="29">
        <v>149</v>
      </c>
      <c r="L216" s="29">
        <v>74.489999999999995</v>
      </c>
      <c r="M216" s="30">
        <f t="shared" si="26"/>
        <v>670.51</v>
      </c>
      <c r="N216" s="26" t="s">
        <v>18</v>
      </c>
      <c r="Q216" s="42" t="s">
        <v>444</v>
      </c>
      <c r="R216" s="42" t="s">
        <v>101</v>
      </c>
      <c r="S216" s="57">
        <f t="shared" si="25"/>
        <v>45748</v>
      </c>
      <c r="T216" s="44" t="s">
        <v>47</v>
      </c>
      <c r="U216" s="43" t="s">
        <v>52</v>
      </c>
      <c r="V216" s="42" t="s">
        <v>53</v>
      </c>
      <c r="W216" s="45">
        <v>5</v>
      </c>
      <c r="X216" s="46">
        <v>149</v>
      </c>
      <c r="Y216" s="46">
        <v>74.489999999999995</v>
      </c>
      <c r="Z216" s="47">
        <f t="shared" si="27"/>
        <v>670.51</v>
      </c>
      <c r="AA216" s="48" t="s">
        <v>18</v>
      </c>
      <c r="AB216"/>
    </row>
    <row r="217" spans="1:28" x14ac:dyDescent="0.25">
      <c r="A217" s="31" t="s">
        <v>445</v>
      </c>
      <c r="B217" s="31" t="s">
        <v>63</v>
      </c>
      <c r="C217" s="32" t="str">
        <f t="shared" si="22"/>
        <v>Marcos Rodrigues</v>
      </c>
      <c r="D217" s="38" t="s">
        <v>446</v>
      </c>
      <c r="E217" s="33">
        <f t="shared" si="23"/>
        <v>45946</v>
      </c>
      <c r="F217" s="32" t="s">
        <v>47</v>
      </c>
      <c r="G217" s="32" t="str">
        <f t="shared" si="24"/>
        <v>Bruno Martins</v>
      </c>
      <c r="H217" s="32" t="s">
        <v>23</v>
      </c>
      <c r="I217" s="32" t="s">
        <v>24</v>
      </c>
      <c r="J217" s="34">
        <v>2</v>
      </c>
      <c r="K217" s="35">
        <v>180</v>
      </c>
      <c r="L217" s="35">
        <v>35.21</v>
      </c>
      <c r="M217" s="36">
        <f t="shared" si="26"/>
        <v>324.79000000000002</v>
      </c>
      <c r="N217" s="32" t="s">
        <v>69</v>
      </c>
      <c r="Q217" s="49" t="s">
        <v>445</v>
      </c>
      <c r="R217" s="49" t="s">
        <v>63</v>
      </c>
      <c r="S217" s="58">
        <f t="shared" si="25"/>
        <v>45946</v>
      </c>
      <c r="T217" s="51" t="s">
        <v>47</v>
      </c>
      <c r="U217" s="50" t="s">
        <v>23</v>
      </c>
      <c r="V217" s="52" t="s">
        <v>24</v>
      </c>
      <c r="W217" s="53">
        <v>2</v>
      </c>
      <c r="X217" s="54">
        <v>180</v>
      </c>
      <c r="Y217" s="54">
        <v>35.21</v>
      </c>
      <c r="Z217" s="55">
        <f t="shared" si="27"/>
        <v>324.79000000000002</v>
      </c>
      <c r="AA217" s="56" t="s">
        <v>69</v>
      </c>
      <c r="AB217"/>
    </row>
    <row r="218" spans="1:28" x14ac:dyDescent="0.25">
      <c r="A218" s="26" t="s">
        <v>447</v>
      </c>
      <c r="B218" s="26" t="s">
        <v>55</v>
      </c>
      <c r="C218" s="26" t="str">
        <f t="shared" si="22"/>
        <v>Ricardo Carvalho</v>
      </c>
      <c r="D218" s="37" t="s">
        <v>183</v>
      </c>
      <c r="E218" s="27">
        <f t="shared" si="23"/>
        <v>45802</v>
      </c>
      <c r="F218" s="26" t="s">
        <v>29</v>
      </c>
      <c r="G218" s="26" t="str">
        <f t="shared" si="24"/>
        <v>Camila Rocha</v>
      </c>
      <c r="H218" s="26" t="s">
        <v>16</v>
      </c>
      <c r="I218" s="26" t="s">
        <v>17</v>
      </c>
      <c r="J218" s="28">
        <v>5</v>
      </c>
      <c r="K218" s="29">
        <v>39</v>
      </c>
      <c r="L218" s="29">
        <v>22.14</v>
      </c>
      <c r="M218" s="30">
        <f t="shared" si="26"/>
        <v>172.86</v>
      </c>
      <c r="N218" s="26" t="s">
        <v>18</v>
      </c>
      <c r="Q218" s="42" t="s">
        <v>447</v>
      </c>
      <c r="R218" s="42" t="s">
        <v>55</v>
      </c>
      <c r="S218" s="57">
        <f t="shared" si="25"/>
        <v>45802</v>
      </c>
      <c r="T218" s="44" t="s">
        <v>29</v>
      </c>
      <c r="U218" s="43" t="s">
        <v>16</v>
      </c>
      <c r="V218" s="42" t="s">
        <v>17</v>
      </c>
      <c r="W218" s="45">
        <v>5</v>
      </c>
      <c r="X218" s="46">
        <v>39</v>
      </c>
      <c r="Y218" s="46">
        <v>22.14</v>
      </c>
      <c r="Z218" s="47">
        <f t="shared" si="27"/>
        <v>172.86</v>
      </c>
      <c r="AA218" s="48" t="s">
        <v>18</v>
      </c>
      <c r="AB218"/>
    </row>
    <row r="219" spans="1:28" x14ac:dyDescent="0.25">
      <c r="A219" s="31" t="s">
        <v>448</v>
      </c>
      <c r="B219" s="31" t="s">
        <v>101</v>
      </c>
      <c r="C219" s="32" t="str">
        <f t="shared" si="22"/>
        <v>Ana Souza</v>
      </c>
      <c r="D219" s="38" t="s">
        <v>449</v>
      </c>
      <c r="E219" s="33">
        <f t="shared" si="23"/>
        <v>45912</v>
      </c>
      <c r="F219" s="32" t="s">
        <v>47</v>
      </c>
      <c r="G219" s="32" t="str">
        <f t="shared" si="24"/>
        <v>Bruno Martins</v>
      </c>
      <c r="H219" s="32" t="s">
        <v>52</v>
      </c>
      <c r="I219" s="32" t="s">
        <v>61</v>
      </c>
      <c r="J219" s="34">
        <v>5</v>
      </c>
      <c r="K219" s="35">
        <v>199</v>
      </c>
      <c r="L219" s="35">
        <v>0</v>
      </c>
      <c r="M219" s="36">
        <f t="shared" si="26"/>
        <v>995</v>
      </c>
      <c r="N219" s="32" t="s">
        <v>89</v>
      </c>
      <c r="Q219" s="49" t="s">
        <v>448</v>
      </c>
      <c r="R219" s="49" t="s">
        <v>101</v>
      </c>
      <c r="S219" s="58">
        <f t="shared" si="25"/>
        <v>45912</v>
      </c>
      <c r="T219" s="51" t="s">
        <v>47</v>
      </c>
      <c r="U219" s="50" t="s">
        <v>52</v>
      </c>
      <c r="V219" s="52" t="s">
        <v>61</v>
      </c>
      <c r="W219" s="53">
        <v>5</v>
      </c>
      <c r="X219" s="54">
        <v>199</v>
      </c>
      <c r="Y219" s="54">
        <v>0</v>
      </c>
      <c r="Z219" s="55">
        <f t="shared" si="27"/>
        <v>995</v>
      </c>
      <c r="AA219" s="56" t="s">
        <v>89</v>
      </c>
      <c r="AB219"/>
    </row>
    <row r="220" spans="1:28" x14ac:dyDescent="0.25">
      <c r="A220" s="26" t="s">
        <v>450</v>
      </c>
      <c r="B220" s="26" t="s">
        <v>55</v>
      </c>
      <c r="C220" s="26" t="str">
        <f t="shared" si="22"/>
        <v>Ricardo Carvalho</v>
      </c>
      <c r="D220" s="37" t="s">
        <v>344</v>
      </c>
      <c r="E220" s="27">
        <f t="shared" si="23"/>
        <v>45801</v>
      </c>
      <c r="F220" s="26" t="s">
        <v>47</v>
      </c>
      <c r="G220" s="26" t="str">
        <f t="shared" si="24"/>
        <v>Bruno Martins</v>
      </c>
      <c r="H220" s="26" t="s">
        <v>16</v>
      </c>
      <c r="I220" s="26" t="s">
        <v>78</v>
      </c>
      <c r="J220" s="28">
        <v>2</v>
      </c>
      <c r="K220" s="29">
        <v>59</v>
      </c>
      <c r="L220" s="29">
        <v>0</v>
      </c>
      <c r="M220" s="30">
        <f t="shared" si="26"/>
        <v>118</v>
      </c>
      <c r="N220" s="26" t="s">
        <v>32</v>
      </c>
      <c r="Q220" s="42" t="s">
        <v>450</v>
      </c>
      <c r="R220" s="42" t="s">
        <v>55</v>
      </c>
      <c r="S220" s="57">
        <f t="shared" si="25"/>
        <v>45801</v>
      </c>
      <c r="T220" s="44" t="s">
        <v>47</v>
      </c>
      <c r="U220" s="43" t="s">
        <v>16</v>
      </c>
      <c r="V220" s="42" t="s">
        <v>78</v>
      </c>
      <c r="W220" s="45">
        <v>2</v>
      </c>
      <c r="X220" s="46">
        <v>59</v>
      </c>
      <c r="Y220" s="46">
        <v>0</v>
      </c>
      <c r="Z220" s="47">
        <f t="shared" si="27"/>
        <v>118</v>
      </c>
      <c r="AA220" s="48" t="s">
        <v>32</v>
      </c>
      <c r="AB220"/>
    </row>
    <row r="221" spans="1:28" x14ac:dyDescent="0.25">
      <c r="A221" s="31" t="s">
        <v>451</v>
      </c>
      <c r="B221" s="31" t="s">
        <v>110</v>
      </c>
      <c r="C221" s="32" t="str">
        <f t="shared" si="22"/>
        <v>Fernanda Lima</v>
      </c>
      <c r="D221" s="38" t="s">
        <v>452</v>
      </c>
      <c r="E221" s="33">
        <f t="shared" si="23"/>
        <v>45685</v>
      </c>
      <c r="F221" s="32" t="s">
        <v>22</v>
      </c>
      <c r="G221" s="32" t="str">
        <f t="shared" si="24"/>
        <v>Amanda Costa</v>
      </c>
      <c r="H221" s="32" t="s">
        <v>16</v>
      </c>
      <c r="I221" s="32" t="s">
        <v>78</v>
      </c>
      <c r="J221" s="34">
        <v>4</v>
      </c>
      <c r="K221" s="35">
        <v>59</v>
      </c>
      <c r="L221" s="35">
        <v>28.64</v>
      </c>
      <c r="M221" s="36">
        <f t="shared" si="26"/>
        <v>207.36</v>
      </c>
      <c r="N221" s="32" t="s">
        <v>89</v>
      </c>
      <c r="Q221" s="49" t="s">
        <v>451</v>
      </c>
      <c r="R221" s="49" t="s">
        <v>110</v>
      </c>
      <c r="S221" s="58">
        <f t="shared" si="25"/>
        <v>45685</v>
      </c>
      <c r="T221" s="51" t="s">
        <v>22</v>
      </c>
      <c r="U221" s="50" t="s">
        <v>16</v>
      </c>
      <c r="V221" s="52" t="s">
        <v>78</v>
      </c>
      <c r="W221" s="53">
        <v>4</v>
      </c>
      <c r="X221" s="54">
        <v>59</v>
      </c>
      <c r="Y221" s="54">
        <v>28.64</v>
      </c>
      <c r="Z221" s="55">
        <f t="shared" si="27"/>
        <v>207.36</v>
      </c>
      <c r="AA221" s="56" t="s">
        <v>89</v>
      </c>
      <c r="AB221"/>
    </row>
    <row r="222" spans="1:28" x14ac:dyDescent="0.25">
      <c r="A222" s="26" t="s">
        <v>453</v>
      </c>
      <c r="B222" s="26" t="s">
        <v>34</v>
      </c>
      <c r="C222" s="26" t="str">
        <f t="shared" si="22"/>
        <v>Carlos Silva</v>
      </c>
      <c r="D222" s="37" t="s">
        <v>454</v>
      </c>
      <c r="E222" s="27">
        <f t="shared" si="23"/>
        <v>45993</v>
      </c>
      <c r="F222" s="26" t="s">
        <v>29</v>
      </c>
      <c r="G222" s="26" t="str">
        <f t="shared" si="24"/>
        <v>Camila Rocha</v>
      </c>
      <c r="H222" s="26" t="s">
        <v>52</v>
      </c>
      <c r="I222" s="26" t="s">
        <v>61</v>
      </c>
      <c r="J222" s="28">
        <v>3</v>
      </c>
      <c r="K222" s="29">
        <v>199</v>
      </c>
      <c r="L222" s="29">
        <v>26.43</v>
      </c>
      <c r="M222" s="30">
        <f t="shared" si="26"/>
        <v>570.57000000000005</v>
      </c>
      <c r="N222" s="26" t="s">
        <v>65</v>
      </c>
      <c r="Q222" s="42" t="s">
        <v>453</v>
      </c>
      <c r="R222" s="42" t="s">
        <v>34</v>
      </c>
      <c r="S222" s="57">
        <f t="shared" si="25"/>
        <v>45993</v>
      </c>
      <c r="T222" s="44" t="s">
        <v>29</v>
      </c>
      <c r="U222" s="43" t="s">
        <v>52</v>
      </c>
      <c r="V222" s="42" t="s">
        <v>61</v>
      </c>
      <c r="W222" s="45">
        <v>3</v>
      </c>
      <c r="X222" s="46">
        <v>199</v>
      </c>
      <c r="Y222" s="46">
        <v>26.43</v>
      </c>
      <c r="Z222" s="47">
        <f t="shared" si="27"/>
        <v>570.57000000000005</v>
      </c>
      <c r="AA222" s="48" t="s">
        <v>65</v>
      </c>
      <c r="AB222"/>
    </row>
    <row r="223" spans="1:28" x14ac:dyDescent="0.25">
      <c r="A223" s="31" t="s">
        <v>455</v>
      </c>
      <c r="B223" s="31" t="s">
        <v>101</v>
      </c>
      <c r="C223" s="32" t="str">
        <f t="shared" si="22"/>
        <v>Ana Souza</v>
      </c>
      <c r="D223" s="38" t="s">
        <v>456</v>
      </c>
      <c r="E223" s="33">
        <f t="shared" si="23"/>
        <v>45983</v>
      </c>
      <c r="F223" s="32" t="s">
        <v>47</v>
      </c>
      <c r="G223" s="32" t="str">
        <f t="shared" si="24"/>
        <v>Bruno Martins</v>
      </c>
      <c r="H223" s="32" t="s">
        <v>23</v>
      </c>
      <c r="I223" s="32" t="s">
        <v>88</v>
      </c>
      <c r="J223" s="34">
        <v>5</v>
      </c>
      <c r="K223" s="35">
        <v>650</v>
      </c>
      <c r="L223" s="35">
        <v>55.27</v>
      </c>
      <c r="M223" s="36">
        <f t="shared" si="26"/>
        <v>3194.73</v>
      </c>
      <c r="N223" s="32" t="s">
        <v>44</v>
      </c>
      <c r="Q223" s="49" t="s">
        <v>455</v>
      </c>
      <c r="R223" s="49" t="s">
        <v>101</v>
      </c>
      <c r="S223" s="58">
        <f t="shared" si="25"/>
        <v>45983</v>
      </c>
      <c r="T223" s="51" t="s">
        <v>47</v>
      </c>
      <c r="U223" s="50" t="s">
        <v>23</v>
      </c>
      <c r="V223" s="52" t="s">
        <v>88</v>
      </c>
      <c r="W223" s="53">
        <v>5</v>
      </c>
      <c r="X223" s="54">
        <v>650</v>
      </c>
      <c r="Y223" s="54">
        <v>55.27</v>
      </c>
      <c r="Z223" s="55">
        <f t="shared" si="27"/>
        <v>3194.73</v>
      </c>
      <c r="AA223" s="56" t="s">
        <v>44</v>
      </c>
      <c r="AB223"/>
    </row>
    <row r="224" spans="1:28" x14ac:dyDescent="0.25">
      <c r="A224" s="26" t="s">
        <v>457</v>
      </c>
      <c r="B224" s="26" t="s">
        <v>20</v>
      </c>
      <c r="C224" s="26" t="str">
        <f t="shared" si="22"/>
        <v>Beatriz Ribeiro</v>
      </c>
      <c r="D224" s="37" t="s">
        <v>458</v>
      </c>
      <c r="E224" s="27">
        <f t="shared" si="23"/>
        <v>45707</v>
      </c>
      <c r="F224" s="26" t="s">
        <v>29</v>
      </c>
      <c r="G224" s="26" t="str">
        <f t="shared" si="24"/>
        <v>Camila Rocha</v>
      </c>
      <c r="H224" s="26" t="s">
        <v>52</v>
      </c>
      <c r="I224" s="26" t="s">
        <v>61</v>
      </c>
      <c r="J224" s="28">
        <v>5</v>
      </c>
      <c r="K224" s="29">
        <v>199</v>
      </c>
      <c r="L224" s="29">
        <v>90.53</v>
      </c>
      <c r="M224" s="30">
        <f t="shared" si="26"/>
        <v>904.47</v>
      </c>
      <c r="N224" s="26" t="s">
        <v>25</v>
      </c>
      <c r="Q224" s="42" t="s">
        <v>457</v>
      </c>
      <c r="R224" s="42" t="s">
        <v>20</v>
      </c>
      <c r="S224" s="57">
        <f t="shared" si="25"/>
        <v>45707</v>
      </c>
      <c r="T224" s="44" t="s">
        <v>29</v>
      </c>
      <c r="U224" s="43" t="s">
        <v>52</v>
      </c>
      <c r="V224" s="42" t="s">
        <v>61</v>
      </c>
      <c r="W224" s="45">
        <v>5</v>
      </c>
      <c r="X224" s="46">
        <v>199</v>
      </c>
      <c r="Y224" s="46">
        <v>90.53</v>
      </c>
      <c r="Z224" s="47">
        <f t="shared" si="27"/>
        <v>904.47</v>
      </c>
      <c r="AA224" s="48" t="s">
        <v>25</v>
      </c>
      <c r="AB224"/>
    </row>
    <row r="225" spans="1:28" x14ac:dyDescent="0.25">
      <c r="A225" s="31" t="s">
        <v>459</v>
      </c>
      <c r="B225" s="31" t="s">
        <v>63</v>
      </c>
      <c r="C225" s="32" t="str">
        <f t="shared" si="22"/>
        <v>Marcos Rodrigues</v>
      </c>
      <c r="D225" s="38" t="s">
        <v>263</v>
      </c>
      <c r="E225" s="33">
        <f t="shared" si="23"/>
        <v>45684</v>
      </c>
      <c r="F225" s="32" t="s">
        <v>22</v>
      </c>
      <c r="G225" s="32" t="str">
        <f t="shared" si="24"/>
        <v>Amanda Costa</v>
      </c>
      <c r="H225" s="32" t="s">
        <v>16</v>
      </c>
      <c r="I225" s="32" t="s">
        <v>103</v>
      </c>
      <c r="J225" s="34">
        <v>1</v>
      </c>
      <c r="K225" s="35">
        <v>89</v>
      </c>
      <c r="L225" s="35">
        <v>0</v>
      </c>
      <c r="M225" s="36">
        <f t="shared" si="26"/>
        <v>89</v>
      </c>
      <c r="N225" s="32" t="s">
        <v>44</v>
      </c>
      <c r="Q225" s="49" t="s">
        <v>459</v>
      </c>
      <c r="R225" s="49" t="s">
        <v>63</v>
      </c>
      <c r="S225" s="58">
        <f t="shared" si="25"/>
        <v>45684</v>
      </c>
      <c r="T225" s="51" t="s">
        <v>22</v>
      </c>
      <c r="U225" s="50" t="s">
        <v>16</v>
      </c>
      <c r="V225" s="52" t="s">
        <v>103</v>
      </c>
      <c r="W225" s="53">
        <v>1</v>
      </c>
      <c r="X225" s="54">
        <v>89</v>
      </c>
      <c r="Y225" s="54">
        <v>0</v>
      </c>
      <c r="Z225" s="55">
        <f t="shared" si="27"/>
        <v>89</v>
      </c>
      <c r="AA225" s="56" t="s">
        <v>44</v>
      </c>
      <c r="AB225"/>
    </row>
    <row r="226" spans="1:28" x14ac:dyDescent="0.25">
      <c r="A226" s="26" t="s">
        <v>460</v>
      </c>
      <c r="B226" s="26" t="s">
        <v>20</v>
      </c>
      <c r="C226" s="26" t="str">
        <f t="shared" si="22"/>
        <v>Beatriz Ribeiro</v>
      </c>
      <c r="D226" s="37" t="s">
        <v>461</v>
      </c>
      <c r="E226" s="27">
        <f t="shared" si="23"/>
        <v>45664</v>
      </c>
      <c r="F226" s="26" t="s">
        <v>22</v>
      </c>
      <c r="G226" s="26" t="str">
        <f t="shared" si="24"/>
        <v>Amanda Costa</v>
      </c>
      <c r="H226" s="26" t="s">
        <v>23</v>
      </c>
      <c r="I226" s="26" t="s">
        <v>24</v>
      </c>
      <c r="J226" s="28">
        <v>2</v>
      </c>
      <c r="K226" s="29">
        <v>180</v>
      </c>
      <c r="L226" s="29">
        <v>17.420000000000002</v>
      </c>
      <c r="M226" s="30">
        <f t="shared" si="26"/>
        <v>342.58</v>
      </c>
      <c r="N226" s="26" t="s">
        <v>32</v>
      </c>
      <c r="Q226" s="42" t="s">
        <v>460</v>
      </c>
      <c r="R226" s="42" t="s">
        <v>20</v>
      </c>
      <c r="S226" s="57">
        <f t="shared" si="25"/>
        <v>45664</v>
      </c>
      <c r="T226" s="44" t="s">
        <v>22</v>
      </c>
      <c r="U226" s="43" t="s">
        <v>23</v>
      </c>
      <c r="V226" s="42" t="s">
        <v>24</v>
      </c>
      <c r="W226" s="45">
        <v>2</v>
      </c>
      <c r="X226" s="46">
        <v>180</v>
      </c>
      <c r="Y226" s="46">
        <v>17.420000000000002</v>
      </c>
      <c r="Z226" s="47">
        <f t="shared" si="27"/>
        <v>342.58</v>
      </c>
      <c r="AA226" s="48" t="s">
        <v>32</v>
      </c>
      <c r="AB226"/>
    </row>
    <row r="227" spans="1:28" x14ac:dyDescent="0.25">
      <c r="A227" s="31" t="s">
        <v>462</v>
      </c>
      <c r="B227" s="31" t="s">
        <v>55</v>
      </c>
      <c r="C227" s="32" t="str">
        <f t="shared" si="22"/>
        <v>Ricardo Carvalho</v>
      </c>
      <c r="D227" s="38" t="s">
        <v>263</v>
      </c>
      <c r="E227" s="33">
        <f t="shared" si="23"/>
        <v>45684</v>
      </c>
      <c r="F227" s="32" t="s">
        <v>29</v>
      </c>
      <c r="G227" s="32" t="str">
        <f t="shared" si="24"/>
        <v>Camila Rocha</v>
      </c>
      <c r="H227" s="32" t="s">
        <v>23</v>
      </c>
      <c r="I227" s="32" t="s">
        <v>43</v>
      </c>
      <c r="J227" s="34">
        <v>2</v>
      </c>
      <c r="K227" s="35">
        <v>350</v>
      </c>
      <c r="L227" s="35">
        <v>0</v>
      </c>
      <c r="M227" s="36">
        <f t="shared" si="26"/>
        <v>700</v>
      </c>
      <c r="N227" s="32" t="s">
        <v>18</v>
      </c>
      <c r="Q227" s="49" t="s">
        <v>462</v>
      </c>
      <c r="R227" s="49" t="s">
        <v>55</v>
      </c>
      <c r="S227" s="58">
        <f t="shared" si="25"/>
        <v>45684</v>
      </c>
      <c r="T227" s="51" t="s">
        <v>29</v>
      </c>
      <c r="U227" s="50" t="s">
        <v>23</v>
      </c>
      <c r="V227" s="52" t="s">
        <v>43</v>
      </c>
      <c r="W227" s="53">
        <v>2</v>
      </c>
      <c r="X227" s="54">
        <v>350</v>
      </c>
      <c r="Y227" s="54">
        <v>0</v>
      </c>
      <c r="Z227" s="55">
        <f t="shared" si="27"/>
        <v>700</v>
      </c>
      <c r="AA227" s="56" t="s">
        <v>18</v>
      </c>
      <c r="AB227"/>
    </row>
    <row r="228" spans="1:28" x14ac:dyDescent="0.25">
      <c r="A228" s="26" t="s">
        <v>463</v>
      </c>
      <c r="B228" s="26" t="s">
        <v>27</v>
      </c>
      <c r="C228" s="26" t="str">
        <f t="shared" si="22"/>
        <v>Roberto Santos</v>
      </c>
      <c r="D228" s="37" t="s">
        <v>464</v>
      </c>
      <c r="E228" s="27">
        <f t="shared" si="23"/>
        <v>45694</v>
      </c>
      <c r="F228" s="26" t="s">
        <v>22</v>
      </c>
      <c r="G228" s="26" t="str">
        <f t="shared" si="24"/>
        <v>Amanda Costa</v>
      </c>
      <c r="H228" s="26" t="s">
        <v>30</v>
      </c>
      <c r="I228" s="26" t="s">
        <v>106</v>
      </c>
      <c r="J228" s="28">
        <v>3</v>
      </c>
      <c r="K228" s="29">
        <v>299</v>
      </c>
      <c r="L228" s="29">
        <v>102.13</v>
      </c>
      <c r="M228" s="30">
        <f t="shared" si="26"/>
        <v>794.87</v>
      </c>
      <c r="N228" s="26" t="s">
        <v>49</v>
      </c>
      <c r="Q228" s="42" t="s">
        <v>463</v>
      </c>
      <c r="R228" s="42" t="s">
        <v>27</v>
      </c>
      <c r="S228" s="57">
        <f t="shared" si="25"/>
        <v>45694</v>
      </c>
      <c r="T228" s="44" t="s">
        <v>22</v>
      </c>
      <c r="U228" s="43" t="s">
        <v>30</v>
      </c>
      <c r="V228" s="42" t="s">
        <v>106</v>
      </c>
      <c r="W228" s="45">
        <v>3</v>
      </c>
      <c r="X228" s="46">
        <v>299</v>
      </c>
      <c r="Y228" s="46">
        <v>102.13</v>
      </c>
      <c r="Z228" s="47">
        <f t="shared" si="27"/>
        <v>794.87</v>
      </c>
      <c r="AA228" s="48" t="s">
        <v>49</v>
      </c>
      <c r="AB228"/>
    </row>
    <row r="229" spans="1:28" x14ac:dyDescent="0.25">
      <c r="A229" s="31" t="s">
        <v>465</v>
      </c>
      <c r="B229" s="31" t="s">
        <v>20</v>
      </c>
      <c r="C229" s="32" t="str">
        <f t="shared" si="22"/>
        <v>Beatriz Ribeiro</v>
      </c>
      <c r="D229" s="38" t="s">
        <v>466</v>
      </c>
      <c r="E229" s="33">
        <f t="shared" si="23"/>
        <v>45863</v>
      </c>
      <c r="F229" s="32" t="s">
        <v>29</v>
      </c>
      <c r="G229" s="32" t="str">
        <f t="shared" si="24"/>
        <v>Camila Rocha</v>
      </c>
      <c r="H229" s="32" t="s">
        <v>23</v>
      </c>
      <c r="I229" s="32" t="s">
        <v>24</v>
      </c>
      <c r="J229" s="34">
        <v>4</v>
      </c>
      <c r="K229" s="35">
        <v>180</v>
      </c>
      <c r="L229" s="35">
        <v>96.14</v>
      </c>
      <c r="M229" s="36">
        <f t="shared" si="26"/>
        <v>623.86</v>
      </c>
      <c r="N229" s="32" t="s">
        <v>65</v>
      </c>
      <c r="Q229" s="49" t="s">
        <v>465</v>
      </c>
      <c r="R229" s="49" t="s">
        <v>20</v>
      </c>
      <c r="S229" s="58">
        <f t="shared" si="25"/>
        <v>45863</v>
      </c>
      <c r="T229" s="51" t="s">
        <v>29</v>
      </c>
      <c r="U229" s="50" t="s">
        <v>23</v>
      </c>
      <c r="V229" s="52" t="s">
        <v>24</v>
      </c>
      <c r="W229" s="53">
        <v>4</v>
      </c>
      <c r="X229" s="54">
        <v>180</v>
      </c>
      <c r="Y229" s="54">
        <v>96.14</v>
      </c>
      <c r="Z229" s="55">
        <f t="shared" si="27"/>
        <v>623.86</v>
      </c>
      <c r="AA229" s="56" t="s">
        <v>65</v>
      </c>
      <c r="AB229"/>
    </row>
    <row r="230" spans="1:28" x14ac:dyDescent="0.25">
      <c r="A230" s="26" t="s">
        <v>467</v>
      </c>
      <c r="B230" s="26" t="s">
        <v>110</v>
      </c>
      <c r="C230" s="26" t="str">
        <f t="shared" si="22"/>
        <v>Fernanda Lima</v>
      </c>
      <c r="D230" s="37" t="s">
        <v>250</v>
      </c>
      <c r="E230" s="27">
        <f t="shared" si="23"/>
        <v>45686</v>
      </c>
      <c r="F230" s="26" t="s">
        <v>22</v>
      </c>
      <c r="G230" s="26" t="str">
        <f t="shared" si="24"/>
        <v>Amanda Costa</v>
      </c>
      <c r="H230" s="26" t="s">
        <v>16</v>
      </c>
      <c r="I230" s="26" t="s">
        <v>116</v>
      </c>
      <c r="J230" s="28">
        <v>5</v>
      </c>
      <c r="K230" s="29">
        <v>45</v>
      </c>
      <c r="L230" s="29">
        <v>29.46</v>
      </c>
      <c r="M230" s="30">
        <f t="shared" si="26"/>
        <v>195.54</v>
      </c>
      <c r="N230" s="26" t="s">
        <v>18</v>
      </c>
      <c r="Q230" s="42" t="s">
        <v>467</v>
      </c>
      <c r="R230" s="42" t="s">
        <v>110</v>
      </c>
      <c r="S230" s="57">
        <f t="shared" si="25"/>
        <v>45686</v>
      </c>
      <c r="T230" s="44" t="s">
        <v>22</v>
      </c>
      <c r="U230" s="43" t="s">
        <v>16</v>
      </c>
      <c r="V230" s="42" t="s">
        <v>116</v>
      </c>
      <c r="W230" s="45">
        <v>5</v>
      </c>
      <c r="X230" s="46">
        <v>45</v>
      </c>
      <c r="Y230" s="46">
        <v>29.46</v>
      </c>
      <c r="Z230" s="47">
        <f t="shared" si="27"/>
        <v>195.54</v>
      </c>
      <c r="AA230" s="48" t="s">
        <v>18</v>
      </c>
      <c r="AB230"/>
    </row>
    <row r="231" spans="1:28" x14ac:dyDescent="0.25">
      <c r="A231" s="31" t="s">
        <v>468</v>
      </c>
      <c r="B231" s="31" t="s">
        <v>20</v>
      </c>
      <c r="C231" s="32" t="str">
        <f t="shared" si="22"/>
        <v>Beatriz Ribeiro</v>
      </c>
      <c r="D231" s="38" t="s">
        <v>469</v>
      </c>
      <c r="E231" s="33">
        <f t="shared" si="23"/>
        <v>46057</v>
      </c>
      <c r="F231" s="32" t="s">
        <v>15</v>
      </c>
      <c r="G231" s="32" t="str">
        <f t="shared" si="24"/>
        <v>Larissa Dias</v>
      </c>
      <c r="H231" s="32" t="s">
        <v>30</v>
      </c>
      <c r="I231" s="32" t="s">
        <v>68</v>
      </c>
      <c r="J231" s="34">
        <v>4</v>
      </c>
      <c r="K231" s="35">
        <v>799</v>
      </c>
      <c r="L231" s="35">
        <v>0</v>
      </c>
      <c r="M231" s="36">
        <f t="shared" si="26"/>
        <v>3196</v>
      </c>
      <c r="N231" s="32" t="s">
        <v>69</v>
      </c>
      <c r="Q231" s="49" t="s">
        <v>468</v>
      </c>
      <c r="R231" s="49" t="s">
        <v>20</v>
      </c>
      <c r="S231" s="58">
        <f t="shared" si="25"/>
        <v>46057</v>
      </c>
      <c r="T231" s="51" t="s">
        <v>15</v>
      </c>
      <c r="U231" s="50" t="s">
        <v>30</v>
      </c>
      <c r="V231" s="52" t="s">
        <v>68</v>
      </c>
      <c r="W231" s="53">
        <v>4</v>
      </c>
      <c r="X231" s="54">
        <v>799</v>
      </c>
      <c r="Y231" s="54">
        <v>0</v>
      </c>
      <c r="Z231" s="55">
        <f t="shared" si="27"/>
        <v>3196</v>
      </c>
      <c r="AA231" s="56" t="s">
        <v>69</v>
      </c>
      <c r="AB231"/>
    </row>
    <row r="232" spans="1:28" x14ac:dyDescent="0.25">
      <c r="A232" s="26" t="s">
        <v>470</v>
      </c>
      <c r="B232" s="26" t="s">
        <v>101</v>
      </c>
      <c r="C232" s="26" t="str">
        <f t="shared" si="22"/>
        <v>Ana Souza</v>
      </c>
      <c r="D232" s="37" t="s">
        <v>471</v>
      </c>
      <c r="E232" s="27">
        <f t="shared" si="23"/>
        <v>46001</v>
      </c>
      <c r="F232" s="26" t="s">
        <v>39</v>
      </c>
      <c r="G232" s="26" t="str">
        <f t="shared" si="24"/>
        <v>Rodrigo Mello</v>
      </c>
      <c r="H232" s="26" t="s">
        <v>23</v>
      </c>
      <c r="I232" s="26" t="s">
        <v>43</v>
      </c>
      <c r="J232" s="28">
        <v>2</v>
      </c>
      <c r="K232" s="29">
        <v>350</v>
      </c>
      <c r="L232" s="29">
        <v>0</v>
      </c>
      <c r="M232" s="30">
        <f t="shared" si="26"/>
        <v>700</v>
      </c>
      <c r="N232" s="26" t="s">
        <v>44</v>
      </c>
      <c r="Q232" s="42" t="s">
        <v>470</v>
      </c>
      <c r="R232" s="42" t="s">
        <v>101</v>
      </c>
      <c r="S232" s="57">
        <f t="shared" si="25"/>
        <v>46001</v>
      </c>
      <c r="T232" s="44" t="s">
        <v>39</v>
      </c>
      <c r="U232" s="43" t="s">
        <v>23</v>
      </c>
      <c r="V232" s="42" t="s">
        <v>43</v>
      </c>
      <c r="W232" s="45">
        <v>2</v>
      </c>
      <c r="X232" s="46">
        <v>350</v>
      </c>
      <c r="Y232" s="46">
        <v>0</v>
      </c>
      <c r="Z232" s="47">
        <f t="shared" si="27"/>
        <v>700</v>
      </c>
      <c r="AA232" s="48" t="s">
        <v>44</v>
      </c>
      <c r="AB232"/>
    </row>
    <row r="233" spans="1:28" x14ac:dyDescent="0.25">
      <c r="A233" s="31" t="s">
        <v>472</v>
      </c>
      <c r="B233" s="31" t="s">
        <v>34</v>
      </c>
      <c r="C233" s="32" t="str">
        <f t="shared" si="22"/>
        <v>Carlos Silva</v>
      </c>
      <c r="D233" s="38" t="s">
        <v>473</v>
      </c>
      <c r="E233" s="33">
        <f t="shared" si="23"/>
        <v>45770</v>
      </c>
      <c r="F233" s="32" t="s">
        <v>39</v>
      </c>
      <c r="G233" s="32" t="str">
        <f t="shared" si="24"/>
        <v>Rodrigo Mello</v>
      </c>
      <c r="H233" s="32" t="s">
        <v>16</v>
      </c>
      <c r="I233" s="32" t="s">
        <v>103</v>
      </c>
      <c r="J233" s="34">
        <v>4</v>
      </c>
      <c r="K233" s="35">
        <v>89</v>
      </c>
      <c r="L233" s="35">
        <v>11.12</v>
      </c>
      <c r="M233" s="36">
        <f t="shared" si="26"/>
        <v>344.88</v>
      </c>
      <c r="N233" s="32" t="s">
        <v>89</v>
      </c>
      <c r="Q233" s="49" t="s">
        <v>472</v>
      </c>
      <c r="R233" s="49" t="s">
        <v>34</v>
      </c>
      <c r="S233" s="58">
        <f t="shared" si="25"/>
        <v>45770</v>
      </c>
      <c r="T233" s="51" t="s">
        <v>39</v>
      </c>
      <c r="U233" s="50" t="s">
        <v>16</v>
      </c>
      <c r="V233" s="52" t="s">
        <v>103</v>
      </c>
      <c r="W233" s="53">
        <v>4</v>
      </c>
      <c r="X233" s="54">
        <v>89</v>
      </c>
      <c r="Y233" s="54">
        <v>11.12</v>
      </c>
      <c r="Z233" s="55">
        <f t="shared" si="27"/>
        <v>344.88</v>
      </c>
      <c r="AA233" s="56" t="s">
        <v>89</v>
      </c>
      <c r="AB233"/>
    </row>
    <row r="234" spans="1:28" x14ac:dyDescent="0.25">
      <c r="A234" s="26" t="s">
        <v>474</v>
      </c>
      <c r="B234" s="26" t="s">
        <v>63</v>
      </c>
      <c r="C234" s="26" t="str">
        <f t="shared" si="22"/>
        <v>Marcos Rodrigues</v>
      </c>
      <c r="D234" s="37" t="s">
        <v>388</v>
      </c>
      <c r="E234" s="27">
        <f t="shared" si="23"/>
        <v>45790</v>
      </c>
      <c r="F234" s="26" t="s">
        <v>29</v>
      </c>
      <c r="G234" s="26" t="str">
        <f t="shared" si="24"/>
        <v>Camila Rocha</v>
      </c>
      <c r="H234" s="26" t="s">
        <v>16</v>
      </c>
      <c r="I234" s="26" t="s">
        <v>103</v>
      </c>
      <c r="J234" s="28">
        <v>2</v>
      </c>
      <c r="K234" s="29">
        <v>89</v>
      </c>
      <c r="L234" s="29">
        <v>4.68</v>
      </c>
      <c r="M234" s="30">
        <f t="shared" si="26"/>
        <v>173.32</v>
      </c>
      <c r="N234" s="26" t="s">
        <v>32</v>
      </c>
      <c r="Q234" s="42" t="s">
        <v>474</v>
      </c>
      <c r="R234" s="42" t="s">
        <v>63</v>
      </c>
      <c r="S234" s="57">
        <f t="shared" si="25"/>
        <v>45790</v>
      </c>
      <c r="T234" s="44" t="s">
        <v>29</v>
      </c>
      <c r="U234" s="43" t="s">
        <v>16</v>
      </c>
      <c r="V234" s="42" t="s">
        <v>103</v>
      </c>
      <c r="W234" s="45">
        <v>2</v>
      </c>
      <c r="X234" s="46">
        <v>89</v>
      </c>
      <c r="Y234" s="46">
        <v>4.68</v>
      </c>
      <c r="Z234" s="47">
        <f t="shared" si="27"/>
        <v>173.32</v>
      </c>
      <c r="AA234" s="48" t="s">
        <v>32</v>
      </c>
      <c r="AB234"/>
    </row>
    <row r="235" spans="1:28" x14ac:dyDescent="0.25">
      <c r="A235" s="31" t="s">
        <v>475</v>
      </c>
      <c r="B235" s="31" t="s">
        <v>13</v>
      </c>
      <c r="C235" s="32" t="str">
        <f t="shared" si="22"/>
        <v>Lucas Almeida</v>
      </c>
      <c r="D235" s="38" t="s">
        <v>476</v>
      </c>
      <c r="E235" s="33">
        <f t="shared" si="23"/>
        <v>45952</v>
      </c>
      <c r="F235" s="32" t="s">
        <v>47</v>
      </c>
      <c r="G235" s="32" t="str">
        <f t="shared" si="24"/>
        <v>Bruno Martins</v>
      </c>
      <c r="H235" s="32" t="s">
        <v>30</v>
      </c>
      <c r="I235" s="32" t="s">
        <v>68</v>
      </c>
      <c r="J235" s="34">
        <v>4</v>
      </c>
      <c r="K235" s="35">
        <v>799</v>
      </c>
      <c r="L235" s="35">
        <v>43.49</v>
      </c>
      <c r="M235" s="36">
        <f t="shared" si="26"/>
        <v>3152.51</v>
      </c>
      <c r="N235" s="32" t="s">
        <v>44</v>
      </c>
      <c r="Q235" s="49" t="s">
        <v>475</v>
      </c>
      <c r="R235" s="49" t="s">
        <v>13</v>
      </c>
      <c r="S235" s="58">
        <f t="shared" si="25"/>
        <v>45952</v>
      </c>
      <c r="T235" s="51" t="s">
        <v>47</v>
      </c>
      <c r="U235" s="50" t="s">
        <v>30</v>
      </c>
      <c r="V235" s="52" t="s">
        <v>68</v>
      </c>
      <c r="W235" s="53">
        <v>4</v>
      </c>
      <c r="X235" s="54">
        <v>799</v>
      </c>
      <c r="Y235" s="54">
        <v>43.49</v>
      </c>
      <c r="Z235" s="55">
        <f t="shared" si="27"/>
        <v>3152.51</v>
      </c>
      <c r="AA235" s="56" t="s">
        <v>44</v>
      </c>
      <c r="AB235"/>
    </row>
    <row r="236" spans="1:28" x14ac:dyDescent="0.25">
      <c r="A236" s="26" t="s">
        <v>477</v>
      </c>
      <c r="B236" s="26" t="s">
        <v>55</v>
      </c>
      <c r="C236" s="26" t="str">
        <f t="shared" si="22"/>
        <v>Ricardo Carvalho</v>
      </c>
      <c r="D236" s="37" t="s">
        <v>362</v>
      </c>
      <c r="E236" s="27">
        <f t="shared" si="23"/>
        <v>45980</v>
      </c>
      <c r="F236" s="26" t="s">
        <v>22</v>
      </c>
      <c r="G236" s="26" t="str">
        <f t="shared" si="24"/>
        <v>Amanda Costa</v>
      </c>
      <c r="H236" s="26" t="s">
        <v>30</v>
      </c>
      <c r="I236" s="26" t="s">
        <v>152</v>
      </c>
      <c r="J236" s="28">
        <v>1</v>
      </c>
      <c r="K236" s="29">
        <v>4500</v>
      </c>
      <c r="L236" s="29">
        <v>0</v>
      </c>
      <c r="M236" s="30">
        <f t="shared" si="26"/>
        <v>4500</v>
      </c>
      <c r="N236" s="26" t="s">
        <v>32</v>
      </c>
      <c r="Q236" s="42" t="s">
        <v>477</v>
      </c>
      <c r="R236" s="42" t="s">
        <v>55</v>
      </c>
      <c r="S236" s="57">
        <f t="shared" si="25"/>
        <v>45980</v>
      </c>
      <c r="T236" s="44" t="s">
        <v>22</v>
      </c>
      <c r="U236" s="43" t="s">
        <v>30</v>
      </c>
      <c r="V236" s="42" t="s">
        <v>152</v>
      </c>
      <c r="W236" s="45">
        <v>1</v>
      </c>
      <c r="X236" s="46">
        <v>4500</v>
      </c>
      <c r="Y236" s="46">
        <v>0</v>
      </c>
      <c r="Z236" s="47">
        <f t="shared" si="27"/>
        <v>4500</v>
      </c>
      <c r="AA236" s="48" t="s">
        <v>32</v>
      </c>
      <c r="AB236"/>
    </row>
    <row r="237" spans="1:28" x14ac:dyDescent="0.25">
      <c r="A237" s="31" t="s">
        <v>478</v>
      </c>
      <c r="B237" s="31" t="s">
        <v>110</v>
      </c>
      <c r="C237" s="32" t="str">
        <f t="shared" si="22"/>
        <v>Fernanda Lima</v>
      </c>
      <c r="D237" s="38" t="s">
        <v>151</v>
      </c>
      <c r="E237" s="33">
        <f t="shared" si="23"/>
        <v>45843</v>
      </c>
      <c r="F237" s="32" t="s">
        <v>47</v>
      </c>
      <c r="G237" s="32" t="str">
        <f t="shared" si="24"/>
        <v>Bruno Martins</v>
      </c>
      <c r="H237" s="32" t="s">
        <v>16</v>
      </c>
      <c r="I237" s="32" t="s">
        <v>116</v>
      </c>
      <c r="J237" s="34">
        <v>5</v>
      </c>
      <c r="K237" s="35">
        <v>45</v>
      </c>
      <c r="L237" s="35">
        <v>0</v>
      </c>
      <c r="M237" s="36">
        <f t="shared" si="26"/>
        <v>225</v>
      </c>
      <c r="N237" s="32" t="s">
        <v>25</v>
      </c>
      <c r="Q237" s="49" t="s">
        <v>478</v>
      </c>
      <c r="R237" s="49" t="s">
        <v>110</v>
      </c>
      <c r="S237" s="58">
        <f t="shared" si="25"/>
        <v>45843</v>
      </c>
      <c r="T237" s="51" t="s">
        <v>47</v>
      </c>
      <c r="U237" s="50" t="s">
        <v>16</v>
      </c>
      <c r="V237" s="52" t="s">
        <v>116</v>
      </c>
      <c r="W237" s="53">
        <v>5</v>
      </c>
      <c r="X237" s="54">
        <v>45</v>
      </c>
      <c r="Y237" s="54">
        <v>0</v>
      </c>
      <c r="Z237" s="55">
        <f t="shared" si="27"/>
        <v>225</v>
      </c>
      <c r="AA237" s="56" t="s">
        <v>25</v>
      </c>
      <c r="AB237"/>
    </row>
    <row r="238" spans="1:28" x14ac:dyDescent="0.25">
      <c r="A238" s="26" t="s">
        <v>479</v>
      </c>
      <c r="B238" s="26" t="s">
        <v>95</v>
      </c>
      <c r="C238" s="26" t="str">
        <f t="shared" si="22"/>
        <v>Maria Oliveira</v>
      </c>
      <c r="D238" s="37" t="s">
        <v>480</v>
      </c>
      <c r="E238" s="27">
        <f t="shared" si="23"/>
        <v>45956</v>
      </c>
      <c r="F238" s="26" t="s">
        <v>29</v>
      </c>
      <c r="G238" s="26" t="str">
        <f t="shared" si="24"/>
        <v>Camila Rocha</v>
      </c>
      <c r="H238" s="26" t="s">
        <v>16</v>
      </c>
      <c r="I238" s="26" t="s">
        <v>103</v>
      </c>
      <c r="J238" s="28">
        <v>2</v>
      </c>
      <c r="K238" s="29">
        <v>89</v>
      </c>
      <c r="L238" s="29">
        <v>13.25</v>
      </c>
      <c r="M238" s="30">
        <f t="shared" si="26"/>
        <v>164.75</v>
      </c>
      <c r="N238" s="26" t="s">
        <v>69</v>
      </c>
      <c r="Q238" s="42" t="s">
        <v>479</v>
      </c>
      <c r="R238" s="42" t="s">
        <v>95</v>
      </c>
      <c r="S238" s="57">
        <f t="shared" si="25"/>
        <v>45956</v>
      </c>
      <c r="T238" s="44" t="s">
        <v>29</v>
      </c>
      <c r="U238" s="43" t="s">
        <v>16</v>
      </c>
      <c r="V238" s="42" t="s">
        <v>103</v>
      </c>
      <c r="W238" s="45">
        <v>2</v>
      </c>
      <c r="X238" s="46">
        <v>89</v>
      </c>
      <c r="Y238" s="46">
        <v>13.25</v>
      </c>
      <c r="Z238" s="47">
        <f t="shared" si="27"/>
        <v>164.75</v>
      </c>
      <c r="AA238" s="48" t="s">
        <v>69</v>
      </c>
      <c r="AB238"/>
    </row>
    <row r="239" spans="1:28" x14ac:dyDescent="0.25">
      <c r="A239" s="31" t="s">
        <v>481</v>
      </c>
      <c r="B239" s="31" t="s">
        <v>20</v>
      </c>
      <c r="C239" s="32" t="str">
        <f t="shared" si="22"/>
        <v>Beatriz Ribeiro</v>
      </c>
      <c r="D239" s="38" t="s">
        <v>482</v>
      </c>
      <c r="E239" s="33">
        <f t="shared" si="23"/>
        <v>45981</v>
      </c>
      <c r="F239" s="32" t="s">
        <v>29</v>
      </c>
      <c r="G239" s="32" t="str">
        <f t="shared" si="24"/>
        <v>Camila Rocha</v>
      </c>
      <c r="H239" s="32" t="s">
        <v>52</v>
      </c>
      <c r="I239" s="32" t="s">
        <v>99</v>
      </c>
      <c r="J239" s="34">
        <v>3</v>
      </c>
      <c r="K239" s="35">
        <v>79</v>
      </c>
      <c r="L239" s="35">
        <v>23.43</v>
      </c>
      <c r="M239" s="36">
        <f t="shared" si="26"/>
        <v>213.57</v>
      </c>
      <c r="N239" s="32" t="s">
        <v>69</v>
      </c>
      <c r="Q239" s="49" t="s">
        <v>481</v>
      </c>
      <c r="R239" s="49" t="s">
        <v>20</v>
      </c>
      <c r="S239" s="58">
        <f t="shared" si="25"/>
        <v>45981</v>
      </c>
      <c r="T239" s="51" t="s">
        <v>29</v>
      </c>
      <c r="U239" s="50" t="s">
        <v>52</v>
      </c>
      <c r="V239" s="52" t="s">
        <v>99</v>
      </c>
      <c r="W239" s="53">
        <v>3</v>
      </c>
      <c r="X239" s="54">
        <v>79</v>
      </c>
      <c r="Y239" s="54">
        <v>23.43</v>
      </c>
      <c r="Z239" s="55">
        <f t="shared" si="27"/>
        <v>213.57</v>
      </c>
      <c r="AA239" s="56" t="s">
        <v>69</v>
      </c>
      <c r="AB239"/>
    </row>
    <row r="240" spans="1:28" x14ac:dyDescent="0.25">
      <c r="A240" s="26" t="s">
        <v>483</v>
      </c>
      <c r="B240" s="26" t="s">
        <v>34</v>
      </c>
      <c r="C240" s="26" t="str">
        <f t="shared" si="22"/>
        <v>Carlos Silva</v>
      </c>
      <c r="D240" s="37" t="s">
        <v>484</v>
      </c>
      <c r="E240" s="27">
        <f t="shared" si="23"/>
        <v>45922</v>
      </c>
      <c r="F240" s="26" t="s">
        <v>22</v>
      </c>
      <c r="G240" s="26" t="str">
        <f t="shared" si="24"/>
        <v>Amanda Costa</v>
      </c>
      <c r="H240" s="26" t="s">
        <v>23</v>
      </c>
      <c r="I240" s="26" t="s">
        <v>88</v>
      </c>
      <c r="J240" s="28">
        <v>5</v>
      </c>
      <c r="K240" s="29">
        <v>650</v>
      </c>
      <c r="L240" s="29">
        <v>0</v>
      </c>
      <c r="M240" s="30">
        <f t="shared" si="26"/>
        <v>3250</v>
      </c>
      <c r="N240" s="26" t="s">
        <v>89</v>
      </c>
      <c r="Q240" s="42" t="s">
        <v>483</v>
      </c>
      <c r="R240" s="42" t="s">
        <v>34</v>
      </c>
      <c r="S240" s="57">
        <f t="shared" si="25"/>
        <v>45922</v>
      </c>
      <c r="T240" s="44" t="s">
        <v>22</v>
      </c>
      <c r="U240" s="43" t="s">
        <v>23</v>
      </c>
      <c r="V240" s="42" t="s">
        <v>88</v>
      </c>
      <c r="W240" s="45">
        <v>5</v>
      </c>
      <c r="X240" s="46">
        <v>650</v>
      </c>
      <c r="Y240" s="46">
        <v>0</v>
      </c>
      <c r="Z240" s="47">
        <f t="shared" si="27"/>
        <v>3250</v>
      </c>
      <c r="AA240" s="48" t="s">
        <v>89</v>
      </c>
      <c r="AB240"/>
    </row>
    <row r="241" spans="1:28" x14ac:dyDescent="0.25">
      <c r="A241" s="31" t="s">
        <v>485</v>
      </c>
      <c r="B241" s="31" t="s">
        <v>134</v>
      </c>
      <c r="C241" s="32" t="str">
        <f t="shared" si="22"/>
        <v>Ana Souza</v>
      </c>
      <c r="D241" s="38" t="s">
        <v>486</v>
      </c>
      <c r="E241" s="33">
        <f t="shared" si="23"/>
        <v>45692</v>
      </c>
      <c r="F241" s="32" t="s">
        <v>47</v>
      </c>
      <c r="G241" s="32" t="str">
        <f t="shared" si="24"/>
        <v>Bruno Martins</v>
      </c>
      <c r="H241" s="32" t="s">
        <v>30</v>
      </c>
      <c r="I241" s="32" t="s">
        <v>68</v>
      </c>
      <c r="J241" s="34">
        <v>5</v>
      </c>
      <c r="K241" s="35">
        <v>799</v>
      </c>
      <c r="L241" s="35">
        <v>0</v>
      </c>
      <c r="M241" s="36">
        <f t="shared" si="26"/>
        <v>3995</v>
      </c>
      <c r="N241" s="32" t="s">
        <v>44</v>
      </c>
      <c r="Q241" s="49" t="s">
        <v>485</v>
      </c>
      <c r="R241" s="49" t="s">
        <v>101</v>
      </c>
      <c r="S241" s="58">
        <f t="shared" si="25"/>
        <v>45692</v>
      </c>
      <c r="T241" s="51" t="s">
        <v>47</v>
      </c>
      <c r="U241" s="50" t="s">
        <v>30</v>
      </c>
      <c r="V241" s="52" t="s">
        <v>68</v>
      </c>
      <c r="W241" s="53">
        <v>5</v>
      </c>
      <c r="X241" s="54">
        <v>799</v>
      </c>
      <c r="Y241" s="54">
        <v>0</v>
      </c>
      <c r="Z241" s="55">
        <f t="shared" si="27"/>
        <v>3995</v>
      </c>
      <c r="AA241" s="56" t="s">
        <v>44</v>
      </c>
      <c r="AB241"/>
    </row>
    <row r="242" spans="1:28" x14ac:dyDescent="0.25">
      <c r="A242" s="26" t="s">
        <v>485</v>
      </c>
      <c r="B242" s="26" t="s">
        <v>101</v>
      </c>
      <c r="C242" s="26" t="str">
        <f t="shared" si="22"/>
        <v>Ana Souza</v>
      </c>
      <c r="D242" s="37" t="s">
        <v>486</v>
      </c>
      <c r="E242" s="27">
        <f t="shared" si="23"/>
        <v>45692</v>
      </c>
      <c r="F242" s="26" t="s">
        <v>22</v>
      </c>
      <c r="G242" s="26" t="str">
        <f t="shared" si="24"/>
        <v>Amanda Costa</v>
      </c>
      <c r="H242" s="26" t="s">
        <v>16</v>
      </c>
      <c r="I242" s="26" t="s">
        <v>17</v>
      </c>
      <c r="J242" s="28">
        <v>4</v>
      </c>
      <c r="K242" s="29">
        <v>39</v>
      </c>
      <c r="L242" s="29">
        <v>16.05</v>
      </c>
      <c r="M242" s="30">
        <f t="shared" si="26"/>
        <v>139.94999999999999</v>
      </c>
      <c r="N242" s="26" t="s">
        <v>18</v>
      </c>
      <c r="Q242" s="42" t="s">
        <v>485</v>
      </c>
      <c r="R242" s="42" t="s">
        <v>101</v>
      </c>
      <c r="S242" s="57">
        <f t="shared" si="25"/>
        <v>45692</v>
      </c>
      <c r="T242" s="44" t="s">
        <v>22</v>
      </c>
      <c r="U242" s="43" t="s">
        <v>16</v>
      </c>
      <c r="V242" s="42" t="s">
        <v>17</v>
      </c>
      <c r="W242" s="45">
        <v>4</v>
      </c>
      <c r="X242" s="46">
        <v>39</v>
      </c>
      <c r="Y242" s="46">
        <v>16.05</v>
      </c>
      <c r="Z242" s="47">
        <f t="shared" si="27"/>
        <v>139.94999999999999</v>
      </c>
      <c r="AA242" s="48" t="s">
        <v>18</v>
      </c>
      <c r="AB242"/>
    </row>
    <row r="243" spans="1:28" x14ac:dyDescent="0.25">
      <c r="A243" s="31" t="s">
        <v>487</v>
      </c>
      <c r="B243" s="31" t="s">
        <v>41</v>
      </c>
      <c r="C243" s="32" t="str">
        <f t="shared" si="22"/>
        <v>João Pereira</v>
      </c>
      <c r="D243" s="38" t="s">
        <v>488</v>
      </c>
      <c r="E243" s="33">
        <f t="shared" si="23"/>
        <v>45896</v>
      </c>
      <c r="F243" s="32" t="s">
        <v>22</v>
      </c>
      <c r="G243" s="32" t="str">
        <f t="shared" si="24"/>
        <v>Amanda Costa</v>
      </c>
      <c r="H243" s="32" t="s">
        <v>52</v>
      </c>
      <c r="I243" s="32" t="s">
        <v>61</v>
      </c>
      <c r="J243" s="34">
        <v>4</v>
      </c>
      <c r="K243" s="35">
        <v>199</v>
      </c>
      <c r="L243" s="35">
        <v>74.09</v>
      </c>
      <c r="M243" s="36">
        <f t="shared" si="26"/>
        <v>721.91</v>
      </c>
      <c r="N243" s="32" t="s">
        <v>32</v>
      </c>
      <c r="Q243" s="49" t="s">
        <v>487</v>
      </c>
      <c r="R243" s="49" t="s">
        <v>41</v>
      </c>
      <c r="S243" s="58">
        <f t="shared" si="25"/>
        <v>45896</v>
      </c>
      <c r="T243" s="51" t="s">
        <v>22</v>
      </c>
      <c r="U243" s="50" t="s">
        <v>52</v>
      </c>
      <c r="V243" s="52" t="s">
        <v>61</v>
      </c>
      <c r="W243" s="53">
        <v>4</v>
      </c>
      <c r="X243" s="54">
        <v>199</v>
      </c>
      <c r="Y243" s="54">
        <v>74.09</v>
      </c>
      <c r="Z243" s="55">
        <f t="shared" si="27"/>
        <v>721.91</v>
      </c>
      <c r="AA243" s="56" t="s">
        <v>32</v>
      </c>
      <c r="AB243"/>
    </row>
    <row r="244" spans="1:28" x14ac:dyDescent="0.25">
      <c r="A244" s="26" t="s">
        <v>489</v>
      </c>
      <c r="B244" s="26" t="s">
        <v>63</v>
      </c>
      <c r="C244" s="26" t="str">
        <f t="shared" si="22"/>
        <v>Marcos Rodrigues</v>
      </c>
      <c r="D244" s="37" t="s">
        <v>304</v>
      </c>
      <c r="E244" s="27">
        <f t="shared" si="23"/>
        <v>46016</v>
      </c>
      <c r="F244" s="26" t="s">
        <v>47</v>
      </c>
      <c r="G244" s="26" t="str">
        <f t="shared" si="24"/>
        <v>Bruno Martins</v>
      </c>
      <c r="H244" s="26" t="s">
        <v>52</v>
      </c>
      <c r="I244" s="26" t="s">
        <v>61</v>
      </c>
      <c r="J244" s="28">
        <v>1</v>
      </c>
      <c r="K244" s="29">
        <v>199</v>
      </c>
      <c r="L244" s="29">
        <v>0</v>
      </c>
      <c r="M244" s="30">
        <f t="shared" si="26"/>
        <v>199</v>
      </c>
      <c r="N244" s="26" t="s">
        <v>65</v>
      </c>
      <c r="Q244" s="42" t="s">
        <v>489</v>
      </c>
      <c r="R244" s="42" t="s">
        <v>63</v>
      </c>
      <c r="S244" s="57">
        <f t="shared" si="25"/>
        <v>46016</v>
      </c>
      <c r="T244" s="44" t="s">
        <v>47</v>
      </c>
      <c r="U244" s="43" t="s">
        <v>52</v>
      </c>
      <c r="V244" s="42" t="s">
        <v>61</v>
      </c>
      <c r="W244" s="45">
        <v>1</v>
      </c>
      <c r="X244" s="46">
        <v>199</v>
      </c>
      <c r="Y244" s="46">
        <v>0</v>
      </c>
      <c r="Z244" s="47">
        <f t="shared" si="27"/>
        <v>199</v>
      </c>
      <c r="AA244" s="48" t="s">
        <v>65</v>
      </c>
      <c r="AB244"/>
    </row>
    <row r="245" spans="1:28" x14ac:dyDescent="0.25">
      <c r="A245" s="31" t="s">
        <v>490</v>
      </c>
      <c r="B245" s="31" t="s">
        <v>20</v>
      </c>
      <c r="C245" s="32" t="str">
        <f t="shared" si="22"/>
        <v>Beatriz Ribeiro</v>
      </c>
      <c r="D245" s="38" t="s">
        <v>223</v>
      </c>
      <c r="E245" s="33">
        <f t="shared" si="23"/>
        <v>46021</v>
      </c>
      <c r="F245" s="32" t="s">
        <v>29</v>
      </c>
      <c r="G245" s="32" t="str">
        <f t="shared" si="24"/>
        <v>Camila Rocha</v>
      </c>
      <c r="H245" s="32" t="s">
        <v>30</v>
      </c>
      <c r="I245" s="32" t="s">
        <v>68</v>
      </c>
      <c r="J245" s="34">
        <v>3</v>
      </c>
      <c r="K245" s="35">
        <v>799</v>
      </c>
      <c r="L245" s="35">
        <v>81.17</v>
      </c>
      <c r="M245" s="36">
        <f t="shared" si="26"/>
        <v>2315.83</v>
      </c>
      <c r="N245" s="32" t="s">
        <v>32</v>
      </c>
      <c r="Q245" s="49" t="s">
        <v>490</v>
      </c>
      <c r="R245" s="49" t="s">
        <v>20</v>
      </c>
      <c r="S245" s="58">
        <f t="shared" si="25"/>
        <v>46021</v>
      </c>
      <c r="T245" s="51" t="s">
        <v>29</v>
      </c>
      <c r="U245" s="50" t="s">
        <v>30</v>
      </c>
      <c r="V245" s="52" t="s">
        <v>68</v>
      </c>
      <c r="W245" s="53">
        <v>3</v>
      </c>
      <c r="X245" s="54">
        <v>799</v>
      </c>
      <c r="Y245" s="54">
        <v>81.17</v>
      </c>
      <c r="Z245" s="55">
        <f t="shared" si="27"/>
        <v>2315.83</v>
      </c>
      <c r="AA245" s="56" t="s">
        <v>32</v>
      </c>
      <c r="AB245"/>
    </row>
    <row r="246" spans="1:28" x14ac:dyDescent="0.25">
      <c r="A246" s="26" t="s">
        <v>491</v>
      </c>
      <c r="B246" s="26" t="s">
        <v>41</v>
      </c>
      <c r="C246" s="26" t="str">
        <f t="shared" si="22"/>
        <v>João Pereira</v>
      </c>
      <c r="D246" s="37" t="s">
        <v>492</v>
      </c>
      <c r="E246" s="27">
        <f t="shared" si="23"/>
        <v>45957</v>
      </c>
      <c r="F246" s="26" t="s">
        <v>15</v>
      </c>
      <c r="G246" s="26" t="str">
        <f t="shared" si="24"/>
        <v>Larissa Dias</v>
      </c>
      <c r="H246" s="26" t="s">
        <v>23</v>
      </c>
      <c r="I246" s="26" t="s">
        <v>88</v>
      </c>
      <c r="J246" s="28">
        <v>4</v>
      </c>
      <c r="K246" s="29">
        <v>650</v>
      </c>
      <c r="L246" s="29">
        <v>301.62</v>
      </c>
      <c r="M246" s="30">
        <f t="shared" si="26"/>
        <v>2298.38</v>
      </c>
      <c r="N246" s="26" t="s">
        <v>18</v>
      </c>
      <c r="Q246" s="42" t="s">
        <v>491</v>
      </c>
      <c r="R246" s="42" t="s">
        <v>41</v>
      </c>
      <c r="S246" s="57">
        <f t="shared" si="25"/>
        <v>45957</v>
      </c>
      <c r="T246" s="44" t="s">
        <v>15</v>
      </c>
      <c r="U246" s="43" t="s">
        <v>23</v>
      </c>
      <c r="V246" s="42" t="s">
        <v>88</v>
      </c>
      <c r="W246" s="45">
        <v>4</v>
      </c>
      <c r="X246" s="46">
        <v>650</v>
      </c>
      <c r="Y246" s="46">
        <v>301.62</v>
      </c>
      <c r="Z246" s="47">
        <f t="shared" si="27"/>
        <v>2298.38</v>
      </c>
      <c r="AA246" s="48" t="s">
        <v>18</v>
      </c>
      <c r="AB246"/>
    </row>
    <row r="247" spans="1:28" x14ac:dyDescent="0.25">
      <c r="A247" s="31" t="s">
        <v>493</v>
      </c>
      <c r="B247" s="31" t="s">
        <v>55</v>
      </c>
      <c r="C247" s="32" t="str">
        <f t="shared" si="22"/>
        <v>Ricardo Carvalho</v>
      </c>
      <c r="D247" s="38" t="s">
        <v>74</v>
      </c>
      <c r="E247" s="33">
        <f t="shared" si="23"/>
        <v>45942</v>
      </c>
      <c r="F247" s="32" t="s">
        <v>39</v>
      </c>
      <c r="G247" s="32" t="str">
        <f t="shared" si="24"/>
        <v>Rodrigo Mello</v>
      </c>
      <c r="H247" s="32" t="s">
        <v>30</v>
      </c>
      <c r="I247" s="32" t="s">
        <v>106</v>
      </c>
      <c r="J247" s="34">
        <v>2</v>
      </c>
      <c r="K247" s="35">
        <v>299</v>
      </c>
      <c r="L247" s="35">
        <v>0</v>
      </c>
      <c r="M247" s="36">
        <f t="shared" si="26"/>
        <v>598</v>
      </c>
      <c r="N247" s="32" t="s">
        <v>44</v>
      </c>
      <c r="Q247" s="49" t="s">
        <v>493</v>
      </c>
      <c r="R247" s="49" t="s">
        <v>55</v>
      </c>
      <c r="S247" s="58">
        <f t="shared" si="25"/>
        <v>45942</v>
      </c>
      <c r="T247" s="51" t="s">
        <v>39</v>
      </c>
      <c r="U247" s="50" t="s">
        <v>30</v>
      </c>
      <c r="V247" s="52" t="s">
        <v>106</v>
      </c>
      <c r="W247" s="53">
        <v>2</v>
      </c>
      <c r="X247" s="54">
        <v>299</v>
      </c>
      <c r="Y247" s="54">
        <v>0</v>
      </c>
      <c r="Z247" s="55">
        <f t="shared" si="27"/>
        <v>598</v>
      </c>
      <c r="AA247" s="56" t="s">
        <v>44</v>
      </c>
      <c r="AB247"/>
    </row>
    <row r="248" spans="1:28" x14ac:dyDescent="0.25">
      <c r="A248" s="26" t="s">
        <v>494</v>
      </c>
      <c r="B248" s="26" t="s">
        <v>20</v>
      </c>
      <c r="C248" s="26" t="str">
        <f t="shared" si="22"/>
        <v>Beatriz Ribeiro</v>
      </c>
      <c r="D248" s="37" t="s">
        <v>192</v>
      </c>
      <c r="E248" s="27">
        <f t="shared" si="23"/>
        <v>45776</v>
      </c>
      <c r="F248" s="26" t="s">
        <v>39</v>
      </c>
      <c r="G248" s="26" t="str">
        <f t="shared" si="24"/>
        <v>Rodrigo Mello</v>
      </c>
      <c r="H248" s="26" t="s">
        <v>16</v>
      </c>
      <c r="I248" s="26" t="s">
        <v>17</v>
      </c>
      <c r="J248" s="28">
        <v>2</v>
      </c>
      <c r="K248" s="29">
        <v>39</v>
      </c>
      <c r="L248" s="29">
        <v>3.37</v>
      </c>
      <c r="M248" s="30">
        <f t="shared" si="26"/>
        <v>74.63</v>
      </c>
      <c r="N248" s="26" t="s">
        <v>49</v>
      </c>
      <c r="Q248" s="42" t="s">
        <v>494</v>
      </c>
      <c r="R248" s="42" t="s">
        <v>20</v>
      </c>
      <c r="S248" s="57">
        <f t="shared" si="25"/>
        <v>45776</v>
      </c>
      <c r="T248" s="44" t="s">
        <v>39</v>
      </c>
      <c r="U248" s="43" t="s">
        <v>16</v>
      </c>
      <c r="V248" s="42" t="s">
        <v>17</v>
      </c>
      <c r="W248" s="45">
        <v>2</v>
      </c>
      <c r="X248" s="46">
        <v>39</v>
      </c>
      <c r="Y248" s="46">
        <v>3.37</v>
      </c>
      <c r="Z248" s="47">
        <f t="shared" si="27"/>
        <v>74.63</v>
      </c>
      <c r="AA248" s="48" t="s">
        <v>49</v>
      </c>
      <c r="AB248"/>
    </row>
    <row r="249" spans="1:28" x14ac:dyDescent="0.25">
      <c r="A249" s="31" t="s">
        <v>495</v>
      </c>
      <c r="B249" s="31" t="s">
        <v>63</v>
      </c>
      <c r="C249" s="32" t="str">
        <f t="shared" si="22"/>
        <v>Marcos Rodrigues</v>
      </c>
      <c r="D249" s="38" t="s">
        <v>360</v>
      </c>
      <c r="E249" s="33">
        <f t="shared" si="23"/>
        <v>45778</v>
      </c>
      <c r="F249" s="32" t="s">
        <v>39</v>
      </c>
      <c r="G249" s="32" t="str">
        <f t="shared" si="24"/>
        <v>Rodrigo Mello</v>
      </c>
      <c r="H249" s="32" t="s">
        <v>30</v>
      </c>
      <c r="I249" s="32" t="s">
        <v>106</v>
      </c>
      <c r="J249" s="34">
        <v>2</v>
      </c>
      <c r="K249" s="35">
        <v>299</v>
      </c>
      <c r="L249" s="35">
        <v>0</v>
      </c>
      <c r="M249" s="36">
        <f t="shared" si="26"/>
        <v>598</v>
      </c>
      <c r="N249" s="32" t="s">
        <v>65</v>
      </c>
      <c r="Q249" s="49" t="s">
        <v>495</v>
      </c>
      <c r="R249" s="49" t="s">
        <v>63</v>
      </c>
      <c r="S249" s="58">
        <f t="shared" si="25"/>
        <v>45778</v>
      </c>
      <c r="T249" s="51" t="s">
        <v>39</v>
      </c>
      <c r="U249" s="50" t="s">
        <v>30</v>
      </c>
      <c r="V249" s="52" t="s">
        <v>106</v>
      </c>
      <c r="W249" s="53">
        <v>2</v>
      </c>
      <c r="X249" s="54">
        <v>299</v>
      </c>
      <c r="Y249" s="54">
        <v>0</v>
      </c>
      <c r="Z249" s="55">
        <f t="shared" si="27"/>
        <v>598</v>
      </c>
      <c r="AA249" s="56" t="s">
        <v>65</v>
      </c>
      <c r="AB249"/>
    </row>
    <row r="250" spans="1:28" x14ac:dyDescent="0.25">
      <c r="A250" s="26" t="s">
        <v>496</v>
      </c>
      <c r="B250" s="26" t="s">
        <v>41</v>
      </c>
      <c r="C250" s="26" t="str">
        <f t="shared" si="22"/>
        <v>João Pereira</v>
      </c>
      <c r="D250" s="37" t="s">
        <v>497</v>
      </c>
      <c r="E250" s="27">
        <f t="shared" si="23"/>
        <v>45679</v>
      </c>
      <c r="F250" s="26" t="s">
        <v>15</v>
      </c>
      <c r="G250" s="26" t="str">
        <f t="shared" si="24"/>
        <v>Larissa Dias</v>
      </c>
      <c r="H250" s="26" t="s">
        <v>16</v>
      </c>
      <c r="I250" s="26" t="s">
        <v>78</v>
      </c>
      <c r="J250" s="28">
        <v>4</v>
      </c>
      <c r="K250" s="29">
        <v>59</v>
      </c>
      <c r="L250" s="29">
        <v>4.99</v>
      </c>
      <c r="M250" s="30">
        <f t="shared" si="26"/>
        <v>231.01</v>
      </c>
      <c r="N250" s="26" t="s">
        <v>89</v>
      </c>
      <c r="Q250" s="42" t="s">
        <v>496</v>
      </c>
      <c r="R250" s="42" t="s">
        <v>41</v>
      </c>
      <c r="S250" s="57">
        <f t="shared" si="25"/>
        <v>45679</v>
      </c>
      <c r="T250" s="44" t="s">
        <v>15</v>
      </c>
      <c r="U250" s="43" t="s">
        <v>16</v>
      </c>
      <c r="V250" s="42" t="s">
        <v>78</v>
      </c>
      <c r="W250" s="45">
        <v>4</v>
      </c>
      <c r="X250" s="46">
        <v>59</v>
      </c>
      <c r="Y250" s="46">
        <v>4.99</v>
      </c>
      <c r="Z250" s="47">
        <f t="shared" si="27"/>
        <v>231.01</v>
      </c>
      <c r="AA250" s="48" t="s">
        <v>89</v>
      </c>
      <c r="AB250"/>
    </row>
    <row r="251" spans="1:28" x14ac:dyDescent="0.25">
      <c r="A251" s="31" t="s">
        <v>498</v>
      </c>
      <c r="B251" s="31" t="s">
        <v>110</v>
      </c>
      <c r="C251" s="32" t="str">
        <f t="shared" si="22"/>
        <v>Fernanda Lima</v>
      </c>
      <c r="D251" s="38" t="s">
        <v>499</v>
      </c>
      <c r="E251" s="33">
        <f t="shared" si="23"/>
        <v>45938</v>
      </c>
      <c r="F251" s="32" t="s">
        <v>15</v>
      </c>
      <c r="G251" s="32" t="str">
        <f t="shared" si="24"/>
        <v>Larissa Dias</v>
      </c>
      <c r="H251" s="32" t="s">
        <v>52</v>
      </c>
      <c r="I251" s="32" t="s">
        <v>61</v>
      </c>
      <c r="J251" s="34">
        <v>1</v>
      </c>
      <c r="K251" s="35">
        <v>199</v>
      </c>
      <c r="L251" s="35">
        <v>4.57</v>
      </c>
      <c r="M251" s="36">
        <f t="shared" si="26"/>
        <v>194.43</v>
      </c>
      <c r="N251" s="32" t="s">
        <v>49</v>
      </c>
      <c r="Q251" s="49" t="s">
        <v>498</v>
      </c>
      <c r="R251" s="49" t="s">
        <v>110</v>
      </c>
      <c r="S251" s="58">
        <f t="shared" si="25"/>
        <v>45938</v>
      </c>
      <c r="T251" s="51" t="s">
        <v>15</v>
      </c>
      <c r="U251" s="50" t="s">
        <v>52</v>
      </c>
      <c r="V251" s="52" t="s">
        <v>61</v>
      </c>
      <c r="W251" s="53">
        <v>1</v>
      </c>
      <c r="X251" s="54">
        <v>199</v>
      </c>
      <c r="Y251" s="54">
        <v>4.57</v>
      </c>
      <c r="Z251" s="55">
        <f t="shared" si="27"/>
        <v>194.43</v>
      </c>
      <c r="AA251" s="56" t="s">
        <v>49</v>
      </c>
      <c r="AB251"/>
    </row>
    <row r="252" spans="1:28" x14ac:dyDescent="0.25">
      <c r="A252" s="26" t="s">
        <v>500</v>
      </c>
      <c r="B252" s="26" t="s">
        <v>110</v>
      </c>
      <c r="C252" s="26" t="str">
        <f t="shared" si="22"/>
        <v>Fernanda Lima</v>
      </c>
      <c r="D252" s="37" t="s">
        <v>501</v>
      </c>
      <c r="E252" s="27">
        <f t="shared" si="23"/>
        <v>45671</v>
      </c>
      <c r="F252" s="26" t="s">
        <v>15</v>
      </c>
      <c r="G252" s="26" t="str">
        <f t="shared" si="24"/>
        <v>Larissa Dias</v>
      </c>
      <c r="H252" s="26" t="s">
        <v>52</v>
      </c>
      <c r="I252" s="26" t="s">
        <v>61</v>
      </c>
      <c r="J252" s="28">
        <v>4</v>
      </c>
      <c r="K252" s="29">
        <v>199</v>
      </c>
      <c r="L252" s="29">
        <v>0</v>
      </c>
      <c r="M252" s="30">
        <f t="shared" si="26"/>
        <v>796</v>
      </c>
      <c r="N252" s="26" t="s">
        <v>25</v>
      </c>
      <c r="Q252" s="42" t="s">
        <v>500</v>
      </c>
      <c r="R252" s="42" t="s">
        <v>110</v>
      </c>
      <c r="S252" s="57">
        <f t="shared" si="25"/>
        <v>45671</v>
      </c>
      <c r="T252" s="44" t="s">
        <v>15</v>
      </c>
      <c r="U252" s="43" t="s">
        <v>52</v>
      </c>
      <c r="V252" s="42" t="s">
        <v>61</v>
      </c>
      <c r="W252" s="45">
        <v>4</v>
      </c>
      <c r="X252" s="46">
        <v>199</v>
      </c>
      <c r="Y252" s="46">
        <v>0</v>
      </c>
      <c r="Z252" s="47">
        <f t="shared" si="27"/>
        <v>796</v>
      </c>
      <c r="AA252" s="48" t="s">
        <v>25</v>
      </c>
      <c r="AB252"/>
    </row>
    <row r="253" spans="1:28" x14ac:dyDescent="0.25">
      <c r="A253" s="31" t="s">
        <v>502</v>
      </c>
      <c r="B253" s="31" t="s">
        <v>37</v>
      </c>
      <c r="C253" s="32" t="str">
        <f t="shared" si="22"/>
        <v>Patricia Gomes</v>
      </c>
      <c r="D253" s="38" t="s">
        <v>503</v>
      </c>
      <c r="E253" s="33">
        <f t="shared" si="23"/>
        <v>45793</v>
      </c>
      <c r="F253" s="32" t="s">
        <v>29</v>
      </c>
      <c r="G253" s="32" t="str">
        <f t="shared" si="24"/>
        <v>Camila Rocha</v>
      </c>
      <c r="H253" s="32" t="s">
        <v>16</v>
      </c>
      <c r="I253" s="32" t="s">
        <v>78</v>
      </c>
      <c r="J253" s="34">
        <v>3</v>
      </c>
      <c r="K253" s="35">
        <v>59</v>
      </c>
      <c r="L253" s="35">
        <v>9.15</v>
      </c>
      <c r="M253" s="36">
        <f t="shared" si="26"/>
        <v>167.85</v>
      </c>
      <c r="N253" s="32" t="s">
        <v>89</v>
      </c>
      <c r="Q253" s="49" t="s">
        <v>502</v>
      </c>
      <c r="R253" s="49" t="s">
        <v>37</v>
      </c>
      <c r="S253" s="58">
        <f t="shared" si="25"/>
        <v>45793</v>
      </c>
      <c r="T253" s="51" t="s">
        <v>29</v>
      </c>
      <c r="U253" s="50" t="s">
        <v>16</v>
      </c>
      <c r="V253" s="52" t="s">
        <v>78</v>
      </c>
      <c r="W253" s="53">
        <v>3</v>
      </c>
      <c r="X253" s="54">
        <v>59</v>
      </c>
      <c r="Y253" s="54">
        <v>9.15</v>
      </c>
      <c r="Z253" s="55">
        <f t="shared" si="27"/>
        <v>167.85</v>
      </c>
      <c r="AA253" s="56" t="s">
        <v>89</v>
      </c>
      <c r="AB253"/>
    </row>
    <row r="254" spans="1:28" x14ac:dyDescent="0.25">
      <c r="A254" s="26" t="s">
        <v>504</v>
      </c>
      <c r="B254" s="26" t="s">
        <v>101</v>
      </c>
      <c r="C254" s="26" t="str">
        <f t="shared" si="22"/>
        <v>Ana Souza</v>
      </c>
      <c r="D254" s="37" t="s">
        <v>505</v>
      </c>
      <c r="E254" s="27">
        <f t="shared" si="23"/>
        <v>45995</v>
      </c>
      <c r="F254" s="26" t="s">
        <v>15</v>
      </c>
      <c r="G254" s="26" t="str">
        <f t="shared" si="24"/>
        <v>Larissa Dias</v>
      </c>
      <c r="H254" s="26" t="s">
        <v>23</v>
      </c>
      <c r="I254" s="26" t="s">
        <v>24</v>
      </c>
      <c r="J254" s="28">
        <v>5</v>
      </c>
      <c r="K254" s="29">
        <v>180</v>
      </c>
      <c r="L254" s="29">
        <v>0</v>
      </c>
      <c r="M254" s="30">
        <f t="shared" si="26"/>
        <v>900</v>
      </c>
      <c r="N254" s="26" t="s">
        <v>18</v>
      </c>
      <c r="Q254" s="42" t="s">
        <v>504</v>
      </c>
      <c r="R254" s="42" t="s">
        <v>101</v>
      </c>
      <c r="S254" s="57">
        <f t="shared" si="25"/>
        <v>45995</v>
      </c>
      <c r="T254" s="44" t="s">
        <v>15</v>
      </c>
      <c r="U254" s="43" t="s">
        <v>23</v>
      </c>
      <c r="V254" s="42" t="s">
        <v>24</v>
      </c>
      <c r="W254" s="45">
        <v>5</v>
      </c>
      <c r="X254" s="46">
        <v>180</v>
      </c>
      <c r="Y254" s="46">
        <v>0</v>
      </c>
      <c r="Z254" s="47">
        <f t="shared" si="27"/>
        <v>900</v>
      </c>
      <c r="AA254" s="48" t="s">
        <v>18</v>
      </c>
      <c r="AB254"/>
    </row>
    <row r="255" spans="1:28" x14ac:dyDescent="0.25">
      <c r="A255" s="31" t="s">
        <v>506</v>
      </c>
      <c r="B255" s="31" t="s">
        <v>101</v>
      </c>
      <c r="C255" s="32" t="str">
        <f t="shared" si="22"/>
        <v>Ana Souza</v>
      </c>
      <c r="D255" s="38" t="s">
        <v>486</v>
      </c>
      <c r="E255" s="33">
        <f t="shared" si="23"/>
        <v>45692</v>
      </c>
      <c r="F255" s="32" t="s">
        <v>15</v>
      </c>
      <c r="G255" s="32" t="str">
        <f t="shared" si="24"/>
        <v>Larissa Dias</v>
      </c>
      <c r="H255" s="32" t="s">
        <v>30</v>
      </c>
      <c r="I255" s="32" t="s">
        <v>152</v>
      </c>
      <c r="J255" s="34">
        <v>5</v>
      </c>
      <c r="K255" s="35">
        <v>4500</v>
      </c>
      <c r="L255" s="35">
        <v>3254.04</v>
      </c>
      <c r="M255" s="36">
        <f t="shared" si="26"/>
        <v>19245.96</v>
      </c>
      <c r="N255" s="32" t="s">
        <v>18</v>
      </c>
      <c r="Q255" s="49" t="s">
        <v>506</v>
      </c>
      <c r="R255" s="49" t="s">
        <v>101</v>
      </c>
      <c r="S255" s="58">
        <f t="shared" si="25"/>
        <v>45692</v>
      </c>
      <c r="T255" s="51" t="s">
        <v>15</v>
      </c>
      <c r="U255" s="50" t="s">
        <v>30</v>
      </c>
      <c r="V255" s="52" t="s">
        <v>152</v>
      </c>
      <c r="W255" s="53">
        <v>5</v>
      </c>
      <c r="X255" s="54">
        <v>4500</v>
      </c>
      <c r="Y255" s="54">
        <v>3254.04</v>
      </c>
      <c r="Z255" s="55">
        <f t="shared" si="27"/>
        <v>19245.96</v>
      </c>
      <c r="AA255" s="56" t="s">
        <v>18</v>
      </c>
      <c r="AB255"/>
    </row>
    <row r="256" spans="1:28" x14ac:dyDescent="0.25">
      <c r="A256" s="26" t="s">
        <v>507</v>
      </c>
      <c r="B256" s="26" t="s">
        <v>63</v>
      </c>
      <c r="C256" s="26" t="str">
        <f t="shared" si="22"/>
        <v>Marcos Rodrigues</v>
      </c>
      <c r="D256" s="37" t="s">
        <v>508</v>
      </c>
      <c r="E256" s="27">
        <f t="shared" si="23"/>
        <v>45967</v>
      </c>
      <c r="F256" s="26" t="s">
        <v>22</v>
      </c>
      <c r="G256" s="26" t="str">
        <f t="shared" si="24"/>
        <v>Amanda Costa</v>
      </c>
      <c r="H256" s="26" t="s">
        <v>52</v>
      </c>
      <c r="I256" s="26" t="s">
        <v>99</v>
      </c>
      <c r="J256" s="28">
        <v>2</v>
      </c>
      <c r="K256" s="29">
        <v>79</v>
      </c>
      <c r="L256" s="29">
        <v>0.5</v>
      </c>
      <c r="M256" s="30">
        <f t="shared" si="26"/>
        <v>157.5</v>
      </c>
      <c r="N256" s="26" t="s">
        <v>89</v>
      </c>
      <c r="Q256" s="42" t="s">
        <v>507</v>
      </c>
      <c r="R256" s="42" t="s">
        <v>63</v>
      </c>
      <c r="S256" s="57">
        <f t="shared" si="25"/>
        <v>45967</v>
      </c>
      <c r="T256" s="44" t="s">
        <v>22</v>
      </c>
      <c r="U256" s="43" t="s">
        <v>52</v>
      </c>
      <c r="V256" s="42" t="s">
        <v>99</v>
      </c>
      <c r="W256" s="45">
        <v>2</v>
      </c>
      <c r="X256" s="46">
        <v>79</v>
      </c>
      <c r="Y256" s="46">
        <v>0.5</v>
      </c>
      <c r="Z256" s="47">
        <f t="shared" si="27"/>
        <v>157.5</v>
      </c>
      <c r="AA256" s="48" t="s">
        <v>89</v>
      </c>
      <c r="AB256"/>
    </row>
    <row r="257" spans="1:28" x14ac:dyDescent="0.25">
      <c r="A257" s="31" t="s">
        <v>509</v>
      </c>
      <c r="B257" s="31" t="s">
        <v>13</v>
      </c>
      <c r="C257" s="32" t="str">
        <f t="shared" si="22"/>
        <v>Lucas Almeida</v>
      </c>
      <c r="D257" s="38" t="s">
        <v>510</v>
      </c>
      <c r="E257" s="33">
        <f t="shared" si="23"/>
        <v>45678</v>
      </c>
      <c r="F257" s="32" t="s">
        <v>39</v>
      </c>
      <c r="G257" s="32" t="str">
        <f t="shared" si="24"/>
        <v>Rodrigo Mello</v>
      </c>
      <c r="H257" s="32" t="s">
        <v>52</v>
      </c>
      <c r="I257" s="32" t="s">
        <v>99</v>
      </c>
      <c r="J257" s="34">
        <v>5</v>
      </c>
      <c r="K257" s="35">
        <v>79</v>
      </c>
      <c r="L257" s="35">
        <v>0</v>
      </c>
      <c r="M257" s="36">
        <f t="shared" si="26"/>
        <v>395</v>
      </c>
      <c r="N257" s="32" t="s">
        <v>89</v>
      </c>
      <c r="Q257" s="49" t="s">
        <v>509</v>
      </c>
      <c r="R257" s="49" t="s">
        <v>13</v>
      </c>
      <c r="S257" s="58">
        <f t="shared" si="25"/>
        <v>45678</v>
      </c>
      <c r="T257" s="51" t="s">
        <v>39</v>
      </c>
      <c r="U257" s="50" t="s">
        <v>52</v>
      </c>
      <c r="V257" s="52" t="s">
        <v>99</v>
      </c>
      <c r="W257" s="53">
        <v>5</v>
      </c>
      <c r="X257" s="54">
        <v>79</v>
      </c>
      <c r="Y257" s="54">
        <v>0</v>
      </c>
      <c r="Z257" s="55">
        <f t="shared" si="27"/>
        <v>395</v>
      </c>
      <c r="AA257" s="56" t="s">
        <v>89</v>
      </c>
      <c r="AB257"/>
    </row>
    <row r="258" spans="1:28" x14ac:dyDescent="0.25">
      <c r="A258" s="26" t="s">
        <v>511</v>
      </c>
      <c r="B258" s="26" t="s">
        <v>55</v>
      </c>
      <c r="C258" s="26" t="str">
        <f t="shared" si="22"/>
        <v>Ricardo Carvalho</v>
      </c>
      <c r="D258" s="37" t="s">
        <v>265</v>
      </c>
      <c r="E258" s="27">
        <f t="shared" si="23"/>
        <v>45703</v>
      </c>
      <c r="F258" s="26" t="s">
        <v>29</v>
      </c>
      <c r="G258" s="26" t="str">
        <f t="shared" si="24"/>
        <v>Camila Rocha</v>
      </c>
      <c r="H258" s="26" t="s">
        <v>23</v>
      </c>
      <c r="I258" s="26" t="s">
        <v>48</v>
      </c>
      <c r="J258" s="28">
        <v>3</v>
      </c>
      <c r="K258" s="29">
        <v>450</v>
      </c>
      <c r="L258" s="29">
        <v>0</v>
      </c>
      <c r="M258" s="30">
        <f t="shared" si="26"/>
        <v>1350</v>
      </c>
      <c r="N258" s="26" t="s">
        <v>65</v>
      </c>
      <c r="Q258" s="42" t="s">
        <v>511</v>
      </c>
      <c r="R258" s="42" t="s">
        <v>55</v>
      </c>
      <c r="S258" s="57">
        <f t="shared" si="25"/>
        <v>45703</v>
      </c>
      <c r="T258" s="44" t="s">
        <v>29</v>
      </c>
      <c r="U258" s="43" t="s">
        <v>23</v>
      </c>
      <c r="V258" s="42" t="s">
        <v>48</v>
      </c>
      <c r="W258" s="45">
        <v>3</v>
      </c>
      <c r="X258" s="46">
        <v>450</v>
      </c>
      <c r="Y258" s="46">
        <v>0</v>
      </c>
      <c r="Z258" s="47">
        <f t="shared" si="27"/>
        <v>1350</v>
      </c>
      <c r="AA258" s="48" t="s">
        <v>65</v>
      </c>
      <c r="AB258"/>
    </row>
    <row r="259" spans="1:28" x14ac:dyDescent="0.25">
      <c r="A259" s="31" t="s">
        <v>512</v>
      </c>
      <c r="B259" s="31" t="s">
        <v>71</v>
      </c>
      <c r="C259" s="32" t="str">
        <f t="shared" ref="C259:C322" si="28">SUBSTITUTE(SUBSTITUTE(SUBSTITUTE(SUBSTITUTE(PROPER(B259)," Da "," ")," De "," ")," Do "," ")," Dos "," ")</f>
        <v>Juliana Costa</v>
      </c>
      <c r="D259" s="38" t="s">
        <v>513</v>
      </c>
      <c r="E259" s="33">
        <f t="shared" ref="E259:E322" si="29">DATEVALUE(D259)</f>
        <v>45825</v>
      </c>
      <c r="F259" s="32" t="s">
        <v>22</v>
      </c>
      <c r="G259" s="32" t="str">
        <f t="shared" ref="G259:G322" si="30">SUBSTITUTE(SUBSTITUTE(SUBSTITUTE(SUBSTITUTE(PROPER(F259)," Da "," ")," De "," ")," Do "," ")," Dos "," ")</f>
        <v>Amanda Costa</v>
      </c>
      <c r="H259" s="32" t="s">
        <v>16</v>
      </c>
      <c r="I259" s="32" t="s">
        <v>103</v>
      </c>
      <c r="J259" s="34">
        <v>3</v>
      </c>
      <c r="K259" s="35">
        <v>89</v>
      </c>
      <c r="L259" s="35">
        <v>0</v>
      </c>
      <c r="M259" s="36">
        <f t="shared" si="26"/>
        <v>267</v>
      </c>
      <c r="N259" s="32" t="s">
        <v>25</v>
      </c>
      <c r="Q259" s="49" t="s">
        <v>512</v>
      </c>
      <c r="R259" s="49" t="s">
        <v>71</v>
      </c>
      <c r="S259" s="58">
        <f t="shared" si="25"/>
        <v>45825</v>
      </c>
      <c r="T259" s="51" t="s">
        <v>22</v>
      </c>
      <c r="U259" s="50" t="s">
        <v>16</v>
      </c>
      <c r="V259" s="52" t="s">
        <v>103</v>
      </c>
      <c r="W259" s="53">
        <v>3</v>
      </c>
      <c r="X259" s="54">
        <v>89</v>
      </c>
      <c r="Y259" s="54">
        <v>0</v>
      </c>
      <c r="Z259" s="55">
        <f t="shared" si="27"/>
        <v>267</v>
      </c>
      <c r="AA259" s="56" t="s">
        <v>25</v>
      </c>
      <c r="AB259"/>
    </row>
    <row r="260" spans="1:28" x14ac:dyDescent="0.25">
      <c r="A260" s="26" t="s">
        <v>514</v>
      </c>
      <c r="B260" s="26" t="s">
        <v>63</v>
      </c>
      <c r="C260" s="26" t="str">
        <f t="shared" si="28"/>
        <v>Marcos Rodrigues</v>
      </c>
      <c r="D260" s="37" t="s">
        <v>237</v>
      </c>
      <c r="E260" s="27">
        <f t="shared" si="29"/>
        <v>45749</v>
      </c>
      <c r="F260" s="26" t="s">
        <v>29</v>
      </c>
      <c r="G260" s="26" t="str">
        <f t="shared" si="30"/>
        <v>Camila Rocha</v>
      </c>
      <c r="H260" s="26" t="s">
        <v>30</v>
      </c>
      <c r="I260" s="26" t="s">
        <v>152</v>
      </c>
      <c r="J260" s="28">
        <v>1</v>
      </c>
      <c r="K260" s="29">
        <v>4500</v>
      </c>
      <c r="L260" s="29">
        <v>655.86</v>
      </c>
      <c r="M260" s="30">
        <f t="shared" si="26"/>
        <v>3844.14</v>
      </c>
      <c r="N260" s="26" t="s">
        <v>65</v>
      </c>
      <c r="Q260" s="42" t="s">
        <v>514</v>
      </c>
      <c r="R260" s="42" t="s">
        <v>63</v>
      </c>
      <c r="S260" s="57">
        <f t="shared" si="25"/>
        <v>45749</v>
      </c>
      <c r="T260" s="44" t="s">
        <v>29</v>
      </c>
      <c r="U260" s="43" t="s">
        <v>30</v>
      </c>
      <c r="V260" s="42" t="s">
        <v>152</v>
      </c>
      <c r="W260" s="45">
        <v>1</v>
      </c>
      <c r="X260" s="46">
        <v>4500</v>
      </c>
      <c r="Y260" s="46">
        <v>655.86</v>
      </c>
      <c r="Z260" s="47">
        <f t="shared" si="27"/>
        <v>3844.14</v>
      </c>
      <c r="AA260" s="48" t="s">
        <v>65</v>
      </c>
      <c r="AB260"/>
    </row>
    <row r="261" spans="1:28" x14ac:dyDescent="0.25">
      <c r="A261" s="31" t="s">
        <v>515</v>
      </c>
      <c r="B261" s="31" t="s">
        <v>71</v>
      </c>
      <c r="C261" s="32" t="str">
        <f t="shared" si="28"/>
        <v>Juliana Costa</v>
      </c>
      <c r="D261" s="38" t="s">
        <v>516</v>
      </c>
      <c r="E261" s="33">
        <f t="shared" si="29"/>
        <v>45706</v>
      </c>
      <c r="F261" s="32" t="s">
        <v>15</v>
      </c>
      <c r="G261" s="32" t="str">
        <f t="shared" si="30"/>
        <v>Larissa Dias</v>
      </c>
      <c r="H261" s="32" t="s">
        <v>23</v>
      </c>
      <c r="I261" s="32" t="s">
        <v>24</v>
      </c>
      <c r="J261" s="34">
        <v>5</v>
      </c>
      <c r="K261" s="35">
        <v>180</v>
      </c>
      <c r="L261" s="35">
        <v>15.58</v>
      </c>
      <c r="M261" s="36">
        <f t="shared" si="26"/>
        <v>884.42</v>
      </c>
      <c r="N261" s="32" t="s">
        <v>32</v>
      </c>
      <c r="Q261" s="49" t="s">
        <v>515</v>
      </c>
      <c r="R261" s="49" t="s">
        <v>71</v>
      </c>
      <c r="S261" s="58">
        <f t="shared" si="25"/>
        <v>45706</v>
      </c>
      <c r="T261" s="51" t="s">
        <v>15</v>
      </c>
      <c r="U261" s="50" t="s">
        <v>23</v>
      </c>
      <c r="V261" s="52" t="s">
        <v>24</v>
      </c>
      <c r="W261" s="53">
        <v>5</v>
      </c>
      <c r="X261" s="54">
        <v>180</v>
      </c>
      <c r="Y261" s="54">
        <v>15.58</v>
      </c>
      <c r="Z261" s="55">
        <f t="shared" si="27"/>
        <v>884.42</v>
      </c>
      <c r="AA261" s="56" t="s">
        <v>32</v>
      </c>
      <c r="AB261"/>
    </row>
    <row r="262" spans="1:28" x14ac:dyDescent="0.25">
      <c r="A262" s="26" t="s">
        <v>517</v>
      </c>
      <c r="B262" s="26" t="s">
        <v>41</v>
      </c>
      <c r="C262" s="26" t="str">
        <f t="shared" si="28"/>
        <v>João Pereira</v>
      </c>
      <c r="D262" s="37" t="s">
        <v>518</v>
      </c>
      <c r="E262" s="27">
        <f t="shared" si="29"/>
        <v>45800</v>
      </c>
      <c r="F262" s="26" t="s">
        <v>29</v>
      </c>
      <c r="G262" s="26" t="str">
        <f t="shared" si="30"/>
        <v>Camila Rocha</v>
      </c>
      <c r="H262" s="26" t="s">
        <v>23</v>
      </c>
      <c r="I262" s="26" t="s">
        <v>43</v>
      </c>
      <c r="J262" s="28">
        <v>5</v>
      </c>
      <c r="K262" s="29">
        <v>350</v>
      </c>
      <c r="L262" s="29">
        <v>114.07</v>
      </c>
      <c r="M262" s="30">
        <f t="shared" si="26"/>
        <v>1635.93</v>
      </c>
      <c r="N262" s="26" t="s">
        <v>89</v>
      </c>
      <c r="Q262" s="42" t="s">
        <v>517</v>
      </c>
      <c r="R262" s="42" t="s">
        <v>41</v>
      </c>
      <c r="S262" s="57">
        <f t="shared" ref="S262:S325" si="31">DATEVALUE(D262)</f>
        <v>45800</v>
      </c>
      <c r="T262" s="44" t="s">
        <v>29</v>
      </c>
      <c r="U262" s="43" t="s">
        <v>23</v>
      </c>
      <c r="V262" s="42" t="s">
        <v>43</v>
      </c>
      <c r="W262" s="45">
        <v>5</v>
      </c>
      <c r="X262" s="46">
        <v>350</v>
      </c>
      <c r="Y262" s="46">
        <v>114.07</v>
      </c>
      <c r="Z262" s="47">
        <f t="shared" si="27"/>
        <v>1635.93</v>
      </c>
      <c r="AA262" s="48" t="s">
        <v>89</v>
      </c>
      <c r="AB262"/>
    </row>
    <row r="263" spans="1:28" x14ac:dyDescent="0.25">
      <c r="A263" s="31" t="s">
        <v>519</v>
      </c>
      <c r="B263" s="31" t="s">
        <v>37</v>
      </c>
      <c r="C263" s="32" t="str">
        <f t="shared" si="28"/>
        <v>Patricia Gomes</v>
      </c>
      <c r="D263" s="38" t="s">
        <v>87</v>
      </c>
      <c r="E263" s="33">
        <f t="shared" si="29"/>
        <v>45996</v>
      </c>
      <c r="F263" s="32" t="s">
        <v>47</v>
      </c>
      <c r="G263" s="32" t="str">
        <f t="shared" si="30"/>
        <v>Bruno Martins</v>
      </c>
      <c r="H263" s="32" t="s">
        <v>52</v>
      </c>
      <c r="I263" s="32" t="s">
        <v>61</v>
      </c>
      <c r="J263" s="34">
        <v>1</v>
      </c>
      <c r="K263" s="35">
        <v>199</v>
      </c>
      <c r="L263" s="35">
        <v>24.71</v>
      </c>
      <c r="M263" s="36">
        <f t="shared" ref="M263:M326" si="32">(J263*K263)-L263</f>
        <v>174.29</v>
      </c>
      <c r="N263" s="32" t="s">
        <v>49</v>
      </c>
      <c r="Q263" s="49" t="s">
        <v>519</v>
      </c>
      <c r="R263" s="49" t="s">
        <v>37</v>
      </c>
      <c r="S263" s="58">
        <f t="shared" si="31"/>
        <v>45996</v>
      </c>
      <c r="T263" s="51" t="s">
        <v>47</v>
      </c>
      <c r="U263" s="50" t="s">
        <v>52</v>
      </c>
      <c r="V263" s="52" t="s">
        <v>61</v>
      </c>
      <c r="W263" s="53">
        <v>1</v>
      </c>
      <c r="X263" s="54">
        <v>199</v>
      </c>
      <c r="Y263" s="54">
        <v>24.71</v>
      </c>
      <c r="Z263" s="55">
        <f t="shared" ref="Z263:Z326" si="33">(W263*X263)-Y263</f>
        <v>174.29</v>
      </c>
      <c r="AA263" s="56" t="s">
        <v>49</v>
      </c>
      <c r="AB263"/>
    </row>
    <row r="264" spans="1:28" x14ac:dyDescent="0.25">
      <c r="A264" s="26" t="s">
        <v>520</v>
      </c>
      <c r="B264" s="26" t="s">
        <v>63</v>
      </c>
      <c r="C264" s="26" t="str">
        <f t="shared" si="28"/>
        <v>Marcos Rodrigues</v>
      </c>
      <c r="D264" s="37" t="s">
        <v>243</v>
      </c>
      <c r="E264" s="27">
        <f t="shared" si="29"/>
        <v>45880</v>
      </c>
      <c r="F264" s="26" t="s">
        <v>47</v>
      </c>
      <c r="G264" s="26" t="str">
        <f t="shared" si="30"/>
        <v>Bruno Martins</v>
      </c>
      <c r="H264" s="26" t="s">
        <v>23</v>
      </c>
      <c r="I264" s="26" t="s">
        <v>43</v>
      </c>
      <c r="J264" s="28">
        <v>5</v>
      </c>
      <c r="K264" s="29">
        <v>350</v>
      </c>
      <c r="L264" s="29">
        <v>0</v>
      </c>
      <c r="M264" s="30">
        <f t="shared" si="32"/>
        <v>1750</v>
      </c>
      <c r="N264" s="26" t="s">
        <v>89</v>
      </c>
      <c r="Q264" s="42" t="s">
        <v>520</v>
      </c>
      <c r="R264" s="42" t="s">
        <v>63</v>
      </c>
      <c r="S264" s="57">
        <f t="shared" si="31"/>
        <v>45880</v>
      </c>
      <c r="T264" s="44" t="s">
        <v>47</v>
      </c>
      <c r="U264" s="43" t="s">
        <v>23</v>
      </c>
      <c r="V264" s="42" t="s">
        <v>43</v>
      </c>
      <c r="W264" s="45">
        <v>5</v>
      </c>
      <c r="X264" s="46">
        <v>350</v>
      </c>
      <c r="Y264" s="46">
        <v>0</v>
      </c>
      <c r="Z264" s="47">
        <f t="shared" si="33"/>
        <v>1750</v>
      </c>
      <c r="AA264" s="48" t="s">
        <v>89</v>
      </c>
      <c r="AB264"/>
    </row>
    <row r="265" spans="1:28" x14ac:dyDescent="0.25">
      <c r="A265" s="31" t="s">
        <v>521</v>
      </c>
      <c r="B265" s="31" t="s">
        <v>34</v>
      </c>
      <c r="C265" s="32" t="str">
        <f t="shared" si="28"/>
        <v>Carlos Silva</v>
      </c>
      <c r="D265" s="38" t="s">
        <v>87</v>
      </c>
      <c r="E265" s="33">
        <f t="shared" si="29"/>
        <v>45996</v>
      </c>
      <c r="F265" s="32" t="s">
        <v>47</v>
      </c>
      <c r="G265" s="32" t="str">
        <f t="shared" si="30"/>
        <v>Bruno Martins</v>
      </c>
      <c r="H265" s="32" t="s">
        <v>52</v>
      </c>
      <c r="I265" s="32" t="s">
        <v>75</v>
      </c>
      <c r="J265" s="34">
        <v>4</v>
      </c>
      <c r="K265" s="35">
        <v>249</v>
      </c>
      <c r="L265" s="35">
        <v>119.32</v>
      </c>
      <c r="M265" s="36">
        <f t="shared" si="32"/>
        <v>876.68000000000006</v>
      </c>
      <c r="N265" s="32" t="s">
        <v>32</v>
      </c>
      <c r="Q265" s="49" t="s">
        <v>521</v>
      </c>
      <c r="R265" s="49" t="s">
        <v>34</v>
      </c>
      <c r="S265" s="58">
        <f t="shared" si="31"/>
        <v>45996</v>
      </c>
      <c r="T265" s="51" t="s">
        <v>47</v>
      </c>
      <c r="U265" s="50" t="s">
        <v>52</v>
      </c>
      <c r="V265" s="52" t="s">
        <v>75</v>
      </c>
      <c r="W265" s="53">
        <v>4</v>
      </c>
      <c r="X265" s="54">
        <v>249</v>
      </c>
      <c r="Y265" s="54">
        <v>119.32</v>
      </c>
      <c r="Z265" s="55">
        <f t="shared" si="33"/>
        <v>876.68000000000006</v>
      </c>
      <c r="AA265" s="56" t="s">
        <v>32</v>
      </c>
      <c r="AB265"/>
    </row>
    <row r="266" spans="1:28" x14ac:dyDescent="0.25">
      <c r="A266" s="26" t="s">
        <v>522</v>
      </c>
      <c r="B266" s="26" t="s">
        <v>71</v>
      </c>
      <c r="C266" s="26" t="str">
        <f t="shared" si="28"/>
        <v>Juliana Costa</v>
      </c>
      <c r="D266" s="37" t="s">
        <v>523</v>
      </c>
      <c r="E266" s="27">
        <f t="shared" si="29"/>
        <v>45979</v>
      </c>
      <c r="F266" s="26" t="s">
        <v>22</v>
      </c>
      <c r="G266" s="26" t="str">
        <f t="shared" si="30"/>
        <v>Amanda Costa</v>
      </c>
      <c r="H266" s="26" t="s">
        <v>16</v>
      </c>
      <c r="I266" s="26" t="s">
        <v>17</v>
      </c>
      <c r="J266" s="28">
        <v>3</v>
      </c>
      <c r="K266" s="29">
        <v>39</v>
      </c>
      <c r="L266" s="29">
        <v>16.07</v>
      </c>
      <c r="M266" s="30">
        <f t="shared" si="32"/>
        <v>100.93</v>
      </c>
      <c r="N266" s="26" t="s">
        <v>25</v>
      </c>
      <c r="Q266" s="42" t="s">
        <v>522</v>
      </c>
      <c r="R266" s="42" t="s">
        <v>71</v>
      </c>
      <c r="S266" s="57">
        <f t="shared" si="31"/>
        <v>45979</v>
      </c>
      <c r="T266" s="44" t="s">
        <v>22</v>
      </c>
      <c r="U266" s="43" t="s">
        <v>16</v>
      </c>
      <c r="V266" s="42" t="s">
        <v>17</v>
      </c>
      <c r="W266" s="45">
        <v>3</v>
      </c>
      <c r="X266" s="46">
        <v>39</v>
      </c>
      <c r="Y266" s="46">
        <v>16.07</v>
      </c>
      <c r="Z266" s="47">
        <f t="shared" si="33"/>
        <v>100.93</v>
      </c>
      <c r="AA266" s="48" t="s">
        <v>25</v>
      </c>
      <c r="AB266"/>
    </row>
    <row r="267" spans="1:28" x14ac:dyDescent="0.25">
      <c r="A267" s="31" t="s">
        <v>524</v>
      </c>
      <c r="B267" s="31" t="s">
        <v>71</v>
      </c>
      <c r="C267" s="32" t="str">
        <f t="shared" si="28"/>
        <v>Juliana Costa</v>
      </c>
      <c r="D267" s="38" t="s">
        <v>525</v>
      </c>
      <c r="E267" s="33">
        <f t="shared" si="29"/>
        <v>45945</v>
      </c>
      <c r="F267" s="32" t="s">
        <v>47</v>
      </c>
      <c r="G267" s="32" t="str">
        <f t="shared" si="30"/>
        <v>Bruno Martins</v>
      </c>
      <c r="H267" s="32" t="s">
        <v>30</v>
      </c>
      <c r="I267" s="32" t="s">
        <v>106</v>
      </c>
      <c r="J267" s="34">
        <v>5</v>
      </c>
      <c r="K267" s="35">
        <v>299</v>
      </c>
      <c r="L267" s="35">
        <v>205.52</v>
      </c>
      <c r="M267" s="36">
        <f t="shared" si="32"/>
        <v>1289.48</v>
      </c>
      <c r="N267" s="32" t="s">
        <v>18</v>
      </c>
      <c r="Q267" s="49" t="s">
        <v>524</v>
      </c>
      <c r="R267" s="49" t="s">
        <v>71</v>
      </c>
      <c r="S267" s="58">
        <f t="shared" si="31"/>
        <v>45945</v>
      </c>
      <c r="T267" s="51" t="s">
        <v>47</v>
      </c>
      <c r="U267" s="50" t="s">
        <v>30</v>
      </c>
      <c r="V267" s="52" t="s">
        <v>106</v>
      </c>
      <c r="W267" s="53">
        <v>5</v>
      </c>
      <c r="X267" s="54">
        <v>299</v>
      </c>
      <c r="Y267" s="54">
        <v>205.52</v>
      </c>
      <c r="Z267" s="55">
        <f t="shared" si="33"/>
        <v>1289.48</v>
      </c>
      <c r="AA267" s="56" t="s">
        <v>18</v>
      </c>
      <c r="AB267"/>
    </row>
    <row r="268" spans="1:28" x14ac:dyDescent="0.25">
      <c r="A268" s="26" t="s">
        <v>526</v>
      </c>
      <c r="B268" s="26" t="s">
        <v>63</v>
      </c>
      <c r="C268" s="26" t="str">
        <f t="shared" si="28"/>
        <v>Marcos Rodrigues</v>
      </c>
      <c r="D268" s="37" t="s">
        <v>527</v>
      </c>
      <c r="E268" s="27">
        <f t="shared" si="29"/>
        <v>45767</v>
      </c>
      <c r="F268" s="26" t="s">
        <v>29</v>
      </c>
      <c r="G268" s="26" t="str">
        <f t="shared" si="30"/>
        <v>Camila Rocha</v>
      </c>
      <c r="H268" s="26" t="s">
        <v>52</v>
      </c>
      <c r="I268" s="26" t="s">
        <v>53</v>
      </c>
      <c r="J268" s="28">
        <v>3</v>
      </c>
      <c r="K268" s="29">
        <v>149</v>
      </c>
      <c r="L268" s="29">
        <v>10.95</v>
      </c>
      <c r="M268" s="30">
        <f t="shared" si="32"/>
        <v>436.05</v>
      </c>
      <c r="N268" s="26" t="s">
        <v>44</v>
      </c>
      <c r="Q268" s="42" t="s">
        <v>526</v>
      </c>
      <c r="R268" s="42" t="s">
        <v>63</v>
      </c>
      <c r="S268" s="57">
        <f t="shared" si="31"/>
        <v>45767</v>
      </c>
      <c r="T268" s="44" t="s">
        <v>29</v>
      </c>
      <c r="U268" s="43" t="s">
        <v>52</v>
      </c>
      <c r="V268" s="42" t="s">
        <v>53</v>
      </c>
      <c r="W268" s="45">
        <v>3</v>
      </c>
      <c r="X268" s="46">
        <v>149</v>
      </c>
      <c r="Y268" s="46">
        <v>10.95</v>
      </c>
      <c r="Z268" s="47">
        <f t="shared" si="33"/>
        <v>436.05</v>
      </c>
      <c r="AA268" s="48" t="s">
        <v>44</v>
      </c>
      <c r="AB268"/>
    </row>
    <row r="269" spans="1:28" x14ac:dyDescent="0.25">
      <c r="A269" s="31" t="s">
        <v>528</v>
      </c>
      <c r="B269" s="31" t="s">
        <v>34</v>
      </c>
      <c r="C269" s="32" t="str">
        <f t="shared" si="28"/>
        <v>Carlos Silva</v>
      </c>
      <c r="D269" s="38" t="s">
        <v>529</v>
      </c>
      <c r="E269" s="33">
        <f t="shared" si="29"/>
        <v>45990</v>
      </c>
      <c r="F269" s="32" t="s">
        <v>22</v>
      </c>
      <c r="G269" s="32" t="str">
        <f t="shared" si="30"/>
        <v>Amanda Costa</v>
      </c>
      <c r="H269" s="32" t="s">
        <v>23</v>
      </c>
      <c r="I269" s="32" t="s">
        <v>43</v>
      </c>
      <c r="J269" s="34">
        <v>3</v>
      </c>
      <c r="K269" s="35">
        <v>350</v>
      </c>
      <c r="L269" s="35">
        <v>0</v>
      </c>
      <c r="M269" s="36">
        <f t="shared" si="32"/>
        <v>1050</v>
      </c>
      <c r="N269" s="32" t="s">
        <v>69</v>
      </c>
      <c r="Q269" s="49" t="s">
        <v>528</v>
      </c>
      <c r="R269" s="49" t="s">
        <v>34</v>
      </c>
      <c r="S269" s="58">
        <f t="shared" si="31"/>
        <v>45990</v>
      </c>
      <c r="T269" s="51" t="s">
        <v>22</v>
      </c>
      <c r="U269" s="50" t="s">
        <v>23</v>
      </c>
      <c r="V269" s="52" t="s">
        <v>43</v>
      </c>
      <c r="W269" s="53">
        <v>3</v>
      </c>
      <c r="X269" s="54">
        <v>350</v>
      </c>
      <c r="Y269" s="54">
        <v>0</v>
      </c>
      <c r="Z269" s="55">
        <f t="shared" si="33"/>
        <v>1050</v>
      </c>
      <c r="AA269" s="56" t="s">
        <v>69</v>
      </c>
      <c r="AB269"/>
    </row>
    <row r="270" spans="1:28" x14ac:dyDescent="0.25">
      <c r="A270" s="26" t="s">
        <v>530</v>
      </c>
      <c r="B270" s="26" t="s">
        <v>27</v>
      </c>
      <c r="C270" s="26" t="str">
        <f t="shared" si="28"/>
        <v>Roberto Santos</v>
      </c>
      <c r="D270" s="37" t="s">
        <v>531</v>
      </c>
      <c r="E270" s="27">
        <f t="shared" si="29"/>
        <v>45754</v>
      </c>
      <c r="F270" s="26" t="s">
        <v>22</v>
      </c>
      <c r="G270" s="26" t="str">
        <f t="shared" si="30"/>
        <v>Amanda Costa</v>
      </c>
      <c r="H270" s="26" t="s">
        <v>30</v>
      </c>
      <c r="I270" s="26" t="s">
        <v>68</v>
      </c>
      <c r="J270" s="28">
        <v>1</v>
      </c>
      <c r="K270" s="29">
        <v>799</v>
      </c>
      <c r="L270" s="29">
        <v>44.87</v>
      </c>
      <c r="M270" s="30">
        <f t="shared" si="32"/>
        <v>754.13</v>
      </c>
      <c r="N270" s="26" t="s">
        <v>32</v>
      </c>
      <c r="Q270" s="42" t="s">
        <v>530</v>
      </c>
      <c r="R270" s="42" t="s">
        <v>27</v>
      </c>
      <c r="S270" s="57">
        <f t="shared" si="31"/>
        <v>45754</v>
      </c>
      <c r="T270" s="44" t="s">
        <v>22</v>
      </c>
      <c r="U270" s="43" t="s">
        <v>30</v>
      </c>
      <c r="V270" s="42" t="s">
        <v>68</v>
      </c>
      <c r="W270" s="45">
        <v>1</v>
      </c>
      <c r="X270" s="46">
        <v>799</v>
      </c>
      <c r="Y270" s="46">
        <v>44.87</v>
      </c>
      <c r="Z270" s="47">
        <f t="shared" si="33"/>
        <v>754.13</v>
      </c>
      <c r="AA270" s="48" t="s">
        <v>32</v>
      </c>
      <c r="AB270"/>
    </row>
    <row r="271" spans="1:28" x14ac:dyDescent="0.25">
      <c r="A271" s="31" t="s">
        <v>532</v>
      </c>
      <c r="B271" s="31" t="s">
        <v>95</v>
      </c>
      <c r="C271" s="32" t="str">
        <f t="shared" si="28"/>
        <v>Maria Oliveira</v>
      </c>
      <c r="D271" s="38" t="s">
        <v>533</v>
      </c>
      <c r="E271" s="33">
        <f t="shared" si="29"/>
        <v>45932</v>
      </c>
      <c r="F271" s="32" t="s">
        <v>29</v>
      </c>
      <c r="G271" s="32" t="str">
        <f t="shared" si="30"/>
        <v>Camila Rocha</v>
      </c>
      <c r="H271" s="32" t="s">
        <v>52</v>
      </c>
      <c r="I271" s="32" t="s">
        <v>53</v>
      </c>
      <c r="J271" s="34">
        <v>4</v>
      </c>
      <c r="K271" s="35">
        <v>149</v>
      </c>
      <c r="L271" s="35">
        <v>72.069999999999993</v>
      </c>
      <c r="M271" s="36">
        <f t="shared" si="32"/>
        <v>523.93000000000006</v>
      </c>
      <c r="N271" s="32" t="s">
        <v>49</v>
      </c>
      <c r="Q271" s="49" t="s">
        <v>532</v>
      </c>
      <c r="R271" s="49" t="s">
        <v>95</v>
      </c>
      <c r="S271" s="58">
        <f t="shared" si="31"/>
        <v>45932</v>
      </c>
      <c r="T271" s="51" t="s">
        <v>29</v>
      </c>
      <c r="U271" s="50" t="s">
        <v>52</v>
      </c>
      <c r="V271" s="52" t="s">
        <v>53</v>
      </c>
      <c r="W271" s="53">
        <v>4</v>
      </c>
      <c r="X271" s="54">
        <v>149</v>
      </c>
      <c r="Y271" s="54">
        <v>72.069999999999993</v>
      </c>
      <c r="Z271" s="55">
        <f t="shared" si="33"/>
        <v>523.93000000000006</v>
      </c>
      <c r="AA271" s="56" t="s">
        <v>49</v>
      </c>
      <c r="AB271"/>
    </row>
    <row r="272" spans="1:28" x14ac:dyDescent="0.25">
      <c r="A272" s="26" t="s">
        <v>534</v>
      </c>
      <c r="B272" s="26" t="s">
        <v>37</v>
      </c>
      <c r="C272" s="26" t="str">
        <f t="shared" si="28"/>
        <v>Patricia Gomes</v>
      </c>
      <c r="D272" s="37" t="s">
        <v>535</v>
      </c>
      <c r="E272" s="27">
        <f t="shared" si="29"/>
        <v>45846</v>
      </c>
      <c r="F272" s="26" t="s">
        <v>39</v>
      </c>
      <c r="G272" s="26" t="str">
        <f t="shared" si="30"/>
        <v>Rodrigo Mello</v>
      </c>
      <c r="H272" s="26" t="s">
        <v>30</v>
      </c>
      <c r="I272" s="26" t="s">
        <v>152</v>
      </c>
      <c r="J272" s="28">
        <v>4</v>
      </c>
      <c r="K272" s="29">
        <v>4500</v>
      </c>
      <c r="L272" s="29">
        <v>0</v>
      </c>
      <c r="M272" s="30">
        <f t="shared" si="32"/>
        <v>18000</v>
      </c>
      <c r="N272" s="26" t="s">
        <v>89</v>
      </c>
      <c r="Q272" s="42" t="s">
        <v>534</v>
      </c>
      <c r="R272" s="42" t="s">
        <v>37</v>
      </c>
      <c r="S272" s="57">
        <f t="shared" si="31"/>
        <v>45846</v>
      </c>
      <c r="T272" s="44" t="s">
        <v>39</v>
      </c>
      <c r="U272" s="43" t="s">
        <v>30</v>
      </c>
      <c r="V272" s="42" t="s">
        <v>152</v>
      </c>
      <c r="W272" s="45">
        <v>4</v>
      </c>
      <c r="X272" s="46">
        <v>4500</v>
      </c>
      <c r="Y272" s="46">
        <v>0</v>
      </c>
      <c r="Z272" s="47">
        <f t="shared" si="33"/>
        <v>18000</v>
      </c>
      <c r="AA272" s="48" t="s">
        <v>89</v>
      </c>
      <c r="AB272"/>
    </row>
    <row r="273" spans="1:28" x14ac:dyDescent="0.25">
      <c r="A273" s="31" t="s">
        <v>536</v>
      </c>
      <c r="B273" s="31" t="s">
        <v>71</v>
      </c>
      <c r="C273" s="32" t="str">
        <f t="shared" si="28"/>
        <v>Juliana Costa</v>
      </c>
      <c r="D273" s="38" t="s">
        <v>537</v>
      </c>
      <c r="E273" s="33">
        <f t="shared" si="29"/>
        <v>45924</v>
      </c>
      <c r="F273" s="32" t="s">
        <v>22</v>
      </c>
      <c r="G273" s="32" t="str">
        <f t="shared" si="30"/>
        <v>Amanda Costa</v>
      </c>
      <c r="H273" s="32" t="s">
        <v>30</v>
      </c>
      <c r="I273" s="32" t="s">
        <v>31</v>
      </c>
      <c r="J273" s="34">
        <v>4</v>
      </c>
      <c r="K273" s="35">
        <v>2500</v>
      </c>
      <c r="L273" s="35">
        <v>1481.66</v>
      </c>
      <c r="M273" s="36">
        <f t="shared" si="32"/>
        <v>8518.34</v>
      </c>
      <c r="N273" s="32" t="s">
        <v>18</v>
      </c>
      <c r="Q273" s="49" t="s">
        <v>536</v>
      </c>
      <c r="R273" s="49" t="s">
        <v>71</v>
      </c>
      <c r="S273" s="58">
        <f t="shared" si="31"/>
        <v>45924</v>
      </c>
      <c r="T273" s="51" t="s">
        <v>22</v>
      </c>
      <c r="U273" s="50" t="s">
        <v>30</v>
      </c>
      <c r="V273" s="52" t="s">
        <v>31</v>
      </c>
      <c r="W273" s="53">
        <v>4</v>
      </c>
      <c r="X273" s="54">
        <v>2500</v>
      </c>
      <c r="Y273" s="54">
        <v>1481.66</v>
      </c>
      <c r="Z273" s="55">
        <f t="shared" si="33"/>
        <v>8518.34</v>
      </c>
      <c r="AA273" s="56" t="s">
        <v>18</v>
      </c>
      <c r="AB273"/>
    </row>
    <row r="274" spans="1:28" x14ac:dyDescent="0.25">
      <c r="A274" s="26" t="s">
        <v>538</v>
      </c>
      <c r="B274" s="26" t="s">
        <v>55</v>
      </c>
      <c r="C274" s="26" t="str">
        <f t="shared" si="28"/>
        <v>Ricardo Carvalho</v>
      </c>
      <c r="D274" s="37" t="s">
        <v>539</v>
      </c>
      <c r="E274" s="27">
        <f t="shared" si="29"/>
        <v>46011</v>
      </c>
      <c r="F274" s="26" t="s">
        <v>39</v>
      </c>
      <c r="G274" s="26" t="str">
        <f t="shared" si="30"/>
        <v>Rodrigo Mello</v>
      </c>
      <c r="H274" s="26" t="s">
        <v>52</v>
      </c>
      <c r="I274" s="26" t="s">
        <v>53</v>
      </c>
      <c r="J274" s="28">
        <v>1</v>
      </c>
      <c r="K274" s="29">
        <v>149</v>
      </c>
      <c r="L274" s="29">
        <v>19.2</v>
      </c>
      <c r="M274" s="30">
        <f t="shared" si="32"/>
        <v>129.80000000000001</v>
      </c>
      <c r="N274" s="26" t="s">
        <v>44</v>
      </c>
      <c r="Q274" s="42" t="s">
        <v>538</v>
      </c>
      <c r="R274" s="42" t="s">
        <v>55</v>
      </c>
      <c r="S274" s="57">
        <f t="shared" si="31"/>
        <v>46011</v>
      </c>
      <c r="T274" s="44" t="s">
        <v>39</v>
      </c>
      <c r="U274" s="43" t="s">
        <v>52</v>
      </c>
      <c r="V274" s="42" t="s">
        <v>53</v>
      </c>
      <c r="W274" s="45">
        <v>1</v>
      </c>
      <c r="X274" s="46">
        <v>149</v>
      </c>
      <c r="Y274" s="46">
        <v>19.2</v>
      </c>
      <c r="Z274" s="47">
        <f t="shared" si="33"/>
        <v>129.80000000000001</v>
      </c>
      <c r="AA274" s="48" t="s">
        <v>44</v>
      </c>
      <c r="AB274"/>
    </row>
    <row r="275" spans="1:28" x14ac:dyDescent="0.25">
      <c r="A275" s="31" t="s">
        <v>540</v>
      </c>
      <c r="B275" s="31" t="s">
        <v>110</v>
      </c>
      <c r="C275" s="32" t="str">
        <f t="shared" si="28"/>
        <v>Fernanda Lima</v>
      </c>
      <c r="D275" s="38" t="s">
        <v>96</v>
      </c>
      <c r="E275" s="33">
        <f t="shared" si="29"/>
        <v>45879</v>
      </c>
      <c r="F275" s="32" t="s">
        <v>15</v>
      </c>
      <c r="G275" s="32" t="str">
        <f t="shared" si="30"/>
        <v>Larissa Dias</v>
      </c>
      <c r="H275" s="32" t="s">
        <v>52</v>
      </c>
      <c r="I275" s="32" t="s">
        <v>75</v>
      </c>
      <c r="J275" s="34">
        <v>5</v>
      </c>
      <c r="K275" s="35">
        <v>249</v>
      </c>
      <c r="L275" s="35">
        <v>0</v>
      </c>
      <c r="M275" s="36">
        <f t="shared" si="32"/>
        <v>1245</v>
      </c>
      <c r="N275" s="32" t="s">
        <v>44</v>
      </c>
      <c r="Q275" s="49" t="s">
        <v>540</v>
      </c>
      <c r="R275" s="49" t="s">
        <v>110</v>
      </c>
      <c r="S275" s="58">
        <f t="shared" si="31"/>
        <v>45879</v>
      </c>
      <c r="T275" s="51" t="s">
        <v>15</v>
      </c>
      <c r="U275" s="50" t="s">
        <v>52</v>
      </c>
      <c r="V275" s="52" t="s">
        <v>75</v>
      </c>
      <c r="W275" s="53">
        <v>5</v>
      </c>
      <c r="X275" s="54">
        <v>249</v>
      </c>
      <c r="Y275" s="54">
        <v>0</v>
      </c>
      <c r="Z275" s="55">
        <f t="shared" si="33"/>
        <v>1245</v>
      </c>
      <c r="AA275" s="56" t="s">
        <v>44</v>
      </c>
      <c r="AB275"/>
    </row>
    <row r="276" spans="1:28" x14ac:dyDescent="0.25">
      <c r="A276" s="26" t="s">
        <v>541</v>
      </c>
      <c r="B276" s="26" t="s">
        <v>101</v>
      </c>
      <c r="C276" s="26" t="str">
        <f t="shared" si="28"/>
        <v>Ana Souza</v>
      </c>
      <c r="D276" s="37" t="s">
        <v>542</v>
      </c>
      <c r="E276" s="27">
        <f t="shared" si="29"/>
        <v>45675</v>
      </c>
      <c r="F276" s="26" t="s">
        <v>47</v>
      </c>
      <c r="G276" s="26" t="str">
        <f t="shared" si="30"/>
        <v>Bruno Martins</v>
      </c>
      <c r="H276" s="26" t="s">
        <v>16</v>
      </c>
      <c r="I276" s="26" t="s">
        <v>116</v>
      </c>
      <c r="J276" s="28">
        <v>2</v>
      </c>
      <c r="K276" s="29">
        <v>45</v>
      </c>
      <c r="L276" s="29">
        <v>0</v>
      </c>
      <c r="M276" s="30">
        <f t="shared" si="32"/>
        <v>90</v>
      </c>
      <c r="N276" s="26" t="s">
        <v>44</v>
      </c>
      <c r="Q276" s="42" t="s">
        <v>541</v>
      </c>
      <c r="R276" s="42" t="s">
        <v>101</v>
      </c>
      <c r="S276" s="57">
        <f t="shared" si="31"/>
        <v>45675</v>
      </c>
      <c r="T276" s="44" t="s">
        <v>47</v>
      </c>
      <c r="U276" s="43" t="s">
        <v>16</v>
      </c>
      <c r="V276" s="42" t="s">
        <v>116</v>
      </c>
      <c r="W276" s="45">
        <v>2</v>
      </c>
      <c r="X276" s="46">
        <v>45</v>
      </c>
      <c r="Y276" s="46">
        <v>0</v>
      </c>
      <c r="Z276" s="47">
        <f t="shared" si="33"/>
        <v>90</v>
      </c>
      <c r="AA276" s="48" t="s">
        <v>44</v>
      </c>
      <c r="AB276"/>
    </row>
    <row r="277" spans="1:28" x14ac:dyDescent="0.25">
      <c r="A277" s="31" t="s">
        <v>543</v>
      </c>
      <c r="B277" s="31" t="s">
        <v>13</v>
      </c>
      <c r="C277" s="32" t="str">
        <f t="shared" si="28"/>
        <v>Lucas Almeida</v>
      </c>
      <c r="D277" s="38" t="s">
        <v>384</v>
      </c>
      <c r="E277" s="33">
        <f t="shared" si="29"/>
        <v>46058</v>
      </c>
      <c r="F277" s="32" t="s">
        <v>47</v>
      </c>
      <c r="G277" s="32" t="str">
        <f t="shared" si="30"/>
        <v>Bruno Martins</v>
      </c>
      <c r="H277" s="32" t="s">
        <v>52</v>
      </c>
      <c r="I277" s="32" t="s">
        <v>53</v>
      </c>
      <c r="J277" s="34">
        <v>1</v>
      </c>
      <c r="K277" s="35">
        <v>149</v>
      </c>
      <c r="L277" s="35">
        <v>4.6500000000000004</v>
      </c>
      <c r="M277" s="36">
        <f t="shared" si="32"/>
        <v>144.35</v>
      </c>
      <c r="N277" s="32" t="s">
        <v>49</v>
      </c>
      <c r="Q277" s="49" t="s">
        <v>543</v>
      </c>
      <c r="R277" s="49" t="s">
        <v>13</v>
      </c>
      <c r="S277" s="58">
        <f t="shared" si="31"/>
        <v>46058</v>
      </c>
      <c r="T277" s="51" t="s">
        <v>47</v>
      </c>
      <c r="U277" s="50" t="s">
        <v>52</v>
      </c>
      <c r="V277" s="52" t="s">
        <v>53</v>
      </c>
      <c r="W277" s="53">
        <v>1</v>
      </c>
      <c r="X277" s="54">
        <v>149</v>
      </c>
      <c r="Y277" s="54">
        <v>4.6500000000000004</v>
      </c>
      <c r="Z277" s="55">
        <f t="shared" si="33"/>
        <v>144.35</v>
      </c>
      <c r="AA277" s="56" t="s">
        <v>49</v>
      </c>
      <c r="AB277"/>
    </row>
    <row r="278" spans="1:28" x14ac:dyDescent="0.25">
      <c r="A278" s="26" t="s">
        <v>544</v>
      </c>
      <c r="B278" s="26" t="s">
        <v>110</v>
      </c>
      <c r="C278" s="26" t="str">
        <f t="shared" si="28"/>
        <v>Fernanda Lima</v>
      </c>
      <c r="D278" s="37" t="s">
        <v>545</v>
      </c>
      <c r="E278" s="27">
        <f t="shared" si="29"/>
        <v>45911</v>
      </c>
      <c r="F278" s="26" t="s">
        <v>29</v>
      </c>
      <c r="G278" s="26" t="str">
        <f t="shared" si="30"/>
        <v>Camila Rocha</v>
      </c>
      <c r="H278" s="26" t="s">
        <v>30</v>
      </c>
      <c r="I278" s="26" t="s">
        <v>106</v>
      </c>
      <c r="J278" s="28">
        <v>4</v>
      </c>
      <c r="K278" s="29">
        <v>299</v>
      </c>
      <c r="L278" s="29">
        <v>0</v>
      </c>
      <c r="M278" s="30">
        <f t="shared" si="32"/>
        <v>1196</v>
      </c>
      <c r="N278" s="26" t="s">
        <v>18</v>
      </c>
      <c r="Q278" s="42" t="s">
        <v>544</v>
      </c>
      <c r="R278" s="42" t="s">
        <v>110</v>
      </c>
      <c r="S278" s="57">
        <f t="shared" si="31"/>
        <v>45911</v>
      </c>
      <c r="T278" s="44" t="s">
        <v>29</v>
      </c>
      <c r="U278" s="43" t="s">
        <v>30</v>
      </c>
      <c r="V278" s="42" t="s">
        <v>106</v>
      </c>
      <c r="W278" s="45">
        <v>4</v>
      </c>
      <c r="X278" s="46">
        <v>299</v>
      </c>
      <c r="Y278" s="46">
        <v>0</v>
      </c>
      <c r="Z278" s="47">
        <f t="shared" si="33"/>
        <v>1196</v>
      </c>
      <c r="AA278" s="48" t="s">
        <v>18</v>
      </c>
      <c r="AB278"/>
    </row>
    <row r="279" spans="1:28" x14ac:dyDescent="0.25">
      <c r="A279" s="31" t="s">
        <v>546</v>
      </c>
      <c r="B279" s="31" t="s">
        <v>55</v>
      </c>
      <c r="C279" s="32" t="str">
        <f t="shared" si="28"/>
        <v>Ricardo Carvalho</v>
      </c>
      <c r="D279" s="38" t="s">
        <v>547</v>
      </c>
      <c r="E279" s="33">
        <f t="shared" si="29"/>
        <v>45768</v>
      </c>
      <c r="F279" s="32" t="s">
        <v>47</v>
      </c>
      <c r="G279" s="32" t="str">
        <f t="shared" si="30"/>
        <v>Bruno Martins</v>
      </c>
      <c r="H279" s="32" t="s">
        <v>16</v>
      </c>
      <c r="I279" s="32" t="s">
        <v>103</v>
      </c>
      <c r="J279" s="34">
        <v>4</v>
      </c>
      <c r="K279" s="35">
        <v>89</v>
      </c>
      <c r="L279" s="35">
        <v>0</v>
      </c>
      <c r="M279" s="36">
        <f t="shared" si="32"/>
        <v>356</v>
      </c>
      <c r="N279" s="32" t="s">
        <v>18</v>
      </c>
      <c r="Q279" s="49" t="s">
        <v>546</v>
      </c>
      <c r="R279" s="49" t="s">
        <v>55</v>
      </c>
      <c r="S279" s="58">
        <f t="shared" si="31"/>
        <v>45768</v>
      </c>
      <c r="T279" s="51" t="s">
        <v>47</v>
      </c>
      <c r="U279" s="50" t="s">
        <v>16</v>
      </c>
      <c r="V279" s="52" t="s">
        <v>103</v>
      </c>
      <c r="W279" s="53">
        <v>4</v>
      </c>
      <c r="X279" s="54">
        <v>89</v>
      </c>
      <c r="Y279" s="54">
        <v>0</v>
      </c>
      <c r="Z279" s="55">
        <f t="shared" si="33"/>
        <v>356</v>
      </c>
      <c r="AA279" s="56" t="s">
        <v>18</v>
      </c>
      <c r="AB279"/>
    </row>
    <row r="280" spans="1:28" x14ac:dyDescent="0.25">
      <c r="A280" s="26" t="s">
        <v>548</v>
      </c>
      <c r="B280" s="26" t="s">
        <v>37</v>
      </c>
      <c r="C280" s="26" t="str">
        <f t="shared" si="28"/>
        <v>Patricia Gomes</v>
      </c>
      <c r="D280" s="37" t="s">
        <v>549</v>
      </c>
      <c r="E280" s="27">
        <f t="shared" si="29"/>
        <v>45950</v>
      </c>
      <c r="F280" s="26" t="s">
        <v>29</v>
      </c>
      <c r="G280" s="26" t="str">
        <f t="shared" si="30"/>
        <v>Camila Rocha</v>
      </c>
      <c r="H280" s="26" t="s">
        <v>52</v>
      </c>
      <c r="I280" s="26" t="s">
        <v>99</v>
      </c>
      <c r="J280" s="28">
        <v>1</v>
      </c>
      <c r="K280" s="29">
        <v>79</v>
      </c>
      <c r="L280" s="29">
        <v>8.1300000000000008</v>
      </c>
      <c r="M280" s="30">
        <f t="shared" si="32"/>
        <v>70.87</v>
      </c>
      <c r="N280" s="26" t="s">
        <v>44</v>
      </c>
      <c r="Q280" s="42" t="s">
        <v>548</v>
      </c>
      <c r="R280" s="42" t="s">
        <v>37</v>
      </c>
      <c r="S280" s="57">
        <f t="shared" si="31"/>
        <v>45950</v>
      </c>
      <c r="T280" s="44" t="s">
        <v>29</v>
      </c>
      <c r="U280" s="43" t="s">
        <v>52</v>
      </c>
      <c r="V280" s="42" t="s">
        <v>99</v>
      </c>
      <c r="W280" s="45">
        <v>1</v>
      </c>
      <c r="X280" s="46">
        <v>79</v>
      </c>
      <c r="Y280" s="46">
        <v>8.1300000000000008</v>
      </c>
      <c r="Z280" s="47">
        <f t="shared" si="33"/>
        <v>70.87</v>
      </c>
      <c r="AA280" s="48" t="s">
        <v>44</v>
      </c>
      <c r="AB280"/>
    </row>
    <row r="281" spans="1:28" x14ac:dyDescent="0.25">
      <c r="A281" s="31" t="s">
        <v>550</v>
      </c>
      <c r="B281" s="31" t="s">
        <v>37</v>
      </c>
      <c r="C281" s="32" t="str">
        <f t="shared" si="28"/>
        <v>Patricia Gomes</v>
      </c>
      <c r="D281" s="38" t="s">
        <v>273</v>
      </c>
      <c r="E281" s="33">
        <f t="shared" si="29"/>
        <v>45777</v>
      </c>
      <c r="F281" s="32" t="s">
        <v>29</v>
      </c>
      <c r="G281" s="32" t="str">
        <f t="shared" si="30"/>
        <v>Camila Rocha</v>
      </c>
      <c r="H281" s="32" t="s">
        <v>16</v>
      </c>
      <c r="I281" s="32" t="s">
        <v>17</v>
      </c>
      <c r="J281" s="34">
        <v>1</v>
      </c>
      <c r="K281" s="35">
        <v>39</v>
      </c>
      <c r="L281" s="35">
        <v>4.03</v>
      </c>
      <c r="M281" s="36">
        <f t="shared" si="32"/>
        <v>34.97</v>
      </c>
      <c r="N281" s="32" t="s">
        <v>49</v>
      </c>
      <c r="Q281" s="49" t="s">
        <v>550</v>
      </c>
      <c r="R281" s="49" t="s">
        <v>37</v>
      </c>
      <c r="S281" s="58">
        <f t="shared" si="31"/>
        <v>45777</v>
      </c>
      <c r="T281" s="51" t="s">
        <v>29</v>
      </c>
      <c r="U281" s="50" t="s">
        <v>16</v>
      </c>
      <c r="V281" s="52" t="s">
        <v>17</v>
      </c>
      <c r="W281" s="53">
        <v>1</v>
      </c>
      <c r="X281" s="54">
        <v>39</v>
      </c>
      <c r="Y281" s="54">
        <v>4.03</v>
      </c>
      <c r="Z281" s="55">
        <f t="shared" si="33"/>
        <v>34.97</v>
      </c>
      <c r="AA281" s="56" t="s">
        <v>49</v>
      </c>
      <c r="AB281"/>
    </row>
    <row r="282" spans="1:28" x14ac:dyDescent="0.25">
      <c r="A282" s="26" t="s">
        <v>551</v>
      </c>
      <c r="B282" s="26" t="s">
        <v>37</v>
      </c>
      <c r="C282" s="26" t="str">
        <f t="shared" si="28"/>
        <v>Patricia Gomes</v>
      </c>
      <c r="D282" s="37" t="s">
        <v>60</v>
      </c>
      <c r="E282" s="27">
        <f t="shared" si="29"/>
        <v>45763</v>
      </c>
      <c r="F282" s="26" t="s">
        <v>47</v>
      </c>
      <c r="G282" s="26" t="str">
        <f t="shared" si="30"/>
        <v>Bruno Martins</v>
      </c>
      <c r="H282" s="26" t="s">
        <v>52</v>
      </c>
      <c r="I282" s="26" t="s">
        <v>61</v>
      </c>
      <c r="J282" s="28">
        <v>3</v>
      </c>
      <c r="K282" s="29">
        <v>199</v>
      </c>
      <c r="L282" s="29">
        <v>0</v>
      </c>
      <c r="M282" s="30">
        <f t="shared" si="32"/>
        <v>597</v>
      </c>
      <c r="N282" s="26" t="s">
        <v>32</v>
      </c>
      <c r="Q282" s="42" t="s">
        <v>551</v>
      </c>
      <c r="R282" s="42" t="s">
        <v>37</v>
      </c>
      <c r="S282" s="57">
        <f t="shared" si="31"/>
        <v>45763</v>
      </c>
      <c r="T282" s="44" t="s">
        <v>47</v>
      </c>
      <c r="U282" s="43" t="s">
        <v>52</v>
      </c>
      <c r="V282" s="42" t="s">
        <v>61</v>
      </c>
      <c r="W282" s="45">
        <v>3</v>
      </c>
      <c r="X282" s="46">
        <v>199</v>
      </c>
      <c r="Y282" s="46">
        <v>0</v>
      </c>
      <c r="Z282" s="47">
        <f t="shared" si="33"/>
        <v>597</v>
      </c>
      <c r="AA282" s="48" t="s">
        <v>32</v>
      </c>
      <c r="AB282"/>
    </row>
    <row r="283" spans="1:28" x14ac:dyDescent="0.25">
      <c r="A283" s="31" t="s">
        <v>552</v>
      </c>
      <c r="B283" s="31" t="s">
        <v>27</v>
      </c>
      <c r="C283" s="32" t="str">
        <f t="shared" si="28"/>
        <v>Roberto Santos</v>
      </c>
      <c r="D283" s="38" t="s">
        <v>38</v>
      </c>
      <c r="E283" s="33">
        <f t="shared" si="29"/>
        <v>45662</v>
      </c>
      <c r="F283" s="32" t="s">
        <v>15</v>
      </c>
      <c r="G283" s="32" t="str">
        <f t="shared" si="30"/>
        <v>Larissa Dias</v>
      </c>
      <c r="H283" s="32" t="s">
        <v>16</v>
      </c>
      <c r="I283" s="32" t="s">
        <v>103</v>
      </c>
      <c r="J283" s="34">
        <v>5</v>
      </c>
      <c r="K283" s="35">
        <v>89</v>
      </c>
      <c r="L283" s="35">
        <v>0</v>
      </c>
      <c r="M283" s="36">
        <f t="shared" si="32"/>
        <v>445</v>
      </c>
      <c r="N283" s="32" t="s">
        <v>89</v>
      </c>
      <c r="Q283" s="49" t="s">
        <v>552</v>
      </c>
      <c r="R283" s="49" t="s">
        <v>27</v>
      </c>
      <c r="S283" s="58">
        <f t="shared" si="31"/>
        <v>45662</v>
      </c>
      <c r="T283" s="51" t="s">
        <v>15</v>
      </c>
      <c r="U283" s="50" t="s">
        <v>16</v>
      </c>
      <c r="V283" s="52" t="s">
        <v>103</v>
      </c>
      <c r="W283" s="53">
        <v>5</v>
      </c>
      <c r="X283" s="54">
        <v>89</v>
      </c>
      <c r="Y283" s="54">
        <v>0</v>
      </c>
      <c r="Z283" s="55">
        <f t="shared" si="33"/>
        <v>445</v>
      </c>
      <c r="AA283" s="56" t="s">
        <v>89</v>
      </c>
      <c r="AB283"/>
    </row>
    <row r="284" spans="1:28" x14ac:dyDescent="0.25">
      <c r="A284" s="26" t="s">
        <v>553</v>
      </c>
      <c r="B284" s="26" t="s">
        <v>110</v>
      </c>
      <c r="C284" s="26" t="str">
        <f t="shared" si="28"/>
        <v>Fernanda Lima</v>
      </c>
      <c r="D284" s="37" t="s">
        <v>554</v>
      </c>
      <c r="E284" s="27">
        <f t="shared" si="29"/>
        <v>45848</v>
      </c>
      <c r="F284" s="26" t="s">
        <v>39</v>
      </c>
      <c r="G284" s="26" t="str">
        <f t="shared" si="30"/>
        <v>Rodrigo Mello</v>
      </c>
      <c r="H284" s="26" t="s">
        <v>23</v>
      </c>
      <c r="I284" s="26" t="s">
        <v>48</v>
      </c>
      <c r="J284" s="28">
        <v>1</v>
      </c>
      <c r="K284" s="29">
        <v>450</v>
      </c>
      <c r="L284" s="29">
        <v>29.71</v>
      </c>
      <c r="M284" s="30">
        <f t="shared" si="32"/>
        <v>420.29</v>
      </c>
      <c r="N284" s="26" t="s">
        <v>69</v>
      </c>
      <c r="Q284" s="42" t="s">
        <v>553</v>
      </c>
      <c r="R284" s="42" t="s">
        <v>110</v>
      </c>
      <c r="S284" s="57">
        <f t="shared" si="31"/>
        <v>45848</v>
      </c>
      <c r="T284" s="44" t="s">
        <v>39</v>
      </c>
      <c r="U284" s="43" t="s">
        <v>23</v>
      </c>
      <c r="V284" s="42" t="s">
        <v>48</v>
      </c>
      <c r="W284" s="45">
        <v>1</v>
      </c>
      <c r="X284" s="46">
        <v>450</v>
      </c>
      <c r="Y284" s="46">
        <v>29.71</v>
      </c>
      <c r="Z284" s="47">
        <f t="shared" si="33"/>
        <v>420.29</v>
      </c>
      <c r="AA284" s="48" t="s">
        <v>69</v>
      </c>
      <c r="AB284"/>
    </row>
    <row r="285" spans="1:28" x14ac:dyDescent="0.25">
      <c r="A285" s="31" t="s">
        <v>555</v>
      </c>
      <c r="B285" s="31" t="s">
        <v>27</v>
      </c>
      <c r="C285" s="32" t="str">
        <f t="shared" si="28"/>
        <v>Roberto Santos</v>
      </c>
      <c r="D285" s="38" t="s">
        <v>349</v>
      </c>
      <c r="E285" s="33">
        <f t="shared" si="29"/>
        <v>45939</v>
      </c>
      <c r="F285" s="32" t="s">
        <v>39</v>
      </c>
      <c r="G285" s="32" t="str">
        <f t="shared" si="30"/>
        <v>Rodrigo Mello</v>
      </c>
      <c r="H285" s="32" t="s">
        <v>16</v>
      </c>
      <c r="I285" s="32" t="s">
        <v>103</v>
      </c>
      <c r="J285" s="34">
        <v>5</v>
      </c>
      <c r="K285" s="35">
        <v>89</v>
      </c>
      <c r="L285" s="35">
        <v>0</v>
      </c>
      <c r="M285" s="36">
        <f t="shared" si="32"/>
        <v>445</v>
      </c>
      <c r="N285" s="32" t="s">
        <v>32</v>
      </c>
      <c r="Q285" s="49" t="s">
        <v>555</v>
      </c>
      <c r="R285" s="49" t="s">
        <v>27</v>
      </c>
      <c r="S285" s="58">
        <f t="shared" si="31"/>
        <v>45939</v>
      </c>
      <c r="T285" s="51" t="s">
        <v>39</v>
      </c>
      <c r="U285" s="50" t="s">
        <v>16</v>
      </c>
      <c r="V285" s="52" t="s">
        <v>103</v>
      </c>
      <c r="W285" s="53">
        <v>5</v>
      </c>
      <c r="X285" s="54">
        <v>89</v>
      </c>
      <c r="Y285" s="54">
        <v>0</v>
      </c>
      <c r="Z285" s="55">
        <f t="shared" si="33"/>
        <v>445</v>
      </c>
      <c r="AA285" s="56" t="s">
        <v>32</v>
      </c>
      <c r="AB285"/>
    </row>
    <row r="286" spans="1:28" x14ac:dyDescent="0.25">
      <c r="A286" s="26" t="s">
        <v>556</v>
      </c>
      <c r="B286" s="26" t="s">
        <v>71</v>
      </c>
      <c r="C286" s="26" t="str">
        <f t="shared" si="28"/>
        <v>Juliana Costa</v>
      </c>
      <c r="D286" s="37" t="s">
        <v>518</v>
      </c>
      <c r="E286" s="27">
        <f t="shared" si="29"/>
        <v>45800</v>
      </c>
      <c r="F286" s="26" t="s">
        <v>29</v>
      </c>
      <c r="G286" s="26" t="str">
        <f t="shared" si="30"/>
        <v>Camila Rocha</v>
      </c>
      <c r="H286" s="26" t="s">
        <v>52</v>
      </c>
      <c r="I286" s="26" t="s">
        <v>61</v>
      </c>
      <c r="J286" s="28">
        <v>3</v>
      </c>
      <c r="K286" s="29">
        <v>199</v>
      </c>
      <c r="L286" s="29">
        <v>0</v>
      </c>
      <c r="M286" s="30">
        <f t="shared" si="32"/>
        <v>597</v>
      </c>
      <c r="N286" s="26" t="s">
        <v>32</v>
      </c>
      <c r="Q286" s="42" t="s">
        <v>556</v>
      </c>
      <c r="R286" s="42" t="s">
        <v>71</v>
      </c>
      <c r="S286" s="57">
        <f t="shared" si="31"/>
        <v>45800</v>
      </c>
      <c r="T286" s="44" t="s">
        <v>29</v>
      </c>
      <c r="U286" s="43" t="s">
        <v>52</v>
      </c>
      <c r="V286" s="42" t="s">
        <v>61</v>
      </c>
      <c r="W286" s="45">
        <v>3</v>
      </c>
      <c r="X286" s="46">
        <v>199</v>
      </c>
      <c r="Y286" s="46">
        <v>0</v>
      </c>
      <c r="Z286" s="47">
        <f t="shared" si="33"/>
        <v>597</v>
      </c>
      <c r="AA286" s="48" t="s">
        <v>32</v>
      </c>
      <c r="AB286"/>
    </row>
    <row r="287" spans="1:28" x14ac:dyDescent="0.25">
      <c r="A287" s="31" t="s">
        <v>557</v>
      </c>
      <c r="B287" s="31" t="s">
        <v>110</v>
      </c>
      <c r="C287" s="32" t="str">
        <f t="shared" si="28"/>
        <v>Fernanda Lima</v>
      </c>
      <c r="D287" s="38" t="s">
        <v>531</v>
      </c>
      <c r="E287" s="33">
        <f t="shared" si="29"/>
        <v>45754</v>
      </c>
      <c r="F287" s="32" t="s">
        <v>15</v>
      </c>
      <c r="G287" s="32" t="str">
        <f t="shared" si="30"/>
        <v>Larissa Dias</v>
      </c>
      <c r="H287" s="32" t="s">
        <v>16</v>
      </c>
      <c r="I287" s="32" t="s">
        <v>116</v>
      </c>
      <c r="J287" s="34">
        <v>5</v>
      </c>
      <c r="K287" s="35">
        <v>45</v>
      </c>
      <c r="L287" s="35">
        <v>0</v>
      </c>
      <c r="M287" s="36">
        <f t="shared" si="32"/>
        <v>225</v>
      </c>
      <c r="N287" s="32" t="s">
        <v>32</v>
      </c>
      <c r="Q287" s="49" t="s">
        <v>557</v>
      </c>
      <c r="R287" s="49" t="s">
        <v>110</v>
      </c>
      <c r="S287" s="58">
        <f t="shared" si="31"/>
        <v>45754</v>
      </c>
      <c r="T287" s="51" t="s">
        <v>15</v>
      </c>
      <c r="U287" s="50" t="s">
        <v>16</v>
      </c>
      <c r="V287" s="52" t="s">
        <v>116</v>
      </c>
      <c r="W287" s="53">
        <v>5</v>
      </c>
      <c r="X287" s="54">
        <v>45</v>
      </c>
      <c r="Y287" s="54">
        <v>0</v>
      </c>
      <c r="Z287" s="55">
        <f t="shared" si="33"/>
        <v>225</v>
      </c>
      <c r="AA287" s="56" t="s">
        <v>32</v>
      </c>
      <c r="AB287"/>
    </row>
    <row r="288" spans="1:28" x14ac:dyDescent="0.25">
      <c r="A288" s="26" t="s">
        <v>558</v>
      </c>
      <c r="B288" s="26" t="s">
        <v>71</v>
      </c>
      <c r="C288" s="26" t="str">
        <f t="shared" si="28"/>
        <v>Juliana Costa</v>
      </c>
      <c r="D288" s="37" t="s">
        <v>130</v>
      </c>
      <c r="E288" s="27">
        <f t="shared" si="29"/>
        <v>45887</v>
      </c>
      <c r="F288" s="26" t="s">
        <v>47</v>
      </c>
      <c r="G288" s="26" t="str">
        <f t="shared" si="30"/>
        <v>Bruno Martins</v>
      </c>
      <c r="H288" s="26" t="s">
        <v>16</v>
      </c>
      <c r="I288" s="26" t="s">
        <v>17</v>
      </c>
      <c r="J288" s="28">
        <v>1</v>
      </c>
      <c r="K288" s="29">
        <v>39</v>
      </c>
      <c r="L288" s="29">
        <v>0</v>
      </c>
      <c r="M288" s="30">
        <f t="shared" si="32"/>
        <v>39</v>
      </c>
      <c r="N288" s="26" t="s">
        <v>65</v>
      </c>
      <c r="Q288" s="42" t="s">
        <v>558</v>
      </c>
      <c r="R288" s="42" t="s">
        <v>71</v>
      </c>
      <c r="S288" s="57">
        <f t="shared" si="31"/>
        <v>45887</v>
      </c>
      <c r="T288" s="44" t="s">
        <v>47</v>
      </c>
      <c r="U288" s="43" t="s">
        <v>16</v>
      </c>
      <c r="V288" s="42" t="s">
        <v>17</v>
      </c>
      <c r="W288" s="45">
        <v>1</v>
      </c>
      <c r="X288" s="46">
        <v>39</v>
      </c>
      <c r="Y288" s="46">
        <v>0</v>
      </c>
      <c r="Z288" s="47">
        <f t="shared" si="33"/>
        <v>39</v>
      </c>
      <c r="AA288" s="48" t="s">
        <v>65</v>
      </c>
      <c r="AB288"/>
    </row>
    <row r="289" spans="1:28" x14ac:dyDescent="0.25">
      <c r="A289" s="31" t="s">
        <v>559</v>
      </c>
      <c r="B289" s="31" t="s">
        <v>134</v>
      </c>
      <c r="C289" s="32" t="str">
        <f t="shared" si="28"/>
        <v>Ana Souza</v>
      </c>
      <c r="D289" s="38" t="s">
        <v>560</v>
      </c>
      <c r="E289" s="33">
        <f t="shared" si="29"/>
        <v>45693</v>
      </c>
      <c r="F289" s="32" t="s">
        <v>29</v>
      </c>
      <c r="G289" s="32" t="str">
        <f t="shared" si="30"/>
        <v>Camila Rocha</v>
      </c>
      <c r="H289" s="32" t="s">
        <v>30</v>
      </c>
      <c r="I289" s="32" t="s">
        <v>106</v>
      </c>
      <c r="J289" s="34">
        <v>1</v>
      </c>
      <c r="K289" s="35">
        <v>299</v>
      </c>
      <c r="L289" s="35">
        <v>21.2</v>
      </c>
      <c r="M289" s="36">
        <f t="shared" si="32"/>
        <v>277.8</v>
      </c>
      <c r="N289" s="32" t="s">
        <v>69</v>
      </c>
      <c r="Q289" s="49" t="s">
        <v>559</v>
      </c>
      <c r="R289" s="49" t="s">
        <v>101</v>
      </c>
      <c r="S289" s="58">
        <f t="shared" si="31"/>
        <v>45693</v>
      </c>
      <c r="T289" s="51" t="s">
        <v>29</v>
      </c>
      <c r="U289" s="50" t="s">
        <v>30</v>
      </c>
      <c r="V289" s="52" t="s">
        <v>106</v>
      </c>
      <c r="W289" s="53">
        <v>1</v>
      </c>
      <c r="X289" s="54">
        <v>299</v>
      </c>
      <c r="Y289" s="54">
        <v>21.2</v>
      </c>
      <c r="Z289" s="55">
        <f t="shared" si="33"/>
        <v>277.8</v>
      </c>
      <c r="AA289" s="56" t="s">
        <v>69</v>
      </c>
      <c r="AB289"/>
    </row>
    <row r="290" spans="1:28" x14ac:dyDescent="0.25">
      <c r="A290" s="26" t="s">
        <v>561</v>
      </c>
      <c r="B290" s="26" t="s">
        <v>101</v>
      </c>
      <c r="C290" s="26" t="str">
        <f t="shared" si="28"/>
        <v>Ana Souza</v>
      </c>
      <c r="D290" s="37" t="s">
        <v>433</v>
      </c>
      <c r="E290" s="27">
        <f t="shared" si="29"/>
        <v>45738</v>
      </c>
      <c r="F290" s="26" t="s">
        <v>39</v>
      </c>
      <c r="G290" s="26" t="str">
        <f t="shared" si="30"/>
        <v>Rodrigo Mello</v>
      </c>
      <c r="H290" s="26" t="s">
        <v>16</v>
      </c>
      <c r="I290" s="26" t="s">
        <v>17</v>
      </c>
      <c r="J290" s="28">
        <v>4</v>
      </c>
      <c r="K290" s="29">
        <v>39</v>
      </c>
      <c r="L290" s="29">
        <v>0</v>
      </c>
      <c r="M290" s="30">
        <f t="shared" si="32"/>
        <v>156</v>
      </c>
      <c r="N290" s="26" t="s">
        <v>18</v>
      </c>
      <c r="Q290" s="42" t="s">
        <v>561</v>
      </c>
      <c r="R290" s="42" t="s">
        <v>101</v>
      </c>
      <c r="S290" s="57">
        <f t="shared" si="31"/>
        <v>45738</v>
      </c>
      <c r="T290" s="44" t="s">
        <v>39</v>
      </c>
      <c r="U290" s="43" t="s">
        <v>16</v>
      </c>
      <c r="V290" s="42" t="s">
        <v>17</v>
      </c>
      <c r="W290" s="45">
        <v>4</v>
      </c>
      <c r="X290" s="46">
        <v>39</v>
      </c>
      <c r="Y290" s="46">
        <v>0</v>
      </c>
      <c r="Z290" s="47">
        <f t="shared" si="33"/>
        <v>156</v>
      </c>
      <c r="AA290" s="48" t="s">
        <v>18</v>
      </c>
      <c r="AB290"/>
    </row>
    <row r="291" spans="1:28" x14ac:dyDescent="0.25">
      <c r="A291" s="31" t="s">
        <v>562</v>
      </c>
      <c r="B291" s="31" t="s">
        <v>71</v>
      </c>
      <c r="C291" s="32" t="str">
        <f t="shared" si="28"/>
        <v>Juliana Costa</v>
      </c>
      <c r="D291" s="38" t="s">
        <v>425</v>
      </c>
      <c r="E291" s="33">
        <f t="shared" si="29"/>
        <v>45751</v>
      </c>
      <c r="F291" s="32" t="s">
        <v>39</v>
      </c>
      <c r="G291" s="32" t="str">
        <f t="shared" si="30"/>
        <v>Rodrigo Mello</v>
      </c>
      <c r="H291" s="32" t="s">
        <v>30</v>
      </c>
      <c r="I291" s="32" t="s">
        <v>106</v>
      </c>
      <c r="J291" s="34">
        <v>2</v>
      </c>
      <c r="K291" s="35">
        <v>299</v>
      </c>
      <c r="L291" s="35">
        <v>0</v>
      </c>
      <c r="M291" s="36">
        <f t="shared" si="32"/>
        <v>598</v>
      </c>
      <c r="N291" s="32" t="s">
        <v>25</v>
      </c>
      <c r="Q291" s="49" t="s">
        <v>562</v>
      </c>
      <c r="R291" s="49" t="s">
        <v>71</v>
      </c>
      <c r="S291" s="58">
        <f t="shared" si="31"/>
        <v>45751</v>
      </c>
      <c r="T291" s="51" t="s">
        <v>39</v>
      </c>
      <c r="U291" s="50" t="s">
        <v>30</v>
      </c>
      <c r="V291" s="52" t="s">
        <v>106</v>
      </c>
      <c r="W291" s="53">
        <v>2</v>
      </c>
      <c r="X291" s="54">
        <v>299</v>
      </c>
      <c r="Y291" s="54">
        <v>0</v>
      </c>
      <c r="Z291" s="55">
        <f t="shared" si="33"/>
        <v>598</v>
      </c>
      <c r="AA291" s="56" t="s">
        <v>25</v>
      </c>
      <c r="AB291"/>
    </row>
    <row r="292" spans="1:28" x14ac:dyDescent="0.25">
      <c r="A292" s="26" t="s">
        <v>563</v>
      </c>
      <c r="B292" s="26" t="s">
        <v>63</v>
      </c>
      <c r="C292" s="26" t="str">
        <f t="shared" si="28"/>
        <v>Marcos Rodrigues</v>
      </c>
      <c r="D292" s="37" t="s">
        <v>564</v>
      </c>
      <c r="E292" s="27">
        <f t="shared" si="29"/>
        <v>45832</v>
      </c>
      <c r="F292" s="26" t="s">
        <v>47</v>
      </c>
      <c r="G292" s="26" t="str">
        <f t="shared" si="30"/>
        <v>Bruno Martins</v>
      </c>
      <c r="H292" s="26" t="s">
        <v>52</v>
      </c>
      <c r="I292" s="26" t="s">
        <v>75</v>
      </c>
      <c r="J292" s="28">
        <v>5</v>
      </c>
      <c r="K292" s="29">
        <v>249</v>
      </c>
      <c r="L292" s="29">
        <v>0</v>
      </c>
      <c r="M292" s="30">
        <f t="shared" si="32"/>
        <v>1245</v>
      </c>
      <c r="N292" s="26" t="s">
        <v>69</v>
      </c>
      <c r="Q292" s="42" t="s">
        <v>563</v>
      </c>
      <c r="R292" s="42" t="s">
        <v>63</v>
      </c>
      <c r="S292" s="57">
        <f t="shared" si="31"/>
        <v>45832</v>
      </c>
      <c r="T292" s="44" t="s">
        <v>47</v>
      </c>
      <c r="U292" s="43" t="s">
        <v>52</v>
      </c>
      <c r="V292" s="42" t="s">
        <v>75</v>
      </c>
      <c r="W292" s="45">
        <v>5</v>
      </c>
      <c r="X292" s="46">
        <v>249</v>
      </c>
      <c r="Y292" s="46">
        <v>0</v>
      </c>
      <c r="Z292" s="47">
        <f t="shared" si="33"/>
        <v>1245</v>
      </c>
      <c r="AA292" s="48" t="s">
        <v>69</v>
      </c>
      <c r="AB292"/>
    </row>
    <row r="293" spans="1:28" x14ac:dyDescent="0.25">
      <c r="A293" s="31" t="s">
        <v>565</v>
      </c>
      <c r="B293" s="31" t="s">
        <v>34</v>
      </c>
      <c r="C293" s="32" t="str">
        <f t="shared" si="28"/>
        <v>Carlos Silva</v>
      </c>
      <c r="D293" s="38" t="s">
        <v>566</v>
      </c>
      <c r="E293" s="33">
        <f t="shared" si="29"/>
        <v>45894</v>
      </c>
      <c r="F293" s="32" t="s">
        <v>47</v>
      </c>
      <c r="G293" s="32" t="str">
        <f t="shared" si="30"/>
        <v>Bruno Martins</v>
      </c>
      <c r="H293" s="32" t="s">
        <v>30</v>
      </c>
      <c r="I293" s="32" t="s">
        <v>68</v>
      </c>
      <c r="J293" s="34">
        <v>2</v>
      </c>
      <c r="K293" s="35">
        <v>799</v>
      </c>
      <c r="L293" s="35">
        <v>0</v>
      </c>
      <c r="M293" s="36">
        <f t="shared" si="32"/>
        <v>1598</v>
      </c>
      <c r="N293" s="32" t="s">
        <v>18</v>
      </c>
      <c r="Q293" s="49" t="s">
        <v>565</v>
      </c>
      <c r="R293" s="49" t="s">
        <v>34</v>
      </c>
      <c r="S293" s="58">
        <f t="shared" si="31"/>
        <v>45894</v>
      </c>
      <c r="T293" s="51" t="s">
        <v>47</v>
      </c>
      <c r="U293" s="50" t="s">
        <v>30</v>
      </c>
      <c r="V293" s="52" t="s">
        <v>68</v>
      </c>
      <c r="W293" s="53">
        <v>2</v>
      </c>
      <c r="X293" s="54">
        <v>799</v>
      </c>
      <c r="Y293" s="54">
        <v>0</v>
      </c>
      <c r="Z293" s="55">
        <f t="shared" si="33"/>
        <v>1598</v>
      </c>
      <c r="AA293" s="56" t="s">
        <v>18</v>
      </c>
      <c r="AB293"/>
    </row>
    <row r="294" spans="1:28" x14ac:dyDescent="0.25">
      <c r="A294" s="26" t="s">
        <v>567</v>
      </c>
      <c r="B294" s="26" t="s">
        <v>41</v>
      </c>
      <c r="C294" s="26" t="str">
        <f t="shared" si="28"/>
        <v>João Pereira</v>
      </c>
      <c r="D294" s="37" t="s">
        <v>554</v>
      </c>
      <c r="E294" s="27">
        <f t="shared" si="29"/>
        <v>45848</v>
      </c>
      <c r="F294" s="26" t="s">
        <v>29</v>
      </c>
      <c r="G294" s="26" t="str">
        <f t="shared" si="30"/>
        <v>Camila Rocha</v>
      </c>
      <c r="H294" s="26" t="s">
        <v>30</v>
      </c>
      <c r="I294" s="26" t="s">
        <v>152</v>
      </c>
      <c r="J294" s="28">
        <v>2</v>
      </c>
      <c r="K294" s="29">
        <v>4500</v>
      </c>
      <c r="L294" s="29">
        <v>0</v>
      </c>
      <c r="M294" s="30">
        <f t="shared" si="32"/>
        <v>9000</v>
      </c>
      <c r="N294" s="26" t="s">
        <v>25</v>
      </c>
      <c r="Q294" s="42" t="s">
        <v>567</v>
      </c>
      <c r="R294" s="42" t="s">
        <v>41</v>
      </c>
      <c r="S294" s="57">
        <f t="shared" si="31"/>
        <v>45848</v>
      </c>
      <c r="T294" s="44" t="s">
        <v>29</v>
      </c>
      <c r="U294" s="43" t="s">
        <v>30</v>
      </c>
      <c r="V294" s="42" t="s">
        <v>152</v>
      </c>
      <c r="W294" s="45">
        <v>2</v>
      </c>
      <c r="X294" s="46">
        <v>4500</v>
      </c>
      <c r="Y294" s="46">
        <v>0</v>
      </c>
      <c r="Z294" s="47">
        <f t="shared" si="33"/>
        <v>9000</v>
      </c>
      <c r="AA294" s="48" t="s">
        <v>25</v>
      </c>
      <c r="AB294"/>
    </row>
    <row r="295" spans="1:28" x14ac:dyDescent="0.25">
      <c r="A295" s="31" t="s">
        <v>568</v>
      </c>
      <c r="B295" s="31" t="s">
        <v>20</v>
      </c>
      <c r="C295" s="32" t="str">
        <f t="shared" si="28"/>
        <v>Beatriz Ribeiro</v>
      </c>
      <c r="D295" s="38" t="s">
        <v>535</v>
      </c>
      <c r="E295" s="33">
        <f t="shared" si="29"/>
        <v>45846</v>
      </c>
      <c r="F295" s="32" t="s">
        <v>29</v>
      </c>
      <c r="G295" s="32" t="str">
        <f t="shared" si="30"/>
        <v>Camila Rocha</v>
      </c>
      <c r="H295" s="32" t="s">
        <v>16</v>
      </c>
      <c r="I295" s="32" t="s">
        <v>103</v>
      </c>
      <c r="J295" s="34">
        <v>4</v>
      </c>
      <c r="K295" s="35">
        <v>89</v>
      </c>
      <c r="L295" s="35">
        <v>48.68</v>
      </c>
      <c r="M295" s="36">
        <f t="shared" si="32"/>
        <v>307.32</v>
      </c>
      <c r="N295" s="32" t="s">
        <v>65</v>
      </c>
      <c r="Q295" s="49" t="s">
        <v>568</v>
      </c>
      <c r="R295" s="49" t="s">
        <v>20</v>
      </c>
      <c r="S295" s="58">
        <f t="shared" si="31"/>
        <v>45846</v>
      </c>
      <c r="T295" s="51" t="s">
        <v>29</v>
      </c>
      <c r="U295" s="50" t="s">
        <v>16</v>
      </c>
      <c r="V295" s="52" t="s">
        <v>103</v>
      </c>
      <c r="W295" s="53">
        <v>4</v>
      </c>
      <c r="X295" s="54">
        <v>89</v>
      </c>
      <c r="Y295" s="54">
        <v>48.68</v>
      </c>
      <c r="Z295" s="55">
        <f t="shared" si="33"/>
        <v>307.32</v>
      </c>
      <c r="AA295" s="56" t="s">
        <v>65</v>
      </c>
      <c r="AB295"/>
    </row>
    <row r="296" spans="1:28" x14ac:dyDescent="0.25">
      <c r="A296" s="26" t="s">
        <v>569</v>
      </c>
      <c r="B296" s="26" t="s">
        <v>277</v>
      </c>
      <c r="C296" s="26" t="str">
        <f t="shared" si="28"/>
        <v>Carlos Silva</v>
      </c>
      <c r="D296" s="37" t="s">
        <v>437</v>
      </c>
      <c r="E296" s="27">
        <f t="shared" si="29"/>
        <v>45914</v>
      </c>
      <c r="F296" s="26" t="s">
        <v>15</v>
      </c>
      <c r="G296" s="26" t="str">
        <f t="shared" si="30"/>
        <v>Larissa Dias</v>
      </c>
      <c r="H296" s="26" t="s">
        <v>23</v>
      </c>
      <c r="I296" s="26" t="s">
        <v>48</v>
      </c>
      <c r="J296" s="28">
        <v>2</v>
      </c>
      <c r="K296" s="29">
        <v>450</v>
      </c>
      <c r="L296" s="29">
        <v>0</v>
      </c>
      <c r="M296" s="30">
        <f t="shared" si="32"/>
        <v>900</v>
      </c>
      <c r="N296" s="26" t="s">
        <v>69</v>
      </c>
      <c r="Q296" s="42" t="s">
        <v>569</v>
      </c>
      <c r="R296" s="42" t="s">
        <v>34</v>
      </c>
      <c r="S296" s="57">
        <f t="shared" si="31"/>
        <v>45914</v>
      </c>
      <c r="T296" s="44" t="s">
        <v>15</v>
      </c>
      <c r="U296" s="43" t="s">
        <v>23</v>
      </c>
      <c r="V296" s="42" t="s">
        <v>48</v>
      </c>
      <c r="W296" s="45">
        <v>2</v>
      </c>
      <c r="X296" s="46">
        <v>450</v>
      </c>
      <c r="Y296" s="46">
        <v>0</v>
      </c>
      <c r="Z296" s="47">
        <f t="shared" si="33"/>
        <v>900</v>
      </c>
      <c r="AA296" s="48" t="s">
        <v>69</v>
      </c>
      <c r="AB296"/>
    </row>
    <row r="297" spans="1:28" x14ac:dyDescent="0.25">
      <c r="A297" s="31" t="s">
        <v>570</v>
      </c>
      <c r="B297" s="31" t="s">
        <v>55</v>
      </c>
      <c r="C297" s="32" t="str">
        <f t="shared" si="28"/>
        <v>Ricardo Carvalho</v>
      </c>
      <c r="D297" s="38" t="s">
        <v>501</v>
      </c>
      <c r="E297" s="33">
        <f t="shared" si="29"/>
        <v>45671</v>
      </c>
      <c r="F297" s="32" t="s">
        <v>22</v>
      </c>
      <c r="G297" s="32" t="str">
        <f t="shared" si="30"/>
        <v>Amanda Costa</v>
      </c>
      <c r="H297" s="32" t="s">
        <v>16</v>
      </c>
      <c r="I297" s="32" t="s">
        <v>17</v>
      </c>
      <c r="J297" s="34">
        <v>1</v>
      </c>
      <c r="K297" s="35">
        <v>39</v>
      </c>
      <c r="L297" s="35">
        <v>0</v>
      </c>
      <c r="M297" s="36">
        <f t="shared" si="32"/>
        <v>39</v>
      </c>
      <c r="N297" s="32" t="s">
        <v>69</v>
      </c>
      <c r="Q297" s="49" t="s">
        <v>570</v>
      </c>
      <c r="R297" s="49" t="s">
        <v>55</v>
      </c>
      <c r="S297" s="58">
        <f t="shared" si="31"/>
        <v>45671</v>
      </c>
      <c r="T297" s="51" t="s">
        <v>22</v>
      </c>
      <c r="U297" s="50" t="s">
        <v>16</v>
      </c>
      <c r="V297" s="52" t="s">
        <v>17</v>
      </c>
      <c r="W297" s="53">
        <v>1</v>
      </c>
      <c r="X297" s="54">
        <v>39</v>
      </c>
      <c r="Y297" s="54">
        <v>0</v>
      </c>
      <c r="Z297" s="55">
        <f t="shared" si="33"/>
        <v>39</v>
      </c>
      <c r="AA297" s="56" t="s">
        <v>69</v>
      </c>
      <c r="AB297"/>
    </row>
    <row r="298" spans="1:28" x14ac:dyDescent="0.25">
      <c r="A298" s="26" t="s">
        <v>571</v>
      </c>
      <c r="B298" s="26" t="s">
        <v>27</v>
      </c>
      <c r="C298" s="26" t="str">
        <f t="shared" si="28"/>
        <v>Roberto Santos</v>
      </c>
      <c r="D298" s="37" t="s">
        <v>545</v>
      </c>
      <c r="E298" s="27">
        <f t="shared" si="29"/>
        <v>45911</v>
      </c>
      <c r="F298" s="26" t="s">
        <v>39</v>
      </c>
      <c r="G298" s="26" t="str">
        <f t="shared" si="30"/>
        <v>Rodrigo Mello</v>
      </c>
      <c r="H298" s="26" t="s">
        <v>52</v>
      </c>
      <c r="I298" s="26" t="s">
        <v>99</v>
      </c>
      <c r="J298" s="28">
        <v>4</v>
      </c>
      <c r="K298" s="29">
        <v>79</v>
      </c>
      <c r="L298" s="29">
        <v>29.74</v>
      </c>
      <c r="M298" s="30">
        <f t="shared" si="32"/>
        <v>286.26</v>
      </c>
      <c r="N298" s="26" t="s">
        <v>49</v>
      </c>
      <c r="Q298" s="42" t="s">
        <v>571</v>
      </c>
      <c r="R298" s="42" t="s">
        <v>27</v>
      </c>
      <c r="S298" s="57">
        <f t="shared" si="31"/>
        <v>45911</v>
      </c>
      <c r="T298" s="44" t="s">
        <v>39</v>
      </c>
      <c r="U298" s="43" t="s">
        <v>52</v>
      </c>
      <c r="V298" s="42" t="s">
        <v>99</v>
      </c>
      <c r="W298" s="45">
        <v>4</v>
      </c>
      <c r="X298" s="46">
        <v>79</v>
      </c>
      <c r="Y298" s="46">
        <v>29.74</v>
      </c>
      <c r="Z298" s="47">
        <f t="shared" si="33"/>
        <v>286.26</v>
      </c>
      <c r="AA298" s="48" t="s">
        <v>49</v>
      </c>
      <c r="AB298"/>
    </row>
    <row r="299" spans="1:28" x14ac:dyDescent="0.25">
      <c r="A299" s="31" t="s">
        <v>572</v>
      </c>
      <c r="B299" s="31" t="s">
        <v>37</v>
      </c>
      <c r="C299" s="32" t="str">
        <f t="shared" si="28"/>
        <v>Patricia Gomes</v>
      </c>
      <c r="D299" s="38" t="s">
        <v>146</v>
      </c>
      <c r="E299" s="33">
        <f t="shared" si="29"/>
        <v>45857</v>
      </c>
      <c r="F299" s="32" t="s">
        <v>22</v>
      </c>
      <c r="G299" s="32" t="str">
        <f t="shared" si="30"/>
        <v>Amanda Costa</v>
      </c>
      <c r="H299" s="32" t="s">
        <v>30</v>
      </c>
      <c r="I299" s="32" t="s">
        <v>68</v>
      </c>
      <c r="J299" s="34">
        <v>5</v>
      </c>
      <c r="K299" s="35">
        <v>799</v>
      </c>
      <c r="L299" s="35">
        <v>544.66999999999996</v>
      </c>
      <c r="M299" s="36">
        <f t="shared" si="32"/>
        <v>3450.33</v>
      </c>
      <c r="N299" s="32" t="s">
        <v>18</v>
      </c>
      <c r="Q299" s="49" t="s">
        <v>572</v>
      </c>
      <c r="R299" s="49" t="s">
        <v>37</v>
      </c>
      <c r="S299" s="58">
        <f t="shared" si="31"/>
        <v>45857</v>
      </c>
      <c r="T299" s="51" t="s">
        <v>22</v>
      </c>
      <c r="U299" s="50" t="s">
        <v>30</v>
      </c>
      <c r="V299" s="52" t="s">
        <v>68</v>
      </c>
      <c r="W299" s="53">
        <v>5</v>
      </c>
      <c r="X299" s="54">
        <v>799</v>
      </c>
      <c r="Y299" s="54">
        <v>544.66999999999996</v>
      </c>
      <c r="Z299" s="55">
        <f t="shared" si="33"/>
        <v>3450.33</v>
      </c>
      <c r="AA299" s="56" t="s">
        <v>18</v>
      </c>
      <c r="AB299"/>
    </row>
    <row r="300" spans="1:28" x14ac:dyDescent="0.25">
      <c r="A300" s="26" t="s">
        <v>573</v>
      </c>
      <c r="B300" s="26" t="s">
        <v>27</v>
      </c>
      <c r="C300" s="26" t="str">
        <f t="shared" si="28"/>
        <v>Roberto Santos</v>
      </c>
      <c r="D300" s="37" t="s">
        <v>456</v>
      </c>
      <c r="E300" s="27">
        <f t="shared" si="29"/>
        <v>45983</v>
      </c>
      <c r="F300" s="26" t="s">
        <v>47</v>
      </c>
      <c r="G300" s="26" t="str">
        <f t="shared" si="30"/>
        <v>Bruno Martins</v>
      </c>
      <c r="H300" s="26" t="s">
        <v>23</v>
      </c>
      <c r="I300" s="26" t="s">
        <v>43</v>
      </c>
      <c r="J300" s="28">
        <v>3</v>
      </c>
      <c r="K300" s="29">
        <v>350</v>
      </c>
      <c r="L300" s="29">
        <v>0</v>
      </c>
      <c r="M300" s="30">
        <f t="shared" si="32"/>
        <v>1050</v>
      </c>
      <c r="N300" s="26" t="s">
        <v>32</v>
      </c>
      <c r="Q300" s="42" t="s">
        <v>573</v>
      </c>
      <c r="R300" s="42" t="s">
        <v>27</v>
      </c>
      <c r="S300" s="57">
        <f t="shared" si="31"/>
        <v>45983</v>
      </c>
      <c r="T300" s="44" t="s">
        <v>47</v>
      </c>
      <c r="U300" s="43" t="s">
        <v>23</v>
      </c>
      <c r="V300" s="42" t="s">
        <v>43</v>
      </c>
      <c r="W300" s="45">
        <v>3</v>
      </c>
      <c r="X300" s="46">
        <v>350</v>
      </c>
      <c r="Y300" s="46">
        <v>0</v>
      </c>
      <c r="Z300" s="47">
        <f t="shared" si="33"/>
        <v>1050</v>
      </c>
      <c r="AA300" s="48" t="s">
        <v>32</v>
      </c>
      <c r="AB300"/>
    </row>
    <row r="301" spans="1:28" x14ac:dyDescent="0.25">
      <c r="A301" s="31" t="s">
        <v>574</v>
      </c>
      <c r="B301" s="31" t="s">
        <v>71</v>
      </c>
      <c r="C301" s="32" t="str">
        <f t="shared" si="28"/>
        <v>Juliana Costa</v>
      </c>
      <c r="D301" s="38" t="s">
        <v>273</v>
      </c>
      <c r="E301" s="33">
        <f t="shared" si="29"/>
        <v>45777</v>
      </c>
      <c r="F301" s="32" t="s">
        <v>47</v>
      </c>
      <c r="G301" s="32" t="str">
        <f t="shared" si="30"/>
        <v>Bruno Martins</v>
      </c>
      <c r="H301" s="32" t="s">
        <v>52</v>
      </c>
      <c r="I301" s="32" t="s">
        <v>99</v>
      </c>
      <c r="J301" s="34">
        <v>3</v>
      </c>
      <c r="K301" s="35">
        <v>79</v>
      </c>
      <c r="L301" s="35">
        <v>0</v>
      </c>
      <c r="M301" s="36">
        <f t="shared" si="32"/>
        <v>237</v>
      </c>
      <c r="N301" s="32" t="s">
        <v>49</v>
      </c>
      <c r="Q301" s="49" t="s">
        <v>574</v>
      </c>
      <c r="R301" s="49" t="s">
        <v>71</v>
      </c>
      <c r="S301" s="58">
        <f t="shared" si="31"/>
        <v>45777</v>
      </c>
      <c r="T301" s="51" t="s">
        <v>47</v>
      </c>
      <c r="U301" s="50" t="s">
        <v>52</v>
      </c>
      <c r="V301" s="52" t="s">
        <v>99</v>
      </c>
      <c r="W301" s="53">
        <v>3</v>
      </c>
      <c r="X301" s="54">
        <v>79</v>
      </c>
      <c r="Y301" s="54">
        <v>0</v>
      </c>
      <c r="Z301" s="55">
        <f t="shared" si="33"/>
        <v>237</v>
      </c>
      <c r="AA301" s="56" t="s">
        <v>49</v>
      </c>
      <c r="AB301"/>
    </row>
    <row r="302" spans="1:28" x14ac:dyDescent="0.25">
      <c r="A302" s="26" t="s">
        <v>575</v>
      </c>
      <c r="B302" s="26" t="s">
        <v>95</v>
      </c>
      <c r="C302" s="26" t="str">
        <f t="shared" si="28"/>
        <v>Maria Oliveira</v>
      </c>
      <c r="D302" s="37" t="s">
        <v>286</v>
      </c>
      <c r="E302" s="27">
        <f t="shared" si="29"/>
        <v>45712</v>
      </c>
      <c r="F302" s="26" t="s">
        <v>47</v>
      </c>
      <c r="G302" s="26" t="str">
        <f t="shared" si="30"/>
        <v>Bruno Martins</v>
      </c>
      <c r="H302" s="26" t="s">
        <v>30</v>
      </c>
      <c r="I302" s="26" t="s">
        <v>31</v>
      </c>
      <c r="J302" s="28">
        <v>5</v>
      </c>
      <c r="K302" s="29">
        <v>2500</v>
      </c>
      <c r="L302" s="29">
        <v>0</v>
      </c>
      <c r="M302" s="30">
        <f t="shared" si="32"/>
        <v>12500</v>
      </c>
      <c r="N302" s="26" t="s">
        <v>44</v>
      </c>
      <c r="Q302" s="42" t="s">
        <v>575</v>
      </c>
      <c r="R302" s="42" t="s">
        <v>95</v>
      </c>
      <c r="S302" s="57">
        <f t="shared" si="31"/>
        <v>45712</v>
      </c>
      <c r="T302" s="44" t="s">
        <v>47</v>
      </c>
      <c r="U302" s="43" t="s">
        <v>30</v>
      </c>
      <c r="V302" s="42" t="s">
        <v>31</v>
      </c>
      <c r="W302" s="45">
        <v>5</v>
      </c>
      <c r="X302" s="46">
        <v>2500</v>
      </c>
      <c r="Y302" s="46">
        <v>0</v>
      </c>
      <c r="Z302" s="47">
        <f t="shared" si="33"/>
        <v>12500</v>
      </c>
      <c r="AA302" s="48" t="s">
        <v>44</v>
      </c>
      <c r="AB302"/>
    </row>
    <row r="303" spans="1:28" x14ac:dyDescent="0.25">
      <c r="A303" s="31" t="s">
        <v>576</v>
      </c>
      <c r="B303" s="31" t="s">
        <v>134</v>
      </c>
      <c r="C303" s="32" t="str">
        <f t="shared" si="28"/>
        <v>Ana Souza</v>
      </c>
      <c r="D303" s="38" t="s">
        <v>211</v>
      </c>
      <c r="E303" s="33">
        <f t="shared" si="29"/>
        <v>45919</v>
      </c>
      <c r="F303" s="32" t="s">
        <v>15</v>
      </c>
      <c r="G303" s="32" t="str">
        <f t="shared" si="30"/>
        <v>Larissa Dias</v>
      </c>
      <c r="H303" s="32" t="s">
        <v>23</v>
      </c>
      <c r="I303" s="32" t="s">
        <v>88</v>
      </c>
      <c r="J303" s="34">
        <v>1</v>
      </c>
      <c r="K303" s="35">
        <v>650</v>
      </c>
      <c r="L303" s="35">
        <v>0</v>
      </c>
      <c r="M303" s="36">
        <f t="shared" si="32"/>
        <v>650</v>
      </c>
      <c r="N303" s="32" t="s">
        <v>49</v>
      </c>
      <c r="Q303" s="49" t="s">
        <v>576</v>
      </c>
      <c r="R303" s="49" t="s">
        <v>101</v>
      </c>
      <c r="S303" s="58">
        <f t="shared" si="31"/>
        <v>45919</v>
      </c>
      <c r="T303" s="51" t="s">
        <v>15</v>
      </c>
      <c r="U303" s="50" t="s">
        <v>23</v>
      </c>
      <c r="V303" s="52" t="s">
        <v>88</v>
      </c>
      <c r="W303" s="53">
        <v>1</v>
      </c>
      <c r="X303" s="54">
        <v>650</v>
      </c>
      <c r="Y303" s="54">
        <v>0</v>
      </c>
      <c r="Z303" s="55">
        <f t="shared" si="33"/>
        <v>650</v>
      </c>
      <c r="AA303" s="56" t="s">
        <v>49</v>
      </c>
      <c r="AB303"/>
    </row>
    <row r="304" spans="1:28" x14ac:dyDescent="0.25">
      <c r="A304" s="26" t="s">
        <v>577</v>
      </c>
      <c r="B304" s="26" t="s">
        <v>27</v>
      </c>
      <c r="C304" s="26" t="str">
        <f t="shared" si="28"/>
        <v>Roberto Santos</v>
      </c>
      <c r="D304" s="37" t="s">
        <v>560</v>
      </c>
      <c r="E304" s="27">
        <f t="shared" si="29"/>
        <v>45693</v>
      </c>
      <c r="F304" s="26" t="s">
        <v>15</v>
      </c>
      <c r="G304" s="26" t="str">
        <f t="shared" si="30"/>
        <v>Larissa Dias</v>
      </c>
      <c r="H304" s="26" t="s">
        <v>52</v>
      </c>
      <c r="I304" s="26" t="s">
        <v>61</v>
      </c>
      <c r="J304" s="28">
        <v>1</v>
      </c>
      <c r="K304" s="29">
        <v>199</v>
      </c>
      <c r="L304" s="29">
        <v>0</v>
      </c>
      <c r="M304" s="30">
        <f t="shared" si="32"/>
        <v>199</v>
      </c>
      <c r="N304" s="26" t="s">
        <v>44</v>
      </c>
      <c r="Q304" s="42" t="s">
        <v>577</v>
      </c>
      <c r="R304" s="42" t="s">
        <v>27</v>
      </c>
      <c r="S304" s="57">
        <f t="shared" si="31"/>
        <v>45693</v>
      </c>
      <c r="T304" s="44" t="s">
        <v>15</v>
      </c>
      <c r="U304" s="43" t="s">
        <v>52</v>
      </c>
      <c r="V304" s="42" t="s">
        <v>61</v>
      </c>
      <c r="W304" s="45">
        <v>1</v>
      </c>
      <c r="X304" s="46">
        <v>199</v>
      </c>
      <c r="Y304" s="46">
        <v>0</v>
      </c>
      <c r="Z304" s="47">
        <f t="shared" si="33"/>
        <v>199</v>
      </c>
      <c r="AA304" s="48" t="s">
        <v>44</v>
      </c>
      <c r="AB304"/>
    </row>
    <row r="305" spans="1:28" x14ac:dyDescent="0.25">
      <c r="A305" s="31" t="s">
        <v>578</v>
      </c>
      <c r="B305" s="31" t="s">
        <v>41</v>
      </c>
      <c r="C305" s="32" t="str">
        <f t="shared" si="28"/>
        <v>João Pereira</v>
      </c>
      <c r="D305" s="38" t="s">
        <v>579</v>
      </c>
      <c r="E305" s="33">
        <f t="shared" si="29"/>
        <v>45909</v>
      </c>
      <c r="F305" s="32" t="s">
        <v>47</v>
      </c>
      <c r="G305" s="32" t="str">
        <f t="shared" si="30"/>
        <v>Bruno Martins</v>
      </c>
      <c r="H305" s="32" t="s">
        <v>16</v>
      </c>
      <c r="I305" s="32" t="s">
        <v>116</v>
      </c>
      <c r="J305" s="34">
        <v>1</v>
      </c>
      <c r="K305" s="35">
        <v>45</v>
      </c>
      <c r="L305" s="35">
        <v>0</v>
      </c>
      <c r="M305" s="36">
        <f t="shared" si="32"/>
        <v>45</v>
      </c>
      <c r="N305" s="32" t="s">
        <v>89</v>
      </c>
      <c r="Q305" s="49" t="s">
        <v>578</v>
      </c>
      <c r="R305" s="49" t="s">
        <v>41</v>
      </c>
      <c r="S305" s="58">
        <f t="shared" si="31"/>
        <v>45909</v>
      </c>
      <c r="T305" s="51" t="s">
        <v>47</v>
      </c>
      <c r="U305" s="50" t="s">
        <v>16</v>
      </c>
      <c r="V305" s="52" t="s">
        <v>116</v>
      </c>
      <c r="W305" s="53">
        <v>1</v>
      </c>
      <c r="X305" s="54">
        <v>45</v>
      </c>
      <c r="Y305" s="54">
        <v>0</v>
      </c>
      <c r="Z305" s="55">
        <f t="shared" si="33"/>
        <v>45</v>
      </c>
      <c r="AA305" s="56" t="s">
        <v>89</v>
      </c>
      <c r="AB305"/>
    </row>
    <row r="306" spans="1:28" x14ac:dyDescent="0.25">
      <c r="A306" s="26" t="s">
        <v>580</v>
      </c>
      <c r="B306" s="26" t="s">
        <v>63</v>
      </c>
      <c r="C306" s="26" t="str">
        <f t="shared" si="28"/>
        <v>Marcos Rodrigues</v>
      </c>
      <c r="D306" s="37" t="s">
        <v>243</v>
      </c>
      <c r="E306" s="27">
        <f t="shared" si="29"/>
        <v>45880</v>
      </c>
      <c r="F306" s="26" t="s">
        <v>47</v>
      </c>
      <c r="G306" s="26" t="str">
        <f t="shared" si="30"/>
        <v>Bruno Martins</v>
      </c>
      <c r="H306" s="26" t="s">
        <v>52</v>
      </c>
      <c r="I306" s="26" t="s">
        <v>75</v>
      </c>
      <c r="J306" s="28">
        <v>1</v>
      </c>
      <c r="K306" s="29">
        <v>249</v>
      </c>
      <c r="L306" s="29">
        <v>19.440000000000001</v>
      </c>
      <c r="M306" s="30">
        <f t="shared" si="32"/>
        <v>229.56</v>
      </c>
      <c r="N306" s="26" t="s">
        <v>44</v>
      </c>
      <c r="Q306" s="42" t="s">
        <v>580</v>
      </c>
      <c r="R306" s="42" t="s">
        <v>63</v>
      </c>
      <c r="S306" s="57">
        <f t="shared" si="31"/>
        <v>45880</v>
      </c>
      <c r="T306" s="44" t="s">
        <v>47</v>
      </c>
      <c r="U306" s="43" t="s">
        <v>52</v>
      </c>
      <c r="V306" s="42" t="s">
        <v>75</v>
      </c>
      <c r="W306" s="45">
        <v>1</v>
      </c>
      <c r="X306" s="46">
        <v>249</v>
      </c>
      <c r="Y306" s="46">
        <v>19.440000000000001</v>
      </c>
      <c r="Z306" s="47">
        <f t="shared" si="33"/>
        <v>229.56</v>
      </c>
      <c r="AA306" s="48" t="s">
        <v>44</v>
      </c>
      <c r="AB306"/>
    </row>
    <row r="307" spans="1:28" x14ac:dyDescent="0.25">
      <c r="A307" s="31" t="s">
        <v>581</v>
      </c>
      <c r="B307" s="31" t="s">
        <v>110</v>
      </c>
      <c r="C307" s="32" t="str">
        <f t="shared" si="28"/>
        <v>Fernanda Lima</v>
      </c>
      <c r="D307" s="38" t="s">
        <v>200</v>
      </c>
      <c r="E307" s="33">
        <f t="shared" si="29"/>
        <v>45870</v>
      </c>
      <c r="F307" s="32" t="s">
        <v>22</v>
      </c>
      <c r="G307" s="32" t="str">
        <f t="shared" si="30"/>
        <v>Amanda Costa</v>
      </c>
      <c r="H307" s="32" t="s">
        <v>23</v>
      </c>
      <c r="I307" s="32" t="s">
        <v>43</v>
      </c>
      <c r="J307" s="34">
        <v>4</v>
      </c>
      <c r="K307" s="35">
        <v>350</v>
      </c>
      <c r="L307" s="35">
        <v>0</v>
      </c>
      <c r="M307" s="36">
        <f t="shared" si="32"/>
        <v>1400</v>
      </c>
      <c r="N307" s="32" t="s">
        <v>25</v>
      </c>
      <c r="Q307" s="49" t="s">
        <v>581</v>
      </c>
      <c r="R307" s="49" t="s">
        <v>110</v>
      </c>
      <c r="S307" s="58">
        <f t="shared" si="31"/>
        <v>45870</v>
      </c>
      <c r="T307" s="51" t="s">
        <v>22</v>
      </c>
      <c r="U307" s="50" t="s">
        <v>23</v>
      </c>
      <c r="V307" s="52" t="s">
        <v>43</v>
      </c>
      <c r="W307" s="53">
        <v>4</v>
      </c>
      <c r="X307" s="54">
        <v>350</v>
      </c>
      <c r="Y307" s="54">
        <v>0</v>
      </c>
      <c r="Z307" s="55">
        <f t="shared" si="33"/>
        <v>1400</v>
      </c>
      <c r="AA307" s="56" t="s">
        <v>25</v>
      </c>
      <c r="AB307"/>
    </row>
    <row r="308" spans="1:28" x14ac:dyDescent="0.25">
      <c r="A308" s="26" t="s">
        <v>582</v>
      </c>
      <c r="B308" s="26" t="s">
        <v>27</v>
      </c>
      <c r="C308" s="26" t="str">
        <f t="shared" si="28"/>
        <v>Roberto Santos</v>
      </c>
      <c r="D308" s="37" t="s">
        <v>178</v>
      </c>
      <c r="E308" s="27">
        <f t="shared" si="29"/>
        <v>45941</v>
      </c>
      <c r="F308" s="26" t="s">
        <v>22</v>
      </c>
      <c r="G308" s="26" t="str">
        <f t="shared" si="30"/>
        <v>Amanda Costa</v>
      </c>
      <c r="H308" s="26" t="s">
        <v>52</v>
      </c>
      <c r="I308" s="26" t="s">
        <v>61</v>
      </c>
      <c r="J308" s="28">
        <v>4</v>
      </c>
      <c r="K308" s="29">
        <v>199</v>
      </c>
      <c r="L308" s="29">
        <v>65.75</v>
      </c>
      <c r="M308" s="30">
        <f t="shared" si="32"/>
        <v>730.25</v>
      </c>
      <c r="N308" s="26" t="s">
        <v>65</v>
      </c>
      <c r="Q308" s="42" t="s">
        <v>582</v>
      </c>
      <c r="R308" s="42" t="s">
        <v>27</v>
      </c>
      <c r="S308" s="57">
        <f t="shared" si="31"/>
        <v>45941</v>
      </c>
      <c r="T308" s="44" t="s">
        <v>22</v>
      </c>
      <c r="U308" s="43" t="s">
        <v>52</v>
      </c>
      <c r="V308" s="42" t="s">
        <v>61</v>
      </c>
      <c r="W308" s="45">
        <v>4</v>
      </c>
      <c r="X308" s="46">
        <v>199</v>
      </c>
      <c r="Y308" s="46">
        <v>65.75</v>
      </c>
      <c r="Z308" s="47">
        <f t="shared" si="33"/>
        <v>730.25</v>
      </c>
      <c r="AA308" s="48" t="s">
        <v>65</v>
      </c>
      <c r="AB308"/>
    </row>
    <row r="309" spans="1:28" x14ac:dyDescent="0.25">
      <c r="A309" s="31" t="s">
        <v>583</v>
      </c>
      <c r="B309" s="31" t="s">
        <v>63</v>
      </c>
      <c r="C309" s="32" t="str">
        <f t="shared" si="28"/>
        <v>Marcos Rodrigues</v>
      </c>
      <c r="D309" s="38" t="s">
        <v>355</v>
      </c>
      <c r="E309" s="33">
        <f t="shared" si="29"/>
        <v>45895</v>
      </c>
      <c r="F309" s="32" t="s">
        <v>39</v>
      </c>
      <c r="G309" s="32" t="str">
        <f t="shared" si="30"/>
        <v>Rodrigo Mello</v>
      </c>
      <c r="H309" s="32" t="s">
        <v>23</v>
      </c>
      <c r="I309" s="32" t="s">
        <v>88</v>
      </c>
      <c r="J309" s="34">
        <v>4</v>
      </c>
      <c r="K309" s="35">
        <v>650</v>
      </c>
      <c r="L309" s="35">
        <v>0</v>
      </c>
      <c r="M309" s="36">
        <f t="shared" si="32"/>
        <v>2600</v>
      </c>
      <c r="N309" s="32" t="s">
        <v>18</v>
      </c>
      <c r="Q309" s="49" t="s">
        <v>583</v>
      </c>
      <c r="R309" s="49" t="s">
        <v>63</v>
      </c>
      <c r="S309" s="58">
        <f t="shared" si="31"/>
        <v>45895</v>
      </c>
      <c r="T309" s="51" t="s">
        <v>39</v>
      </c>
      <c r="U309" s="50" t="s">
        <v>23</v>
      </c>
      <c r="V309" s="52" t="s">
        <v>88</v>
      </c>
      <c r="W309" s="53">
        <v>4</v>
      </c>
      <c r="X309" s="54">
        <v>650</v>
      </c>
      <c r="Y309" s="54">
        <v>0</v>
      </c>
      <c r="Z309" s="55">
        <f t="shared" si="33"/>
        <v>2600</v>
      </c>
      <c r="AA309" s="56" t="s">
        <v>18</v>
      </c>
      <c r="AB309"/>
    </row>
    <row r="310" spans="1:28" x14ac:dyDescent="0.25">
      <c r="A310" s="26" t="s">
        <v>584</v>
      </c>
      <c r="B310" s="26" t="s">
        <v>71</v>
      </c>
      <c r="C310" s="26" t="str">
        <f t="shared" si="28"/>
        <v>Juliana Costa</v>
      </c>
      <c r="D310" s="37" t="s">
        <v>46</v>
      </c>
      <c r="E310" s="27">
        <f t="shared" si="29"/>
        <v>45723</v>
      </c>
      <c r="F310" s="26" t="s">
        <v>47</v>
      </c>
      <c r="G310" s="26" t="str">
        <f t="shared" si="30"/>
        <v>Bruno Martins</v>
      </c>
      <c r="H310" s="26" t="s">
        <v>23</v>
      </c>
      <c r="I310" s="26" t="s">
        <v>43</v>
      </c>
      <c r="J310" s="28">
        <v>5</v>
      </c>
      <c r="K310" s="29">
        <v>350</v>
      </c>
      <c r="L310" s="29">
        <v>0</v>
      </c>
      <c r="M310" s="30">
        <f t="shared" si="32"/>
        <v>1750</v>
      </c>
      <c r="N310" s="26" t="s">
        <v>65</v>
      </c>
      <c r="Q310" s="42" t="s">
        <v>584</v>
      </c>
      <c r="R310" s="42" t="s">
        <v>71</v>
      </c>
      <c r="S310" s="57">
        <f t="shared" si="31"/>
        <v>45723</v>
      </c>
      <c r="T310" s="44" t="s">
        <v>47</v>
      </c>
      <c r="U310" s="43" t="s">
        <v>23</v>
      </c>
      <c r="V310" s="42" t="s">
        <v>43</v>
      </c>
      <c r="W310" s="45">
        <v>5</v>
      </c>
      <c r="X310" s="46">
        <v>350</v>
      </c>
      <c r="Y310" s="46">
        <v>0</v>
      </c>
      <c r="Z310" s="47">
        <f t="shared" si="33"/>
        <v>1750</v>
      </c>
      <c r="AA310" s="48" t="s">
        <v>65</v>
      </c>
      <c r="AB310"/>
    </row>
    <row r="311" spans="1:28" x14ac:dyDescent="0.25">
      <c r="A311" s="31" t="s">
        <v>585</v>
      </c>
      <c r="B311" s="31" t="s">
        <v>37</v>
      </c>
      <c r="C311" s="32" t="str">
        <f t="shared" si="28"/>
        <v>Patricia Gomes</v>
      </c>
      <c r="D311" s="38" t="s">
        <v>586</v>
      </c>
      <c r="E311" s="33">
        <f t="shared" si="29"/>
        <v>45821</v>
      </c>
      <c r="F311" s="32" t="s">
        <v>39</v>
      </c>
      <c r="G311" s="32" t="str">
        <f t="shared" si="30"/>
        <v>Rodrigo Mello</v>
      </c>
      <c r="H311" s="32" t="s">
        <v>52</v>
      </c>
      <c r="I311" s="32" t="s">
        <v>99</v>
      </c>
      <c r="J311" s="34">
        <v>4</v>
      </c>
      <c r="K311" s="35">
        <v>79</v>
      </c>
      <c r="L311" s="35">
        <v>33.67</v>
      </c>
      <c r="M311" s="36">
        <f t="shared" si="32"/>
        <v>282.33</v>
      </c>
      <c r="N311" s="32" t="s">
        <v>32</v>
      </c>
      <c r="Q311" s="49" t="s">
        <v>585</v>
      </c>
      <c r="R311" s="49" t="s">
        <v>37</v>
      </c>
      <c r="S311" s="58">
        <f t="shared" si="31"/>
        <v>45821</v>
      </c>
      <c r="T311" s="51" t="s">
        <v>39</v>
      </c>
      <c r="U311" s="50" t="s">
        <v>52</v>
      </c>
      <c r="V311" s="52" t="s">
        <v>99</v>
      </c>
      <c r="W311" s="53">
        <v>4</v>
      </c>
      <c r="X311" s="54">
        <v>79</v>
      </c>
      <c r="Y311" s="54">
        <v>33.67</v>
      </c>
      <c r="Z311" s="55">
        <f t="shared" si="33"/>
        <v>282.33</v>
      </c>
      <c r="AA311" s="56" t="s">
        <v>32</v>
      </c>
      <c r="AB311"/>
    </row>
    <row r="312" spans="1:28" x14ac:dyDescent="0.25">
      <c r="A312" s="26" t="s">
        <v>587</v>
      </c>
      <c r="B312" s="26" t="s">
        <v>13</v>
      </c>
      <c r="C312" s="26" t="str">
        <f t="shared" si="28"/>
        <v>Lucas Almeida</v>
      </c>
      <c r="D312" s="37" t="s">
        <v>186</v>
      </c>
      <c r="E312" s="27">
        <f t="shared" si="29"/>
        <v>45792</v>
      </c>
      <c r="F312" s="26" t="s">
        <v>22</v>
      </c>
      <c r="G312" s="26" t="str">
        <f t="shared" si="30"/>
        <v>Amanda Costa</v>
      </c>
      <c r="H312" s="26" t="s">
        <v>52</v>
      </c>
      <c r="I312" s="26" t="s">
        <v>53</v>
      </c>
      <c r="J312" s="28">
        <v>2</v>
      </c>
      <c r="K312" s="29">
        <v>149</v>
      </c>
      <c r="L312" s="29">
        <v>17.98</v>
      </c>
      <c r="M312" s="30">
        <f t="shared" si="32"/>
        <v>280.02</v>
      </c>
      <c r="N312" s="26" t="s">
        <v>89</v>
      </c>
      <c r="Q312" s="42" t="s">
        <v>587</v>
      </c>
      <c r="R312" s="42" t="s">
        <v>13</v>
      </c>
      <c r="S312" s="57">
        <f t="shared" si="31"/>
        <v>45792</v>
      </c>
      <c r="T312" s="44" t="s">
        <v>22</v>
      </c>
      <c r="U312" s="43" t="s">
        <v>52</v>
      </c>
      <c r="V312" s="42" t="s">
        <v>53</v>
      </c>
      <c r="W312" s="45">
        <v>2</v>
      </c>
      <c r="X312" s="46">
        <v>149</v>
      </c>
      <c r="Y312" s="46">
        <v>17.98</v>
      </c>
      <c r="Z312" s="47">
        <f t="shared" si="33"/>
        <v>280.02</v>
      </c>
      <c r="AA312" s="48" t="s">
        <v>89</v>
      </c>
      <c r="AB312"/>
    </row>
    <row r="313" spans="1:28" x14ac:dyDescent="0.25">
      <c r="A313" s="31" t="s">
        <v>588</v>
      </c>
      <c r="B313" s="31" t="s">
        <v>37</v>
      </c>
      <c r="C313" s="32" t="str">
        <f t="shared" si="28"/>
        <v>Patricia Gomes</v>
      </c>
      <c r="D313" s="38" t="s">
        <v>401</v>
      </c>
      <c r="E313" s="33">
        <f t="shared" si="29"/>
        <v>45772</v>
      </c>
      <c r="F313" s="32" t="s">
        <v>29</v>
      </c>
      <c r="G313" s="32" t="str">
        <f t="shared" si="30"/>
        <v>Camila Rocha</v>
      </c>
      <c r="H313" s="32" t="s">
        <v>16</v>
      </c>
      <c r="I313" s="32" t="s">
        <v>103</v>
      </c>
      <c r="J313" s="34">
        <v>3</v>
      </c>
      <c r="K313" s="35">
        <v>89</v>
      </c>
      <c r="L313" s="35">
        <v>0</v>
      </c>
      <c r="M313" s="36">
        <f t="shared" si="32"/>
        <v>267</v>
      </c>
      <c r="N313" s="32" t="s">
        <v>89</v>
      </c>
      <c r="Q313" s="49" t="s">
        <v>588</v>
      </c>
      <c r="R313" s="49" t="s">
        <v>37</v>
      </c>
      <c r="S313" s="58">
        <f t="shared" si="31"/>
        <v>45772</v>
      </c>
      <c r="T313" s="51" t="s">
        <v>29</v>
      </c>
      <c r="U313" s="50" t="s">
        <v>16</v>
      </c>
      <c r="V313" s="52" t="s">
        <v>103</v>
      </c>
      <c r="W313" s="53">
        <v>3</v>
      </c>
      <c r="X313" s="54">
        <v>89</v>
      </c>
      <c r="Y313" s="54">
        <v>0</v>
      </c>
      <c r="Z313" s="55">
        <f t="shared" si="33"/>
        <v>267</v>
      </c>
      <c r="AA313" s="56" t="s">
        <v>89</v>
      </c>
      <c r="AB313"/>
    </row>
    <row r="314" spans="1:28" x14ac:dyDescent="0.25">
      <c r="A314" s="26" t="s">
        <v>589</v>
      </c>
      <c r="B314" s="26" t="s">
        <v>63</v>
      </c>
      <c r="C314" s="26" t="str">
        <f t="shared" si="28"/>
        <v>Marcos Rodrigues</v>
      </c>
      <c r="D314" s="37" t="s">
        <v>443</v>
      </c>
      <c r="E314" s="27">
        <f t="shared" si="29"/>
        <v>45934</v>
      </c>
      <c r="F314" s="26" t="s">
        <v>22</v>
      </c>
      <c r="G314" s="26" t="str">
        <f t="shared" si="30"/>
        <v>Amanda Costa</v>
      </c>
      <c r="H314" s="26" t="s">
        <v>30</v>
      </c>
      <c r="I314" s="26" t="s">
        <v>152</v>
      </c>
      <c r="J314" s="28">
        <v>1</v>
      </c>
      <c r="K314" s="29">
        <v>4500</v>
      </c>
      <c r="L314" s="29">
        <v>61.84</v>
      </c>
      <c r="M314" s="30">
        <f t="shared" si="32"/>
        <v>4438.16</v>
      </c>
      <c r="N314" s="26" t="s">
        <v>65</v>
      </c>
      <c r="Q314" s="42" t="s">
        <v>589</v>
      </c>
      <c r="R314" s="42" t="s">
        <v>63</v>
      </c>
      <c r="S314" s="57">
        <f t="shared" si="31"/>
        <v>45934</v>
      </c>
      <c r="T314" s="44" t="s">
        <v>22</v>
      </c>
      <c r="U314" s="43" t="s">
        <v>30</v>
      </c>
      <c r="V314" s="42" t="s">
        <v>152</v>
      </c>
      <c r="W314" s="45">
        <v>1</v>
      </c>
      <c r="X314" s="46">
        <v>4500</v>
      </c>
      <c r="Y314" s="46">
        <v>61.84</v>
      </c>
      <c r="Z314" s="47">
        <f t="shared" si="33"/>
        <v>4438.16</v>
      </c>
      <c r="AA314" s="48" t="s">
        <v>65</v>
      </c>
      <c r="AB314"/>
    </row>
    <row r="315" spans="1:28" x14ac:dyDescent="0.25">
      <c r="A315" s="31" t="s">
        <v>590</v>
      </c>
      <c r="B315" s="31" t="s">
        <v>55</v>
      </c>
      <c r="C315" s="32" t="str">
        <f t="shared" si="28"/>
        <v>Ricardo Carvalho</v>
      </c>
      <c r="D315" s="38" t="s">
        <v>591</v>
      </c>
      <c r="E315" s="33">
        <f t="shared" si="29"/>
        <v>45947</v>
      </c>
      <c r="F315" s="32" t="s">
        <v>39</v>
      </c>
      <c r="G315" s="32" t="str">
        <f t="shared" si="30"/>
        <v>Rodrigo Mello</v>
      </c>
      <c r="H315" s="32" t="s">
        <v>23</v>
      </c>
      <c r="I315" s="32" t="s">
        <v>43</v>
      </c>
      <c r="J315" s="34">
        <v>2</v>
      </c>
      <c r="K315" s="35">
        <v>350</v>
      </c>
      <c r="L315" s="35">
        <v>81.709999999999994</v>
      </c>
      <c r="M315" s="36">
        <f t="shared" si="32"/>
        <v>618.29</v>
      </c>
      <c r="N315" s="32" t="s">
        <v>89</v>
      </c>
      <c r="Q315" s="49" t="s">
        <v>590</v>
      </c>
      <c r="R315" s="49" t="s">
        <v>55</v>
      </c>
      <c r="S315" s="58">
        <f t="shared" si="31"/>
        <v>45947</v>
      </c>
      <c r="T315" s="51" t="s">
        <v>39</v>
      </c>
      <c r="U315" s="50" t="s">
        <v>23</v>
      </c>
      <c r="V315" s="52" t="s">
        <v>43</v>
      </c>
      <c r="W315" s="53">
        <v>2</v>
      </c>
      <c r="X315" s="54">
        <v>350</v>
      </c>
      <c r="Y315" s="54">
        <v>81.709999999999994</v>
      </c>
      <c r="Z315" s="55">
        <f t="shared" si="33"/>
        <v>618.29</v>
      </c>
      <c r="AA315" s="56" t="s">
        <v>89</v>
      </c>
      <c r="AB315"/>
    </row>
    <row r="316" spans="1:28" x14ac:dyDescent="0.25">
      <c r="A316" s="26" t="s">
        <v>592</v>
      </c>
      <c r="B316" s="26" t="s">
        <v>34</v>
      </c>
      <c r="C316" s="26" t="str">
        <f t="shared" si="28"/>
        <v>Carlos Silva</v>
      </c>
      <c r="D316" s="37" t="s">
        <v>170</v>
      </c>
      <c r="E316" s="27">
        <f t="shared" si="29"/>
        <v>45936</v>
      </c>
      <c r="F316" s="26" t="s">
        <v>22</v>
      </c>
      <c r="G316" s="26" t="str">
        <f t="shared" si="30"/>
        <v>Amanda Costa</v>
      </c>
      <c r="H316" s="26" t="s">
        <v>16</v>
      </c>
      <c r="I316" s="26" t="s">
        <v>17</v>
      </c>
      <c r="J316" s="28">
        <v>2</v>
      </c>
      <c r="K316" s="29">
        <v>39</v>
      </c>
      <c r="L316" s="29">
        <v>0</v>
      </c>
      <c r="M316" s="30">
        <f t="shared" si="32"/>
        <v>78</v>
      </c>
      <c r="N316" s="26" t="s">
        <v>44</v>
      </c>
      <c r="Q316" s="42" t="s">
        <v>592</v>
      </c>
      <c r="R316" s="42" t="s">
        <v>34</v>
      </c>
      <c r="S316" s="57">
        <f t="shared" si="31"/>
        <v>45936</v>
      </c>
      <c r="T316" s="44" t="s">
        <v>22</v>
      </c>
      <c r="U316" s="43" t="s">
        <v>16</v>
      </c>
      <c r="V316" s="42" t="s">
        <v>17</v>
      </c>
      <c r="W316" s="45">
        <v>2</v>
      </c>
      <c r="X316" s="46">
        <v>39</v>
      </c>
      <c r="Y316" s="46">
        <v>0</v>
      </c>
      <c r="Z316" s="47">
        <f t="shared" si="33"/>
        <v>78</v>
      </c>
      <c r="AA316" s="48" t="s">
        <v>44</v>
      </c>
      <c r="AB316"/>
    </row>
    <row r="317" spans="1:28" x14ac:dyDescent="0.25">
      <c r="A317" s="31" t="s">
        <v>593</v>
      </c>
      <c r="B317" s="31" t="s">
        <v>71</v>
      </c>
      <c r="C317" s="32" t="str">
        <f t="shared" si="28"/>
        <v>Juliana Costa</v>
      </c>
      <c r="D317" s="38" t="s">
        <v>298</v>
      </c>
      <c r="E317" s="33">
        <f t="shared" si="29"/>
        <v>45697</v>
      </c>
      <c r="F317" s="32" t="s">
        <v>29</v>
      </c>
      <c r="G317" s="32" t="str">
        <f t="shared" si="30"/>
        <v>Camila Rocha</v>
      </c>
      <c r="H317" s="32" t="s">
        <v>23</v>
      </c>
      <c r="I317" s="32" t="s">
        <v>24</v>
      </c>
      <c r="J317" s="34">
        <v>4</v>
      </c>
      <c r="K317" s="35">
        <v>180</v>
      </c>
      <c r="L317" s="35">
        <v>0</v>
      </c>
      <c r="M317" s="36">
        <f t="shared" si="32"/>
        <v>720</v>
      </c>
      <c r="N317" s="32" t="s">
        <v>32</v>
      </c>
      <c r="Q317" s="49" t="s">
        <v>593</v>
      </c>
      <c r="R317" s="49" t="s">
        <v>71</v>
      </c>
      <c r="S317" s="58">
        <f t="shared" si="31"/>
        <v>45697</v>
      </c>
      <c r="T317" s="51" t="s">
        <v>29</v>
      </c>
      <c r="U317" s="50" t="s">
        <v>23</v>
      </c>
      <c r="V317" s="52" t="s">
        <v>24</v>
      </c>
      <c r="W317" s="53">
        <v>4</v>
      </c>
      <c r="X317" s="54">
        <v>180</v>
      </c>
      <c r="Y317" s="54">
        <v>0</v>
      </c>
      <c r="Z317" s="55">
        <f t="shared" si="33"/>
        <v>720</v>
      </c>
      <c r="AA317" s="56" t="s">
        <v>32</v>
      </c>
      <c r="AB317"/>
    </row>
    <row r="318" spans="1:28" x14ac:dyDescent="0.25">
      <c r="A318" s="26" t="s">
        <v>594</v>
      </c>
      <c r="B318" s="26" t="s">
        <v>63</v>
      </c>
      <c r="C318" s="26" t="str">
        <f t="shared" si="28"/>
        <v>Marcos Rodrigues</v>
      </c>
      <c r="D318" s="37" t="s">
        <v>176</v>
      </c>
      <c r="E318" s="27">
        <f t="shared" si="29"/>
        <v>45839</v>
      </c>
      <c r="F318" s="26" t="s">
        <v>15</v>
      </c>
      <c r="G318" s="26" t="str">
        <f t="shared" si="30"/>
        <v>Larissa Dias</v>
      </c>
      <c r="H318" s="26" t="s">
        <v>30</v>
      </c>
      <c r="I318" s="26" t="s">
        <v>31</v>
      </c>
      <c r="J318" s="28">
        <v>2</v>
      </c>
      <c r="K318" s="29">
        <v>2500</v>
      </c>
      <c r="L318" s="29">
        <v>0</v>
      </c>
      <c r="M318" s="30">
        <f t="shared" si="32"/>
        <v>5000</v>
      </c>
      <c r="N318" s="26" t="s">
        <v>49</v>
      </c>
      <c r="Q318" s="42" t="s">
        <v>594</v>
      </c>
      <c r="R318" s="42" t="s">
        <v>63</v>
      </c>
      <c r="S318" s="57">
        <f t="shared" si="31"/>
        <v>45839</v>
      </c>
      <c r="T318" s="44" t="s">
        <v>15</v>
      </c>
      <c r="U318" s="43" t="s">
        <v>30</v>
      </c>
      <c r="V318" s="42" t="s">
        <v>31</v>
      </c>
      <c r="W318" s="45">
        <v>2</v>
      </c>
      <c r="X318" s="46">
        <v>2500</v>
      </c>
      <c r="Y318" s="46">
        <v>0</v>
      </c>
      <c r="Z318" s="47">
        <f t="shared" si="33"/>
        <v>5000</v>
      </c>
      <c r="AA318" s="48" t="s">
        <v>49</v>
      </c>
      <c r="AB318"/>
    </row>
    <row r="319" spans="1:28" x14ac:dyDescent="0.25">
      <c r="A319" s="31" t="s">
        <v>595</v>
      </c>
      <c r="B319" s="31" t="s">
        <v>20</v>
      </c>
      <c r="C319" s="32" t="str">
        <f t="shared" si="28"/>
        <v>Beatriz Ribeiro</v>
      </c>
      <c r="D319" s="38" t="s">
        <v>596</v>
      </c>
      <c r="E319" s="33">
        <f t="shared" si="29"/>
        <v>45705</v>
      </c>
      <c r="F319" s="32" t="s">
        <v>39</v>
      </c>
      <c r="G319" s="32" t="str">
        <f t="shared" si="30"/>
        <v>Rodrigo Mello</v>
      </c>
      <c r="H319" s="32" t="s">
        <v>30</v>
      </c>
      <c r="I319" s="32" t="s">
        <v>152</v>
      </c>
      <c r="J319" s="34">
        <v>5</v>
      </c>
      <c r="K319" s="35">
        <v>4500</v>
      </c>
      <c r="L319" s="35">
        <v>0</v>
      </c>
      <c r="M319" s="36">
        <f t="shared" si="32"/>
        <v>22500</v>
      </c>
      <c r="N319" s="32" t="s">
        <v>69</v>
      </c>
      <c r="Q319" s="49" t="s">
        <v>595</v>
      </c>
      <c r="R319" s="49" t="s">
        <v>20</v>
      </c>
      <c r="S319" s="58">
        <f t="shared" si="31"/>
        <v>45705</v>
      </c>
      <c r="T319" s="51" t="s">
        <v>39</v>
      </c>
      <c r="U319" s="50" t="s">
        <v>30</v>
      </c>
      <c r="V319" s="52" t="s">
        <v>152</v>
      </c>
      <c r="W319" s="53">
        <v>5</v>
      </c>
      <c r="X319" s="54">
        <v>4500</v>
      </c>
      <c r="Y319" s="54">
        <v>0</v>
      </c>
      <c r="Z319" s="55">
        <f t="shared" si="33"/>
        <v>22500</v>
      </c>
      <c r="AA319" s="56" t="s">
        <v>69</v>
      </c>
      <c r="AB319"/>
    </row>
    <row r="320" spans="1:28" x14ac:dyDescent="0.25">
      <c r="A320" s="26" t="s">
        <v>597</v>
      </c>
      <c r="B320" s="26" t="s">
        <v>41</v>
      </c>
      <c r="C320" s="26" t="str">
        <f t="shared" si="28"/>
        <v>João Pereira</v>
      </c>
      <c r="D320" s="37" t="s">
        <v>301</v>
      </c>
      <c r="E320" s="27">
        <f t="shared" si="29"/>
        <v>45732</v>
      </c>
      <c r="F320" s="26" t="s">
        <v>22</v>
      </c>
      <c r="G320" s="26" t="str">
        <f t="shared" si="30"/>
        <v>Amanda Costa</v>
      </c>
      <c r="H320" s="26" t="s">
        <v>52</v>
      </c>
      <c r="I320" s="26" t="s">
        <v>99</v>
      </c>
      <c r="J320" s="28">
        <v>2</v>
      </c>
      <c r="K320" s="29">
        <v>79</v>
      </c>
      <c r="L320" s="29">
        <v>14.97</v>
      </c>
      <c r="M320" s="30">
        <f t="shared" si="32"/>
        <v>143.03</v>
      </c>
      <c r="N320" s="26" t="s">
        <v>44</v>
      </c>
      <c r="Q320" s="42" t="s">
        <v>597</v>
      </c>
      <c r="R320" s="42" t="s">
        <v>41</v>
      </c>
      <c r="S320" s="57">
        <f t="shared" si="31"/>
        <v>45732</v>
      </c>
      <c r="T320" s="44" t="s">
        <v>22</v>
      </c>
      <c r="U320" s="43" t="s">
        <v>52</v>
      </c>
      <c r="V320" s="42" t="s">
        <v>99</v>
      </c>
      <c r="W320" s="45">
        <v>2</v>
      </c>
      <c r="X320" s="46">
        <v>79</v>
      </c>
      <c r="Y320" s="46">
        <v>14.97</v>
      </c>
      <c r="Z320" s="47">
        <f t="shared" si="33"/>
        <v>143.03</v>
      </c>
      <c r="AA320" s="48" t="s">
        <v>44</v>
      </c>
      <c r="AB320"/>
    </row>
    <row r="321" spans="1:28" x14ac:dyDescent="0.25">
      <c r="A321" s="31" t="s">
        <v>598</v>
      </c>
      <c r="B321" s="31" t="s">
        <v>13</v>
      </c>
      <c r="C321" s="32" t="str">
        <f t="shared" si="28"/>
        <v>Lucas Almeida</v>
      </c>
      <c r="D321" s="38" t="s">
        <v>599</v>
      </c>
      <c r="E321" s="33">
        <f t="shared" si="29"/>
        <v>45944</v>
      </c>
      <c r="F321" s="32" t="s">
        <v>15</v>
      </c>
      <c r="G321" s="32" t="str">
        <f t="shared" si="30"/>
        <v>Larissa Dias</v>
      </c>
      <c r="H321" s="32" t="s">
        <v>23</v>
      </c>
      <c r="I321" s="32" t="s">
        <v>48</v>
      </c>
      <c r="J321" s="34">
        <v>3</v>
      </c>
      <c r="K321" s="35">
        <v>450</v>
      </c>
      <c r="L321" s="35">
        <v>183.8</v>
      </c>
      <c r="M321" s="36">
        <f t="shared" si="32"/>
        <v>1166.2</v>
      </c>
      <c r="N321" s="32" t="s">
        <v>69</v>
      </c>
      <c r="Q321" s="49" t="s">
        <v>598</v>
      </c>
      <c r="R321" s="49" t="s">
        <v>13</v>
      </c>
      <c r="S321" s="58">
        <f t="shared" si="31"/>
        <v>45944</v>
      </c>
      <c r="T321" s="51" t="s">
        <v>15</v>
      </c>
      <c r="U321" s="50" t="s">
        <v>23</v>
      </c>
      <c r="V321" s="52" t="s">
        <v>48</v>
      </c>
      <c r="W321" s="53">
        <v>3</v>
      </c>
      <c r="X321" s="54">
        <v>450</v>
      </c>
      <c r="Y321" s="54">
        <v>183.8</v>
      </c>
      <c r="Z321" s="55">
        <f t="shared" si="33"/>
        <v>1166.2</v>
      </c>
      <c r="AA321" s="56" t="s">
        <v>69</v>
      </c>
      <c r="AB321"/>
    </row>
    <row r="322" spans="1:28" x14ac:dyDescent="0.25">
      <c r="A322" s="26" t="s">
        <v>600</v>
      </c>
      <c r="B322" s="26" t="s">
        <v>71</v>
      </c>
      <c r="C322" s="26" t="str">
        <f t="shared" si="28"/>
        <v>Juliana Costa</v>
      </c>
      <c r="D322" s="37" t="s">
        <v>601</v>
      </c>
      <c r="E322" s="27">
        <f t="shared" si="29"/>
        <v>45831</v>
      </c>
      <c r="F322" s="26" t="s">
        <v>39</v>
      </c>
      <c r="G322" s="26" t="str">
        <f t="shared" si="30"/>
        <v>Rodrigo Mello</v>
      </c>
      <c r="H322" s="26" t="s">
        <v>52</v>
      </c>
      <c r="I322" s="26" t="s">
        <v>99</v>
      </c>
      <c r="J322" s="28">
        <v>5</v>
      </c>
      <c r="K322" s="29">
        <v>79</v>
      </c>
      <c r="L322" s="29">
        <v>0</v>
      </c>
      <c r="M322" s="30">
        <f t="shared" si="32"/>
        <v>395</v>
      </c>
      <c r="N322" s="26" t="s">
        <v>89</v>
      </c>
      <c r="Q322" s="42" t="s">
        <v>600</v>
      </c>
      <c r="R322" s="42" t="s">
        <v>71</v>
      </c>
      <c r="S322" s="57">
        <f t="shared" si="31"/>
        <v>45831</v>
      </c>
      <c r="T322" s="44" t="s">
        <v>39</v>
      </c>
      <c r="U322" s="43" t="s">
        <v>52</v>
      </c>
      <c r="V322" s="42" t="s">
        <v>99</v>
      </c>
      <c r="W322" s="45">
        <v>5</v>
      </c>
      <c r="X322" s="46">
        <v>79</v>
      </c>
      <c r="Y322" s="46">
        <v>0</v>
      </c>
      <c r="Z322" s="47">
        <f t="shared" si="33"/>
        <v>395</v>
      </c>
      <c r="AA322" s="48" t="s">
        <v>89</v>
      </c>
      <c r="AB322"/>
    </row>
    <row r="323" spans="1:28" x14ac:dyDescent="0.25">
      <c r="A323" s="31" t="s">
        <v>602</v>
      </c>
      <c r="B323" s="31" t="s">
        <v>37</v>
      </c>
      <c r="C323" s="32" t="str">
        <f t="shared" ref="C323:C386" si="34">SUBSTITUTE(SUBSTITUTE(SUBSTITUTE(SUBSTITUTE(PROPER(B323)," Da "," ")," De "," ")," Do "," ")," Dos "," ")</f>
        <v>Patricia Gomes</v>
      </c>
      <c r="D323" s="38" t="s">
        <v>603</v>
      </c>
      <c r="E323" s="33">
        <f t="shared" ref="E323:E386" si="35">DATEVALUE(D323)</f>
        <v>45992</v>
      </c>
      <c r="F323" s="32" t="s">
        <v>29</v>
      </c>
      <c r="G323" s="32" t="str">
        <f t="shared" ref="G323:G386" si="36">SUBSTITUTE(SUBSTITUTE(SUBSTITUTE(SUBSTITUTE(PROPER(F323)," Da "," ")," De "," ")," Do "," ")," Dos "," ")</f>
        <v>Camila Rocha</v>
      </c>
      <c r="H323" s="32" t="s">
        <v>16</v>
      </c>
      <c r="I323" s="32" t="s">
        <v>78</v>
      </c>
      <c r="J323" s="34">
        <v>4</v>
      </c>
      <c r="K323" s="35">
        <v>59</v>
      </c>
      <c r="L323" s="35">
        <v>6.23</v>
      </c>
      <c r="M323" s="36">
        <f t="shared" si="32"/>
        <v>229.77</v>
      </c>
      <c r="N323" s="32" t="s">
        <v>32</v>
      </c>
      <c r="Q323" s="49" t="s">
        <v>602</v>
      </c>
      <c r="R323" s="49" t="s">
        <v>37</v>
      </c>
      <c r="S323" s="58">
        <f t="shared" si="31"/>
        <v>45992</v>
      </c>
      <c r="T323" s="51" t="s">
        <v>29</v>
      </c>
      <c r="U323" s="50" t="s">
        <v>16</v>
      </c>
      <c r="V323" s="52" t="s">
        <v>78</v>
      </c>
      <c r="W323" s="53">
        <v>4</v>
      </c>
      <c r="X323" s="54">
        <v>59</v>
      </c>
      <c r="Y323" s="54">
        <v>6.23</v>
      </c>
      <c r="Z323" s="55">
        <f t="shared" si="33"/>
        <v>229.77</v>
      </c>
      <c r="AA323" s="56" t="s">
        <v>32</v>
      </c>
      <c r="AB323"/>
    </row>
    <row r="324" spans="1:28" x14ac:dyDescent="0.25">
      <c r="A324" s="26" t="s">
        <v>604</v>
      </c>
      <c r="B324" s="26" t="s">
        <v>101</v>
      </c>
      <c r="C324" s="26" t="str">
        <f t="shared" si="34"/>
        <v>Ana Souza</v>
      </c>
      <c r="D324" s="37" t="s">
        <v>98</v>
      </c>
      <c r="E324" s="27">
        <f t="shared" si="35"/>
        <v>45666</v>
      </c>
      <c r="F324" s="26" t="s">
        <v>29</v>
      </c>
      <c r="G324" s="26" t="str">
        <f t="shared" si="36"/>
        <v>Camila Rocha</v>
      </c>
      <c r="H324" s="26" t="s">
        <v>23</v>
      </c>
      <c r="I324" s="26" t="s">
        <v>48</v>
      </c>
      <c r="J324" s="28">
        <v>5</v>
      </c>
      <c r="K324" s="29">
        <v>450</v>
      </c>
      <c r="L324" s="29">
        <v>99.44</v>
      </c>
      <c r="M324" s="30">
        <f t="shared" si="32"/>
        <v>2150.56</v>
      </c>
      <c r="N324" s="26" t="s">
        <v>32</v>
      </c>
      <c r="Q324" s="42" t="s">
        <v>604</v>
      </c>
      <c r="R324" s="42" t="s">
        <v>101</v>
      </c>
      <c r="S324" s="57">
        <f t="shared" si="31"/>
        <v>45666</v>
      </c>
      <c r="T324" s="44" t="s">
        <v>29</v>
      </c>
      <c r="U324" s="43" t="s">
        <v>23</v>
      </c>
      <c r="V324" s="42" t="s">
        <v>48</v>
      </c>
      <c r="W324" s="45">
        <v>5</v>
      </c>
      <c r="X324" s="46">
        <v>450</v>
      </c>
      <c r="Y324" s="46">
        <v>99.44</v>
      </c>
      <c r="Z324" s="47">
        <f t="shared" si="33"/>
        <v>2150.56</v>
      </c>
      <c r="AA324" s="48" t="s">
        <v>32</v>
      </c>
      <c r="AB324"/>
    </row>
    <row r="325" spans="1:28" x14ac:dyDescent="0.25">
      <c r="A325" s="31" t="s">
        <v>605</v>
      </c>
      <c r="B325" s="31" t="s">
        <v>110</v>
      </c>
      <c r="C325" s="32" t="str">
        <f t="shared" si="34"/>
        <v>Fernanda Lima</v>
      </c>
      <c r="D325" s="38" t="s">
        <v>278</v>
      </c>
      <c r="E325" s="33">
        <f t="shared" si="35"/>
        <v>45916</v>
      </c>
      <c r="F325" s="32" t="s">
        <v>22</v>
      </c>
      <c r="G325" s="32" t="str">
        <f t="shared" si="36"/>
        <v>Amanda Costa</v>
      </c>
      <c r="H325" s="32" t="s">
        <v>30</v>
      </c>
      <c r="I325" s="32" t="s">
        <v>152</v>
      </c>
      <c r="J325" s="34">
        <v>4</v>
      </c>
      <c r="K325" s="35">
        <v>4500</v>
      </c>
      <c r="L325" s="35">
        <v>1896.3</v>
      </c>
      <c r="M325" s="36">
        <f t="shared" si="32"/>
        <v>16103.7</v>
      </c>
      <c r="N325" s="32" t="s">
        <v>65</v>
      </c>
      <c r="Q325" s="49" t="s">
        <v>605</v>
      </c>
      <c r="R325" s="49" t="s">
        <v>110</v>
      </c>
      <c r="S325" s="58">
        <f t="shared" si="31"/>
        <v>45916</v>
      </c>
      <c r="T325" s="51" t="s">
        <v>22</v>
      </c>
      <c r="U325" s="50" t="s">
        <v>30</v>
      </c>
      <c r="V325" s="52" t="s">
        <v>152</v>
      </c>
      <c r="W325" s="53">
        <v>4</v>
      </c>
      <c r="X325" s="54">
        <v>4500</v>
      </c>
      <c r="Y325" s="54">
        <v>1896.3</v>
      </c>
      <c r="Z325" s="55">
        <f t="shared" si="33"/>
        <v>16103.7</v>
      </c>
      <c r="AA325" s="56" t="s">
        <v>65</v>
      </c>
      <c r="AB325"/>
    </row>
    <row r="326" spans="1:28" x14ac:dyDescent="0.25">
      <c r="A326" s="26" t="s">
        <v>606</v>
      </c>
      <c r="B326" s="26" t="s">
        <v>63</v>
      </c>
      <c r="C326" s="26" t="str">
        <f t="shared" si="34"/>
        <v>Marcos Rodrigues</v>
      </c>
      <c r="D326" s="37" t="s">
        <v>547</v>
      </c>
      <c r="E326" s="27">
        <f t="shared" si="35"/>
        <v>45768</v>
      </c>
      <c r="F326" s="26" t="s">
        <v>15</v>
      </c>
      <c r="G326" s="26" t="str">
        <f t="shared" si="36"/>
        <v>Larissa Dias</v>
      </c>
      <c r="H326" s="26" t="s">
        <v>23</v>
      </c>
      <c r="I326" s="26" t="s">
        <v>24</v>
      </c>
      <c r="J326" s="28">
        <v>5</v>
      </c>
      <c r="K326" s="29">
        <v>180</v>
      </c>
      <c r="L326" s="29">
        <v>109.92</v>
      </c>
      <c r="M326" s="30">
        <f t="shared" si="32"/>
        <v>790.08</v>
      </c>
      <c r="N326" s="26" t="s">
        <v>44</v>
      </c>
      <c r="Q326" s="42" t="s">
        <v>606</v>
      </c>
      <c r="R326" s="42" t="s">
        <v>63</v>
      </c>
      <c r="S326" s="57">
        <f t="shared" ref="S326:S389" si="37">DATEVALUE(D326)</f>
        <v>45768</v>
      </c>
      <c r="T326" s="44" t="s">
        <v>15</v>
      </c>
      <c r="U326" s="43" t="s">
        <v>23</v>
      </c>
      <c r="V326" s="42" t="s">
        <v>24</v>
      </c>
      <c r="W326" s="45">
        <v>5</v>
      </c>
      <c r="X326" s="46">
        <v>180</v>
      </c>
      <c r="Y326" s="46">
        <v>109.92</v>
      </c>
      <c r="Z326" s="47">
        <f t="shared" si="33"/>
        <v>790.08</v>
      </c>
      <c r="AA326" s="48" t="s">
        <v>44</v>
      </c>
      <c r="AB326"/>
    </row>
    <row r="327" spans="1:28" x14ac:dyDescent="0.25">
      <c r="A327" s="31" t="s">
        <v>607</v>
      </c>
      <c r="B327" s="31" t="s">
        <v>37</v>
      </c>
      <c r="C327" s="32" t="str">
        <f t="shared" si="34"/>
        <v>Patricia Gomes</v>
      </c>
      <c r="D327" s="38" t="s">
        <v>170</v>
      </c>
      <c r="E327" s="33">
        <f t="shared" si="35"/>
        <v>45936</v>
      </c>
      <c r="F327" s="32" t="s">
        <v>15</v>
      </c>
      <c r="G327" s="32" t="str">
        <f t="shared" si="36"/>
        <v>Larissa Dias</v>
      </c>
      <c r="H327" s="32" t="s">
        <v>16</v>
      </c>
      <c r="I327" s="32" t="s">
        <v>103</v>
      </c>
      <c r="J327" s="34">
        <v>4</v>
      </c>
      <c r="K327" s="35">
        <v>89</v>
      </c>
      <c r="L327" s="35">
        <v>11.87</v>
      </c>
      <c r="M327" s="36">
        <f>(J327*K327)-L327</f>
        <v>344.13</v>
      </c>
      <c r="N327" s="32" t="s">
        <v>44</v>
      </c>
      <c r="Q327" s="49" t="s">
        <v>607</v>
      </c>
      <c r="R327" s="49" t="s">
        <v>37</v>
      </c>
      <c r="S327" s="58">
        <f t="shared" si="37"/>
        <v>45936</v>
      </c>
      <c r="T327" s="51" t="s">
        <v>15</v>
      </c>
      <c r="U327" s="50" t="s">
        <v>16</v>
      </c>
      <c r="V327" s="52" t="s">
        <v>103</v>
      </c>
      <c r="W327" s="53">
        <v>4</v>
      </c>
      <c r="X327" s="54">
        <v>89</v>
      </c>
      <c r="Y327" s="54">
        <v>11.87</v>
      </c>
      <c r="Z327" s="55">
        <f>(W327*X327)-Y327</f>
        <v>344.13</v>
      </c>
      <c r="AA327" s="56" t="s">
        <v>44</v>
      </c>
      <c r="AB327"/>
    </row>
    <row r="328" spans="1:28" x14ac:dyDescent="0.25">
      <c r="A328" s="26" t="s">
        <v>608</v>
      </c>
      <c r="B328" s="26" t="s">
        <v>27</v>
      </c>
      <c r="C328" s="26" t="str">
        <f t="shared" si="34"/>
        <v>Roberto Santos</v>
      </c>
      <c r="D328" s="37" t="s">
        <v>290</v>
      </c>
      <c r="E328" s="27">
        <f t="shared" si="35"/>
        <v>45884</v>
      </c>
      <c r="F328" s="26" t="s">
        <v>29</v>
      </c>
      <c r="G328" s="26" t="str">
        <f t="shared" si="36"/>
        <v>Camila Rocha</v>
      </c>
      <c r="H328" s="26" t="s">
        <v>23</v>
      </c>
      <c r="I328" s="26" t="s">
        <v>48</v>
      </c>
      <c r="J328" s="28">
        <v>5</v>
      </c>
      <c r="K328" s="29">
        <v>450</v>
      </c>
      <c r="L328" s="29">
        <v>0</v>
      </c>
      <c r="M328" s="30">
        <f t="shared" ref="M328:M391" si="38">(J328*K328)-L328</f>
        <v>2250</v>
      </c>
      <c r="N328" s="26" t="s">
        <v>89</v>
      </c>
      <c r="Q328" s="42" t="s">
        <v>608</v>
      </c>
      <c r="R328" s="42" t="s">
        <v>27</v>
      </c>
      <c r="S328" s="57">
        <f t="shared" si="37"/>
        <v>45884</v>
      </c>
      <c r="T328" s="44" t="s">
        <v>29</v>
      </c>
      <c r="U328" s="43" t="s">
        <v>23</v>
      </c>
      <c r="V328" s="42" t="s">
        <v>48</v>
      </c>
      <c r="W328" s="45">
        <v>5</v>
      </c>
      <c r="X328" s="46">
        <v>450</v>
      </c>
      <c r="Y328" s="46">
        <v>0</v>
      </c>
      <c r="Z328" s="47">
        <f t="shared" ref="Z328:Z391" si="39">(W328*X328)-Y328</f>
        <v>2250</v>
      </c>
      <c r="AA328" s="48" t="s">
        <v>89</v>
      </c>
      <c r="AB328"/>
    </row>
    <row r="329" spans="1:28" x14ac:dyDescent="0.25">
      <c r="A329" s="31" t="s">
        <v>609</v>
      </c>
      <c r="B329" s="31" t="s">
        <v>13</v>
      </c>
      <c r="C329" s="32" t="str">
        <f t="shared" si="34"/>
        <v>Lucas Almeida</v>
      </c>
      <c r="D329" s="38" t="s">
        <v>601</v>
      </c>
      <c r="E329" s="33">
        <f t="shared" si="35"/>
        <v>45831</v>
      </c>
      <c r="F329" s="32" t="s">
        <v>29</v>
      </c>
      <c r="G329" s="32" t="str">
        <f t="shared" si="36"/>
        <v>Camila Rocha</v>
      </c>
      <c r="H329" s="32" t="s">
        <v>30</v>
      </c>
      <c r="I329" s="32" t="s">
        <v>68</v>
      </c>
      <c r="J329" s="34">
        <v>1</v>
      </c>
      <c r="K329" s="35">
        <v>799</v>
      </c>
      <c r="L329" s="35">
        <v>40.880000000000003</v>
      </c>
      <c r="M329" s="36">
        <f t="shared" si="38"/>
        <v>758.12</v>
      </c>
      <c r="N329" s="32" t="s">
        <v>25</v>
      </c>
      <c r="Q329" s="49" t="s">
        <v>609</v>
      </c>
      <c r="R329" s="49" t="s">
        <v>13</v>
      </c>
      <c r="S329" s="58">
        <f t="shared" si="37"/>
        <v>45831</v>
      </c>
      <c r="T329" s="51" t="s">
        <v>29</v>
      </c>
      <c r="U329" s="50" t="s">
        <v>30</v>
      </c>
      <c r="V329" s="52" t="s">
        <v>68</v>
      </c>
      <c r="W329" s="53">
        <v>1</v>
      </c>
      <c r="X329" s="54">
        <v>799</v>
      </c>
      <c r="Y329" s="54">
        <v>40.880000000000003</v>
      </c>
      <c r="Z329" s="55">
        <f t="shared" si="39"/>
        <v>758.12</v>
      </c>
      <c r="AA329" s="56" t="s">
        <v>25</v>
      </c>
      <c r="AB329"/>
    </row>
    <row r="330" spans="1:28" x14ac:dyDescent="0.25">
      <c r="A330" s="26" t="s">
        <v>610</v>
      </c>
      <c r="B330" s="26" t="s">
        <v>71</v>
      </c>
      <c r="C330" s="26" t="str">
        <f t="shared" si="34"/>
        <v>Juliana Costa</v>
      </c>
      <c r="D330" s="37" t="s">
        <v>218</v>
      </c>
      <c r="E330" s="27">
        <f t="shared" si="35"/>
        <v>45735</v>
      </c>
      <c r="F330" s="26" t="s">
        <v>29</v>
      </c>
      <c r="G330" s="26" t="str">
        <f t="shared" si="36"/>
        <v>Camila Rocha</v>
      </c>
      <c r="H330" s="26" t="s">
        <v>23</v>
      </c>
      <c r="I330" s="26" t="s">
        <v>24</v>
      </c>
      <c r="J330" s="28">
        <v>4</v>
      </c>
      <c r="K330" s="29">
        <v>180</v>
      </c>
      <c r="L330" s="29">
        <v>91.09</v>
      </c>
      <c r="M330" s="30">
        <f t="shared" si="38"/>
        <v>628.91</v>
      </c>
      <c r="N330" s="26" t="s">
        <v>32</v>
      </c>
      <c r="Q330" s="42" t="s">
        <v>610</v>
      </c>
      <c r="R330" s="42" t="s">
        <v>71</v>
      </c>
      <c r="S330" s="57">
        <f t="shared" si="37"/>
        <v>45735</v>
      </c>
      <c r="T330" s="44" t="s">
        <v>29</v>
      </c>
      <c r="U330" s="43" t="s">
        <v>23</v>
      </c>
      <c r="V330" s="42" t="s">
        <v>24</v>
      </c>
      <c r="W330" s="45">
        <v>4</v>
      </c>
      <c r="X330" s="46">
        <v>180</v>
      </c>
      <c r="Y330" s="46">
        <v>91.09</v>
      </c>
      <c r="Z330" s="47">
        <f t="shared" si="39"/>
        <v>628.91</v>
      </c>
      <c r="AA330" s="48" t="s">
        <v>32</v>
      </c>
      <c r="AB330"/>
    </row>
    <row r="331" spans="1:28" x14ac:dyDescent="0.25">
      <c r="A331" s="31" t="s">
        <v>611</v>
      </c>
      <c r="B331" s="31" t="s">
        <v>55</v>
      </c>
      <c r="C331" s="32" t="str">
        <f t="shared" si="34"/>
        <v>Ricardo Carvalho</v>
      </c>
      <c r="D331" s="38" t="s">
        <v>612</v>
      </c>
      <c r="E331" s="33">
        <f t="shared" si="35"/>
        <v>45908</v>
      </c>
      <c r="F331" s="32" t="s">
        <v>15</v>
      </c>
      <c r="G331" s="32" t="str">
        <f t="shared" si="36"/>
        <v>Larissa Dias</v>
      </c>
      <c r="H331" s="32" t="s">
        <v>52</v>
      </c>
      <c r="I331" s="32" t="s">
        <v>75</v>
      </c>
      <c r="J331" s="34">
        <v>2</v>
      </c>
      <c r="K331" s="35">
        <v>249</v>
      </c>
      <c r="L331" s="35">
        <v>61.63</v>
      </c>
      <c r="M331" s="36">
        <f t="shared" si="38"/>
        <v>436.37</v>
      </c>
      <c r="N331" s="32" t="s">
        <v>44</v>
      </c>
      <c r="Q331" s="49" t="s">
        <v>611</v>
      </c>
      <c r="R331" s="49" t="s">
        <v>55</v>
      </c>
      <c r="S331" s="58">
        <f t="shared" si="37"/>
        <v>45908</v>
      </c>
      <c r="T331" s="51" t="s">
        <v>15</v>
      </c>
      <c r="U331" s="50" t="s">
        <v>52</v>
      </c>
      <c r="V331" s="52" t="s">
        <v>75</v>
      </c>
      <c r="W331" s="53">
        <v>2</v>
      </c>
      <c r="X331" s="54">
        <v>249</v>
      </c>
      <c r="Y331" s="54">
        <v>61.63</v>
      </c>
      <c r="Z331" s="55">
        <f t="shared" si="39"/>
        <v>436.37</v>
      </c>
      <c r="AA331" s="56" t="s">
        <v>44</v>
      </c>
      <c r="AB331"/>
    </row>
    <row r="332" spans="1:28" x14ac:dyDescent="0.25">
      <c r="A332" s="26" t="s">
        <v>613</v>
      </c>
      <c r="B332" s="26" t="s">
        <v>110</v>
      </c>
      <c r="C332" s="26" t="str">
        <f t="shared" si="34"/>
        <v>Fernanda Lima</v>
      </c>
      <c r="D332" s="37" t="s">
        <v>614</v>
      </c>
      <c r="E332" s="27">
        <f t="shared" si="35"/>
        <v>45691</v>
      </c>
      <c r="F332" s="26" t="s">
        <v>29</v>
      </c>
      <c r="G332" s="26" t="str">
        <f t="shared" si="36"/>
        <v>Camila Rocha</v>
      </c>
      <c r="H332" s="26" t="s">
        <v>16</v>
      </c>
      <c r="I332" s="26" t="s">
        <v>17</v>
      </c>
      <c r="J332" s="28">
        <v>5</v>
      </c>
      <c r="K332" s="29">
        <v>39</v>
      </c>
      <c r="L332" s="29">
        <v>3.88</v>
      </c>
      <c r="M332" s="30">
        <f t="shared" si="38"/>
        <v>191.12</v>
      </c>
      <c r="N332" s="26" t="s">
        <v>25</v>
      </c>
      <c r="Q332" s="42" t="s">
        <v>613</v>
      </c>
      <c r="R332" s="42" t="s">
        <v>110</v>
      </c>
      <c r="S332" s="57">
        <f t="shared" si="37"/>
        <v>45691</v>
      </c>
      <c r="T332" s="44" t="s">
        <v>29</v>
      </c>
      <c r="U332" s="43" t="s">
        <v>16</v>
      </c>
      <c r="V332" s="42" t="s">
        <v>17</v>
      </c>
      <c r="W332" s="45">
        <v>5</v>
      </c>
      <c r="X332" s="46">
        <v>39</v>
      </c>
      <c r="Y332" s="46">
        <v>3.88</v>
      </c>
      <c r="Z332" s="47">
        <f t="shared" si="39"/>
        <v>191.12</v>
      </c>
      <c r="AA332" s="48" t="s">
        <v>25</v>
      </c>
      <c r="AB332"/>
    </row>
    <row r="333" spans="1:28" x14ac:dyDescent="0.25">
      <c r="A333" s="31" t="s">
        <v>615</v>
      </c>
      <c r="B333" s="31" t="s">
        <v>110</v>
      </c>
      <c r="C333" s="32" t="str">
        <f t="shared" si="34"/>
        <v>Fernanda Lima</v>
      </c>
      <c r="D333" s="38" t="s">
        <v>616</v>
      </c>
      <c r="E333" s="33">
        <f t="shared" si="35"/>
        <v>45769</v>
      </c>
      <c r="F333" s="32" t="s">
        <v>29</v>
      </c>
      <c r="G333" s="32" t="str">
        <f t="shared" si="36"/>
        <v>Camila Rocha</v>
      </c>
      <c r="H333" s="32" t="s">
        <v>52</v>
      </c>
      <c r="I333" s="32" t="s">
        <v>99</v>
      </c>
      <c r="J333" s="34">
        <v>2</v>
      </c>
      <c r="K333" s="35">
        <v>79</v>
      </c>
      <c r="L333" s="35">
        <v>0</v>
      </c>
      <c r="M333" s="36">
        <f t="shared" si="38"/>
        <v>158</v>
      </c>
      <c r="N333" s="32" t="s">
        <v>69</v>
      </c>
      <c r="Q333" s="49" t="s">
        <v>615</v>
      </c>
      <c r="R333" s="49" t="s">
        <v>110</v>
      </c>
      <c r="S333" s="58">
        <f t="shared" si="37"/>
        <v>45769</v>
      </c>
      <c r="T333" s="51" t="s">
        <v>29</v>
      </c>
      <c r="U333" s="50" t="s">
        <v>52</v>
      </c>
      <c r="V333" s="52" t="s">
        <v>99</v>
      </c>
      <c r="W333" s="53">
        <v>2</v>
      </c>
      <c r="X333" s="54">
        <v>79</v>
      </c>
      <c r="Y333" s="54">
        <v>0</v>
      </c>
      <c r="Z333" s="55">
        <f t="shared" si="39"/>
        <v>158</v>
      </c>
      <c r="AA333" s="56" t="s">
        <v>69</v>
      </c>
      <c r="AB333"/>
    </row>
    <row r="334" spans="1:28" x14ac:dyDescent="0.25">
      <c r="A334" s="26" t="s">
        <v>617</v>
      </c>
      <c r="B334" s="26" t="s">
        <v>34</v>
      </c>
      <c r="C334" s="26" t="str">
        <f t="shared" si="34"/>
        <v>Carlos Silva</v>
      </c>
      <c r="D334" s="37" t="s">
        <v>618</v>
      </c>
      <c r="E334" s="27">
        <f t="shared" si="35"/>
        <v>45757</v>
      </c>
      <c r="F334" s="26" t="s">
        <v>39</v>
      </c>
      <c r="G334" s="26" t="str">
        <f t="shared" si="36"/>
        <v>Rodrigo Mello</v>
      </c>
      <c r="H334" s="26" t="s">
        <v>52</v>
      </c>
      <c r="I334" s="26" t="s">
        <v>61</v>
      </c>
      <c r="J334" s="28">
        <v>1</v>
      </c>
      <c r="K334" s="29">
        <v>199</v>
      </c>
      <c r="L334" s="29">
        <v>21.62</v>
      </c>
      <c r="M334" s="30">
        <f t="shared" si="38"/>
        <v>177.38</v>
      </c>
      <c r="N334" s="26" t="s">
        <v>65</v>
      </c>
      <c r="Q334" s="42" t="s">
        <v>617</v>
      </c>
      <c r="R334" s="42" t="s">
        <v>34</v>
      </c>
      <c r="S334" s="57">
        <f t="shared" si="37"/>
        <v>45757</v>
      </c>
      <c r="T334" s="44" t="s">
        <v>39</v>
      </c>
      <c r="U334" s="43" t="s">
        <v>52</v>
      </c>
      <c r="V334" s="42" t="s">
        <v>61</v>
      </c>
      <c r="W334" s="45">
        <v>1</v>
      </c>
      <c r="X334" s="46">
        <v>199</v>
      </c>
      <c r="Y334" s="46">
        <v>21.62</v>
      </c>
      <c r="Z334" s="47">
        <f t="shared" si="39"/>
        <v>177.38</v>
      </c>
      <c r="AA334" s="48" t="s">
        <v>65</v>
      </c>
      <c r="AB334"/>
    </row>
    <row r="335" spans="1:28" x14ac:dyDescent="0.25">
      <c r="A335" s="31" t="s">
        <v>619</v>
      </c>
      <c r="B335" s="31" t="s">
        <v>34</v>
      </c>
      <c r="C335" s="32" t="str">
        <f t="shared" si="34"/>
        <v>Carlos Silva</v>
      </c>
      <c r="D335" s="38" t="s">
        <v>360</v>
      </c>
      <c r="E335" s="33">
        <f t="shared" si="35"/>
        <v>45778</v>
      </c>
      <c r="F335" s="32" t="s">
        <v>22</v>
      </c>
      <c r="G335" s="32" t="str">
        <f t="shared" si="36"/>
        <v>Amanda Costa</v>
      </c>
      <c r="H335" s="32" t="s">
        <v>16</v>
      </c>
      <c r="I335" s="32" t="s">
        <v>116</v>
      </c>
      <c r="J335" s="34">
        <v>1</v>
      </c>
      <c r="K335" s="35">
        <v>45</v>
      </c>
      <c r="L335" s="35">
        <v>0</v>
      </c>
      <c r="M335" s="36">
        <f t="shared" si="38"/>
        <v>45</v>
      </c>
      <c r="N335" s="32" t="s">
        <v>25</v>
      </c>
      <c r="Q335" s="49" t="s">
        <v>619</v>
      </c>
      <c r="R335" s="49" t="s">
        <v>34</v>
      </c>
      <c r="S335" s="58">
        <f t="shared" si="37"/>
        <v>45778</v>
      </c>
      <c r="T335" s="51" t="s">
        <v>22</v>
      </c>
      <c r="U335" s="50" t="s">
        <v>16</v>
      </c>
      <c r="V335" s="52" t="s">
        <v>116</v>
      </c>
      <c r="W335" s="53">
        <v>1</v>
      </c>
      <c r="X335" s="54">
        <v>45</v>
      </c>
      <c r="Y335" s="54">
        <v>0</v>
      </c>
      <c r="Z335" s="55">
        <f t="shared" si="39"/>
        <v>45</v>
      </c>
      <c r="AA335" s="56" t="s">
        <v>25</v>
      </c>
      <c r="AB335"/>
    </row>
    <row r="336" spans="1:28" x14ac:dyDescent="0.25">
      <c r="A336" s="26" t="s">
        <v>620</v>
      </c>
      <c r="B336" s="26" t="s">
        <v>71</v>
      </c>
      <c r="C336" s="26" t="str">
        <f t="shared" si="34"/>
        <v>Juliana Costa</v>
      </c>
      <c r="D336" s="37" t="s">
        <v>220</v>
      </c>
      <c r="E336" s="27">
        <f t="shared" si="35"/>
        <v>45760</v>
      </c>
      <c r="F336" s="26" t="s">
        <v>29</v>
      </c>
      <c r="G336" s="26" t="str">
        <f t="shared" si="36"/>
        <v>Camila Rocha</v>
      </c>
      <c r="H336" s="26" t="s">
        <v>52</v>
      </c>
      <c r="I336" s="26" t="s">
        <v>75</v>
      </c>
      <c r="J336" s="28">
        <v>5</v>
      </c>
      <c r="K336" s="29">
        <v>249</v>
      </c>
      <c r="L336" s="29">
        <v>0</v>
      </c>
      <c r="M336" s="30">
        <f t="shared" si="38"/>
        <v>1245</v>
      </c>
      <c r="N336" s="26" t="s">
        <v>32</v>
      </c>
      <c r="Q336" s="42" t="s">
        <v>620</v>
      </c>
      <c r="R336" s="42" t="s">
        <v>71</v>
      </c>
      <c r="S336" s="57">
        <f t="shared" si="37"/>
        <v>45760</v>
      </c>
      <c r="T336" s="44" t="s">
        <v>29</v>
      </c>
      <c r="U336" s="43" t="s">
        <v>52</v>
      </c>
      <c r="V336" s="42" t="s">
        <v>75</v>
      </c>
      <c r="W336" s="45">
        <v>5</v>
      </c>
      <c r="X336" s="46">
        <v>249</v>
      </c>
      <c r="Y336" s="46">
        <v>0</v>
      </c>
      <c r="Z336" s="47">
        <f t="shared" si="39"/>
        <v>1245</v>
      </c>
      <c r="AA336" s="48" t="s">
        <v>32</v>
      </c>
      <c r="AB336"/>
    </row>
    <row r="337" spans="1:28" x14ac:dyDescent="0.25">
      <c r="A337" s="31" t="s">
        <v>621</v>
      </c>
      <c r="B337" s="31" t="s">
        <v>277</v>
      </c>
      <c r="C337" s="32" t="str">
        <f t="shared" si="34"/>
        <v>Carlos Silva</v>
      </c>
      <c r="D337" s="38" t="s">
        <v>622</v>
      </c>
      <c r="E337" s="33">
        <f t="shared" si="35"/>
        <v>46023</v>
      </c>
      <c r="F337" s="32" t="s">
        <v>22</v>
      </c>
      <c r="G337" s="32" t="str">
        <f t="shared" si="36"/>
        <v>Amanda Costa</v>
      </c>
      <c r="H337" s="32" t="s">
        <v>23</v>
      </c>
      <c r="I337" s="32" t="s">
        <v>48</v>
      </c>
      <c r="J337" s="34">
        <v>1</v>
      </c>
      <c r="K337" s="35">
        <v>450</v>
      </c>
      <c r="L337" s="35">
        <v>45.62</v>
      </c>
      <c r="M337" s="36">
        <f t="shared" si="38"/>
        <v>404.38</v>
      </c>
      <c r="N337" s="32" t="s">
        <v>65</v>
      </c>
      <c r="Q337" s="49" t="s">
        <v>621</v>
      </c>
      <c r="R337" s="49" t="s">
        <v>34</v>
      </c>
      <c r="S337" s="58">
        <f t="shared" si="37"/>
        <v>46023</v>
      </c>
      <c r="T337" s="51" t="s">
        <v>22</v>
      </c>
      <c r="U337" s="50" t="s">
        <v>23</v>
      </c>
      <c r="V337" s="52" t="s">
        <v>48</v>
      </c>
      <c r="W337" s="53">
        <v>1</v>
      </c>
      <c r="X337" s="54">
        <v>450</v>
      </c>
      <c r="Y337" s="54">
        <v>45.62</v>
      </c>
      <c r="Z337" s="55">
        <f t="shared" si="39"/>
        <v>404.38</v>
      </c>
      <c r="AA337" s="56" t="s">
        <v>65</v>
      </c>
      <c r="AB337"/>
    </row>
    <row r="338" spans="1:28" x14ac:dyDescent="0.25">
      <c r="A338" s="26" t="s">
        <v>623</v>
      </c>
      <c r="B338" s="26" t="s">
        <v>101</v>
      </c>
      <c r="C338" s="26" t="str">
        <f t="shared" si="34"/>
        <v>Ana Souza</v>
      </c>
      <c r="D338" s="37" t="s">
        <v>263</v>
      </c>
      <c r="E338" s="27">
        <f t="shared" si="35"/>
        <v>45684</v>
      </c>
      <c r="F338" s="26" t="s">
        <v>29</v>
      </c>
      <c r="G338" s="26" t="str">
        <f t="shared" si="36"/>
        <v>Camila Rocha</v>
      </c>
      <c r="H338" s="26" t="s">
        <v>16</v>
      </c>
      <c r="I338" s="26" t="s">
        <v>78</v>
      </c>
      <c r="J338" s="28">
        <v>1</v>
      </c>
      <c r="K338" s="29">
        <v>59</v>
      </c>
      <c r="L338" s="29">
        <v>4.01</v>
      </c>
      <c r="M338" s="30">
        <f t="shared" si="38"/>
        <v>54.99</v>
      </c>
      <c r="N338" s="26" t="s">
        <v>18</v>
      </c>
      <c r="Q338" s="42" t="s">
        <v>623</v>
      </c>
      <c r="R338" s="42" t="s">
        <v>101</v>
      </c>
      <c r="S338" s="57">
        <f t="shared" si="37"/>
        <v>45684</v>
      </c>
      <c r="T338" s="44" t="s">
        <v>29</v>
      </c>
      <c r="U338" s="43" t="s">
        <v>16</v>
      </c>
      <c r="V338" s="42" t="s">
        <v>78</v>
      </c>
      <c r="W338" s="45">
        <v>1</v>
      </c>
      <c r="X338" s="46">
        <v>59</v>
      </c>
      <c r="Y338" s="46">
        <v>4.01</v>
      </c>
      <c r="Z338" s="47">
        <f t="shared" si="39"/>
        <v>54.99</v>
      </c>
      <c r="AA338" s="48" t="s">
        <v>18</v>
      </c>
      <c r="AB338"/>
    </row>
    <row r="339" spans="1:28" x14ac:dyDescent="0.25">
      <c r="A339" s="31" t="s">
        <v>624</v>
      </c>
      <c r="B339" s="31" t="s">
        <v>20</v>
      </c>
      <c r="C339" s="32" t="str">
        <f t="shared" si="34"/>
        <v>Beatriz Ribeiro</v>
      </c>
      <c r="D339" s="38" t="s">
        <v>21</v>
      </c>
      <c r="E339" s="33">
        <f t="shared" si="35"/>
        <v>45985</v>
      </c>
      <c r="F339" s="32" t="s">
        <v>22</v>
      </c>
      <c r="G339" s="32" t="str">
        <f t="shared" si="36"/>
        <v>Amanda Costa</v>
      </c>
      <c r="H339" s="32" t="s">
        <v>23</v>
      </c>
      <c r="I339" s="32" t="s">
        <v>43</v>
      </c>
      <c r="J339" s="34">
        <v>2</v>
      </c>
      <c r="K339" s="35">
        <v>350</v>
      </c>
      <c r="L339" s="35">
        <v>101.57</v>
      </c>
      <c r="M339" s="36">
        <f t="shared" si="38"/>
        <v>598.43000000000006</v>
      </c>
      <c r="N339" s="32" t="s">
        <v>49</v>
      </c>
      <c r="Q339" s="49" t="s">
        <v>624</v>
      </c>
      <c r="R339" s="49" t="s">
        <v>20</v>
      </c>
      <c r="S339" s="58">
        <f t="shared" si="37"/>
        <v>45985</v>
      </c>
      <c r="T339" s="51" t="s">
        <v>22</v>
      </c>
      <c r="U339" s="50" t="s">
        <v>23</v>
      </c>
      <c r="V339" s="52" t="s">
        <v>43</v>
      </c>
      <c r="W339" s="53">
        <v>2</v>
      </c>
      <c r="X339" s="54">
        <v>350</v>
      </c>
      <c r="Y339" s="54">
        <v>101.57</v>
      </c>
      <c r="Z339" s="55">
        <f t="shared" si="39"/>
        <v>598.43000000000006</v>
      </c>
      <c r="AA339" s="56" t="s">
        <v>49</v>
      </c>
      <c r="AB339"/>
    </row>
    <row r="340" spans="1:28" x14ac:dyDescent="0.25">
      <c r="A340" s="26" t="s">
        <v>625</v>
      </c>
      <c r="B340" s="26" t="s">
        <v>101</v>
      </c>
      <c r="C340" s="26" t="str">
        <f t="shared" si="34"/>
        <v>Ana Souza</v>
      </c>
      <c r="D340" s="37" t="s">
        <v>151</v>
      </c>
      <c r="E340" s="27">
        <f t="shared" si="35"/>
        <v>45843</v>
      </c>
      <c r="F340" s="26" t="s">
        <v>39</v>
      </c>
      <c r="G340" s="26" t="str">
        <f t="shared" si="36"/>
        <v>Rodrigo Mello</v>
      </c>
      <c r="H340" s="26" t="s">
        <v>16</v>
      </c>
      <c r="I340" s="26" t="s">
        <v>78</v>
      </c>
      <c r="J340" s="28">
        <v>1</v>
      </c>
      <c r="K340" s="29">
        <v>59</v>
      </c>
      <c r="L340" s="29">
        <v>0</v>
      </c>
      <c r="M340" s="30">
        <f t="shared" si="38"/>
        <v>59</v>
      </c>
      <c r="N340" s="26" t="s">
        <v>69</v>
      </c>
      <c r="Q340" s="42" t="s">
        <v>625</v>
      </c>
      <c r="R340" s="42" t="s">
        <v>101</v>
      </c>
      <c r="S340" s="57">
        <f t="shared" si="37"/>
        <v>45843</v>
      </c>
      <c r="T340" s="44" t="s">
        <v>39</v>
      </c>
      <c r="U340" s="43" t="s">
        <v>16</v>
      </c>
      <c r="V340" s="42" t="s">
        <v>78</v>
      </c>
      <c r="W340" s="45">
        <v>1</v>
      </c>
      <c r="X340" s="46">
        <v>59</v>
      </c>
      <c r="Y340" s="46">
        <v>0</v>
      </c>
      <c r="Z340" s="47">
        <f t="shared" si="39"/>
        <v>59</v>
      </c>
      <c r="AA340" s="48" t="s">
        <v>69</v>
      </c>
      <c r="AB340"/>
    </row>
    <row r="341" spans="1:28" x14ac:dyDescent="0.25">
      <c r="A341" s="31" t="s">
        <v>626</v>
      </c>
      <c r="B341" s="31" t="s">
        <v>101</v>
      </c>
      <c r="C341" s="32" t="str">
        <f t="shared" si="34"/>
        <v>Ana Souza</v>
      </c>
      <c r="D341" s="38" t="s">
        <v>627</v>
      </c>
      <c r="E341" s="33">
        <f t="shared" si="35"/>
        <v>45840</v>
      </c>
      <c r="F341" s="32" t="s">
        <v>39</v>
      </c>
      <c r="G341" s="32" t="str">
        <f t="shared" si="36"/>
        <v>Rodrigo Mello</v>
      </c>
      <c r="H341" s="32" t="s">
        <v>52</v>
      </c>
      <c r="I341" s="32" t="s">
        <v>99</v>
      </c>
      <c r="J341" s="34">
        <v>3</v>
      </c>
      <c r="K341" s="35">
        <v>79</v>
      </c>
      <c r="L341" s="35">
        <v>0</v>
      </c>
      <c r="M341" s="36">
        <f t="shared" si="38"/>
        <v>237</v>
      </c>
      <c r="N341" s="32" t="s">
        <v>65</v>
      </c>
      <c r="Q341" s="49" t="s">
        <v>626</v>
      </c>
      <c r="R341" s="49" t="s">
        <v>101</v>
      </c>
      <c r="S341" s="58">
        <f t="shared" si="37"/>
        <v>45840</v>
      </c>
      <c r="T341" s="51" t="s">
        <v>39</v>
      </c>
      <c r="U341" s="50" t="s">
        <v>52</v>
      </c>
      <c r="V341" s="52" t="s">
        <v>99</v>
      </c>
      <c r="W341" s="53">
        <v>3</v>
      </c>
      <c r="X341" s="54">
        <v>79</v>
      </c>
      <c r="Y341" s="54">
        <v>0</v>
      </c>
      <c r="Z341" s="55">
        <f t="shared" si="39"/>
        <v>237</v>
      </c>
      <c r="AA341" s="56" t="s">
        <v>65</v>
      </c>
      <c r="AB341"/>
    </row>
    <row r="342" spans="1:28" x14ac:dyDescent="0.25">
      <c r="A342" s="26" t="s">
        <v>628</v>
      </c>
      <c r="B342" s="26" t="s">
        <v>20</v>
      </c>
      <c r="C342" s="26" t="str">
        <f t="shared" si="34"/>
        <v>Beatriz Ribeiro</v>
      </c>
      <c r="D342" s="37" t="s">
        <v>174</v>
      </c>
      <c r="E342" s="27">
        <f t="shared" si="35"/>
        <v>46029</v>
      </c>
      <c r="F342" s="26" t="s">
        <v>15</v>
      </c>
      <c r="G342" s="26" t="str">
        <f t="shared" si="36"/>
        <v>Larissa Dias</v>
      </c>
      <c r="H342" s="26" t="s">
        <v>16</v>
      </c>
      <c r="I342" s="26" t="s">
        <v>116</v>
      </c>
      <c r="J342" s="28">
        <v>5</v>
      </c>
      <c r="K342" s="29">
        <v>45</v>
      </c>
      <c r="L342" s="29">
        <v>14.74</v>
      </c>
      <c r="M342" s="30">
        <f t="shared" si="38"/>
        <v>210.26</v>
      </c>
      <c r="N342" s="26" t="s">
        <v>25</v>
      </c>
      <c r="Q342" s="42" t="s">
        <v>628</v>
      </c>
      <c r="R342" s="42" t="s">
        <v>20</v>
      </c>
      <c r="S342" s="57">
        <f t="shared" si="37"/>
        <v>46029</v>
      </c>
      <c r="T342" s="44" t="s">
        <v>15</v>
      </c>
      <c r="U342" s="43" t="s">
        <v>16</v>
      </c>
      <c r="V342" s="42" t="s">
        <v>116</v>
      </c>
      <c r="W342" s="45">
        <v>5</v>
      </c>
      <c r="X342" s="46">
        <v>45</v>
      </c>
      <c r="Y342" s="46">
        <v>14.74</v>
      </c>
      <c r="Z342" s="47">
        <f t="shared" si="39"/>
        <v>210.26</v>
      </c>
      <c r="AA342" s="48" t="s">
        <v>25</v>
      </c>
      <c r="AB342"/>
    </row>
    <row r="343" spans="1:28" x14ac:dyDescent="0.25">
      <c r="A343" s="31" t="s">
        <v>629</v>
      </c>
      <c r="B343" s="31" t="s">
        <v>277</v>
      </c>
      <c r="C343" s="32" t="str">
        <f t="shared" si="34"/>
        <v>Carlos Silva</v>
      </c>
      <c r="D343" s="38" t="s">
        <v>630</v>
      </c>
      <c r="E343" s="33">
        <f t="shared" si="35"/>
        <v>46005</v>
      </c>
      <c r="F343" s="32" t="s">
        <v>39</v>
      </c>
      <c r="G343" s="32" t="str">
        <f t="shared" si="36"/>
        <v>Rodrigo Mello</v>
      </c>
      <c r="H343" s="32" t="s">
        <v>16</v>
      </c>
      <c r="I343" s="32" t="s">
        <v>78</v>
      </c>
      <c r="J343" s="34">
        <v>2</v>
      </c>
      <c r="K343" s="35">
        <v>59</v>
      </c>
      <c r="L343" s="35">
        <v>0</v>
      </c>
      <c r="M343" s="36">
        <f t="shared" si="38"/>
        <v>118</v>
      </c>
      <c r="N343" s="32" t="s">
        <v>18</v>
      </c>
      <c r="Q343" s="49" t="s">
        <v>629</v>
      </c>
      <c r="R343" s="49" t="s">
        <v>34</v>
      </c>
      <c r="S343" s="58">
        <f t="shared" si="37"/>
        <v>46005</v>
      </c>
      <c r="T343" s="51" t="s">
        <v>39</v>
      </c>
      <c r="U343" s="50" t="s">
        <v>16</v>
      </c>
      <c r="V343" s="52" t="s">
        <v>78</v>
      </c>
      <c r="W343" s="53">
        <v>2</v>
      </c>
      <c r="X343" s="54">
        <v>59</v>
      </c>
      <c r="Y343" s="54">
        <v>0</v>
      </c>
      <c r="Z343" s="55">
        <f t="shared" si="39"/>
        <v>118</v>
      </c>
      <c r="AA343" s="56" t="s">
        <v>18</v>
      </c>
      <c r="AB343"/>
    </row>
    <row r="344" spans="1:28" x14ac:dyDescent="0.25">
      <c r="A344" s="26" t="s">
        <v>631</v>
      </c>
      <c r="B344" s="26" t="s">
        <v>13</v>
      </c>
      <c r="C344" s="26" t="str">
        <f t="shared" si="34"/>
        <v>Lucas Almeida</v>
      </c>
      <c r="D344" s="37" t="s">
        <v>632</v>
      </c>
      <c r="E344" s="27">
        <f t="shared" si="35"/>
        <v>46008</v>
      </c>
      <c r="F344" s="26" t="s">
        <v>29</v>
      </c>
      <c r="G344" s="26" t="str">
        <f t="shared" si="36"/>
        <v>Camila Rocha</v>
      </c>
      <c r="H344" s="26" t="s">
        <v>23</v>
      </c>
      <c r="I344" s="26" t="s">
        <v>24</v>
      </c>
      <c r="J344" s="28">
        <v>2</v>
      </c>
      <c r="K344" s="29">
        <v>180</v>
      </c>
      <c r="L344" s="29">
        <v>14.92</v>
      </c>
      <c r="M344" s="30">
        <f t="shared" si="38"/>
        <v>345.08</v>
      </c>
      <c r="N344" s="26" t="s">
        <v>65</v>
      </c>
      <c r="Q344" s="42" t="s">
        <v>631</v>
      </c>
      <c r="R344" s="42" t="s">
        <v>13</v>
      </c>
      <c r="S344" s="57">
        <f t="shared" si="37"/>
        <v>46008</v>
      </c>
      <c r="T344" s="44" t="s">
        <v>29</v>
      </c>
      <c r="U344" s="43" t="s">
        <v>23</v>
      </c>
      <c r="V344" s="42" t="s">
        <v>24</v>
      </c>
      <c r="W344" s="45">
        <v>2</v>
      </c>
      <c r="X344" s="46">
        <v>180</v>
      </c>
      <c r="Y344" s="46">
        <v>14.92</v>
      </c>
      <c r="Z344" s="47">
        <f t="shared" si="39"/>
        <v>345.08</v>
      </c>
      <c r="AA344" s="48" t="s">
        <v>65</v>
      </c>
      <c r="AB344"/>
    </row>
    <row r="345" spans="1:28" x14ac:dyDescent="0.25">
      <c r="A345" s="31" t="s">
        <v>633</v>
      </c>
      <c r="B345" s="31" t="s">
        <v>101</v>
      </c>
      <c r="C345" s="32" t="str">
        <f t="shared" si="34"/>
        <v>Ana Souza</v>
      </c>
      <c r="D345" s="38" t="s">
        <v>634</v>
      </c>
      <c r="E345" s="33">
        <f t="shared" si="35"/>
        <v>46009</v>
      </c>
      <c r="F345" s="32" t="s">
        <v>47</v>
      </c>
      <c r="G345" s="32" t="str">
        <f t="shared" si="36"/>
        <v>Bruno Martins</v>
      </c>
      <c r="H345" s="32" t="s">
        <v>52</v>
      </c>
      <c r="I345" s="32" t="s">
        <v>99</v>
      </c>
      <c r="J345" s="34">
        <v>4</v>
      </c>
      <c r="K345" s="35">
        <v>79</v>
      </c>
      <c r="L345" s="35">
        <v>0</v>
      </c>
      <c r="M345" s="36">
        <f t="shared" si="38"/>
        <v>316</v>
      </c>
      <c r="N345" s="32" t="s">
        <v>69</v>
      </c>
      <c r="Q345" s="49" t="s">
        <v>633</v>
      </c>
      <c r="R345" s="49" t="s">
        <v>101</v>
      </c>
      <c r="S345" s="58">
        <f t="shared" si="37"/>
        <v>46009</v>
      </c>
      <c r="T345" s="51" t="s">
        <v>47</v>
      </c>
      <c r="U345" s="50" t="s">
        <v>52</v>
      </c>
      <c r="V345" s="52" t="s">
        <v>99</v>
      </c>
      <c r="W345" s="53">
        <v>4</v>
      </c>
      <c r="X345" s="54">
        <v>79</v>
      </c>
      <c r="Y345" s="54">
        <v>0</v>
      </c>
      <c r="Z345" s="55">
        <f t="shared" si="39"/>
        <v>316</v>
      </c>
      <c r="AA345" s="56" t="s">
        <v>69</v>
      </c>
      <c r="AB345"/>
    </row>
    <row r="346" spans="1:28" x14ac:dyDescent="0.25">
      <c r="A346" s="26" t="s">
        <v>635</v>
      </c>
      <c r="B346" s="26" t="s">
        <v>34</v>
      </c>
      <c r="C346" s="26" t="str">
        <f t="shared" si="34"/>
        <v>Carlos Silva</v>
      </c>
      <c r="D346" s="37" t="s">
        <v>151</v>
      </c>
      <c r="E346" s="27">
        <f t="shared" si="35"/>
        <v>45843</v>
      </c>
      <c r="F346" s="26" t="s">
        <v>29</v>
      </c>
      <c r="G346" s="26" t="str">
        <f t="shared" si="36"/>
        <v>Camila Rocha</v>
      </c>
      <c r="H346" s="26" t="s">
        <v>52</v>
      </c>
      <c r="I346" s="26" t="s">
        <v>75</v>
      </c>
      <c r="J346" s="28">
        <v>3</v>
      </c>
      <c r="K346" s="29">
        <v>249</v>
      </c>
      <c r="L346" s="29">
        <v>0</v>
      </c>
      <c r="M346" s="30">
        <f t="shared" si="38"/>
        <v>747</v>
      </c>
      <c r="N346" s="26" t="s">
        <v>25</v>
      </c>
      <c r="Q346" s="42" t="s">
        <v>635</v>
      </c>
      <c r="R346" s="42" t="s">
        <v>34</v>
      </c>
      <c r="S346" s="57">
        <f t="shared" si="37"/>
        <v>45843</v>
      </c>
      <c r="T346" s="44" t="s">
        <v>29</v>
      </c>
      <c r="U346" s="43" t="s">
        <v>52</v>
      </c>
      <c r="V346" s="42" t="s">
        <v>75</v>
      </c>
      <c r="W346" s="45">
        <v>3</v>
      </c>
      <c r="X346" s="46">
        <v>249</v>
      </c>
      <c r="Y346" s="46">
        <v>0</v>
      </c>
      <c r="Z346" s="47">
        <f t="shared" si="39"/>
        <v>747</v>
      </c>
      <c r="AA346" s="48" t="s">
        <v>25</v>
      </c>
      <c r="AB346"/>
    </row>
    <row r="347" spans="1:28" x14ac:dyDescent="0.25">
      <c r="A347" s="31" t="s">
        <v>636</v>
      </c>
      <c r="B347" s="31" t="s">
        <v>71</v>
      </c>
      <c r="C347" s="32" t="str">
        <f t="shared" si="34"/>
        <v>Juliana Costa</v>
      </c>
      <c r="D347" s="38" t="s">
        <v>407</v>
      </c>
      <c r="E347" s="33">
        <f t="shared" si="35"/>
        <v>45969</v>
      </c>
      <c r="F347" s="32" t="s">
        <v>29</v>
      </c>
      <c r="G347" s="32" t="str">
        <f t="shared" si="36"/>
        <v>Camila Rocha</v>
      </c>
      <c r="H347" s="32" t="s">
        <v>30</v>
      </c>
      <c r="I347" s="32" t="s">
        <v>68</v>
      </c>
      <c r="J347" s="34">
        <v>2</v>
      </c>
      <c r="K347" s="35">
        <v>799</v>
      </c>
      <c r="L347" s="35">
        <v>0</v>
      </c>
      <c r="M347" s="36">
        <f t="shared" si="38"/>
        <v>1598</v>
      </c>
      <c r="N347" s="32" t="s">
        <v>65</v>
      </c>
      <c r="Q347" s="49" t="s">
        <v>636</v>
      </c>
      <c r="R347" s="49" t="s">
        <v>71</v>
      </c>
      <c r="S347" s="58">
        <f t="shared" si="37"/>
        <v>45969</v>
      </c>
      <c r="T347" s="51" t="s">
        <v>29</v>
      </c>
      <c r="U347" s="50" t="s">
        <v>30</v>
      </c>
      <c r="V347" s="52" t="s">
        <v>68</v>
      </c>
      <c r="W347" s="53">
        <v>2</v>
      </c>
      <c r="X347" s="54">
        <v>799</v>
      </c>
      <c r="Y347" s="54">
        <v>0</v>
      </c>
      <c r="Z347" s="55">
        <f t="shared" si="39"/>
        <v>1598</v>
      </c>
      <c r="AA347" s="56" t="s">
        <v>65</v>
      </c>
      <c r="AB347"/>
    </row>
    <row r="348" spans="1:28" x14ac:dyDescent="0.25">
      <c r="A348" s="26" t="s">
        <v>637</v>
      </c>
      <c r="B348" s="26" t="s">
        <v>41</v>
      </c>
      <c r="C348" s="26" t="str">
        <f t="shared" si="34"/>
        <v>João Pereira</v>
      </c>
      <c r="D348" s="37" t="s">
        <v>638</v>
      </c>
      <c r="E348" s="27">
        <f t="shared" si="35"/>
        <v>45752</v>
      </c>
      <c r="F348" s="26" t="s">
        <v>29</v>
      </c>
      <c r="G348" s="26" t="str">
        <f t="shared" si="36"/>
        <v>Camila Rocha</v>
      </c>
      <c r="H348" s="26" t="s">
        <v>16</v>
      </c>
      <c r="I348" s="26" t="s">
        <v>103</v>
      </c>
      <c r="J348" s="28">
        <v>1</v>
      </c>
      <c r="K348" s="29">
        <v>89</v>
      </c>
      <c r="L348" s="29">
        <v>0.31</v>
      </c>
      <c r="M348" s="30">
        <f t="shared" si="38"/>
        <v>88.69</v>
      </c>
      <c r="N348" s="26" t="s">
        <v>32</v>
      </c>
      <c r="Q348" s="42" t="s">
        <v>637</v>
      </c>
      <c r="R348" s="42" t="s">
        <v>41</v>
      </c>
      <c r="S348" s="57">
        <f t="shared" si="37"/>
        <v>45752</v>
      </c>
      <c r="T348" s="44" t="s">
        <v>29</v>
      </c>
      <c r="U348" s="43" t="s">
        <v>16</v>
      </c>
      <c r="V348" s="42" t="s">
        <v>103</v>
      </c>
      <c r="W348" s="45">
        <v>1</v>
      </c>
      <c r="X348" s="46">
        <v>89</v>
      </c>
      <c r="Y348" s="46">
        <v>0.31</v>
      </c>
      <c r="Z348" s="47">
        <f t="shared" si="39"/>
        <v>88.69</v>
      </c>
      <c r="AA348" s="48" t="s">
        <v>32</v>
      </c>
      <c r="AB348"/>
    </row>
    <row r="349" spans="1:28" x14ac:dyDescent="0.25">
      <c r="A349" s="31" t="s">
        <v>639</v>
      </c>
      <c r="B349" s="31" t="s">
        <v>95</v>
      </c>
      <c r="C349" s="32" t="str">
        <f t="shared" si="34"/>
        <v>Maria Oliveira</v>
      </c>
      <c r="D349" s="38" t="s">
        <v>67</v>
      </c>
      <c r="E349" s="33">
        <f t="shared" si="35"/>
        <v>45905</v>
      </c>
      <c r="F349" s="32" t="s">
        <v>29</v>
      </c>
      <c r="G349" s="32" t="str">
        <f t="shared" si="36"/>
        <v>Camila Rocha</v>
      </c>
      <c r="H349" s="32" t="s">
        <v>52</v>
      </c>
      <c r="I349" s="32" t="s">
        <v>61</v>
      </c>
      <c r="J349" s="34">
        <v>4</v>
      </c>
      <c r="K349" s="35">
        <v>199</v>
      </c>
      <c r="L349" s="35">
        <v>0</v>
      </c>
      <c r="M349" s="36">
        <f t="shared" si="38"/>
        <v>796</v>
      </c>
      <c r="N349" s="32" t="s">
        <v>65</v>
      </c>
      <c r="Q349" s="49" t="s">
        <v>639</v>
      </c>
      <c r="R349" s="49" t="s">
        <v>95</v>
      </c>
      <c r="S349" s="58">
        <f t="shared" si="37"/>
        <v>45905</v>
      </c>
      <c r="T349" s="51" t="s">
        <v>29</v>
      </c>
      <c r="U349" s="50" t="s">
        <v>52</v>
      </c>
      <c r="V349" s="52" t="s">
        <v>61</v>
      </c>
      <c r="W349" s="53">
        <v>4</v>
      </c>
      <c r="X349" s="54">
        <v>199</v>
      </c>
      <c r="Y349" s="54">
        <v>0</v>
      </c>
      <c r="Z349" s="55">
        <f t="shared" si="39"/>
        <v>796</v>
      </c>
      <c r="AA349" s="56" t="s">
        <v>65</v>
      </c>
      <c r="AB349"/>
    </row>
    <row r="350" spans="1:28" x14ac:dyDescent="0.25">
      <c r="A350" s="26" t="s">
        <v>640</v>
      </c>
      <c r="B350" s="26" t="s">
        <v>95</v>
      </c>
      <c r="C350" s="26" t="str">
        <f t="shared" si="34"/>
        <v>Maria Oliveira</v>
      </c>
      <c r="D350" s="37" t="s">
        <v>183</v>
      </c>
      <c r="E350" s="27">
        <f t="shared" si="35"/>
        <v>45802</v>
      </c>
      <c r="F350" s="26" t="s">
        <v>39</v>
      </c>
      <c r="G350" s="26" t="str">
        <f t="shared" si="36"/>
        <v>Rodrigo Mello</v>
      </c>
      <c r="H350" s="26" t="s">
        <v>30</v>
      </c>
      <c r="I350" s="26" t="s">
        <v>68</v>
      </c>
      <c r="J350" s="28">
        <v>3</v>
      </c>
      <c r="K350" s="29">
        <v>799</v>
      </c>
      <c r="L350" s="29">
        <v>0</v>
      </c>
      <c r="M350" s="30">
        <f t="shared" si="38"/>
        <v>2397</v>
      </c>
      <c r="N350" s="26" t="s">
        <v>65</v>
      </c>
      <c r="Q350" s="42" t="s">
        <v>640</v>
      </c>
      <c r="R350" s="42" t="s">
        <v>95</v>
      </c>
      <c r="S350" s="57">
        <f t="shared" si="37"/>
        <v>45802</v>
      </c>
      <c r="T350" s="44" t="s">
        <v>39</v>
      </c>
      <c r="U350" s="43" t="s">
        <v>30</v>
      </c>
      <c r="V350" s="42" t="s">
        <v>68</v>
      </c>
      <c r="W350" s="45">
        <v>3</v>
      </c>
      <c r="X350" s="46">
        <v>799</v>
      </c>
      <c r="Y350" s="46">
        <v>0</v>
      </c>
      <c r="Z350" s="47">
        <f t="shared" si="39"/>
        <v>2397</v>
      </c>
      <c r="AA350" s="48" t="s">
        <v>65</v>
      </c>
      <c r="AB350"/>
    </row>
    <row r="351" spans="1:28" x14ac:dyDescent="0.25">
      <c r="A351" s="31" t="s">
        <v>641</v>
      </c>
      <c r="B351" s="31" t="s">
        <v>71</v>
      </c>
      <c r="C351" s="32" t="str">
        <f t="shared" si="34"/>
        <v>Juliana Costa</v>
      </c>
      <c r="D351" s="38" t="s">
        <v>108</v>
      </c>
      <c r="E351" s="33">
        <f t="shared" si="35"/>
        <v>46003</v>
      </c>
      <c r="F351" s="32" t="s">
        <v>15</v>
      </c>
      <c r="G351" s="32" t="str">
        <f t="shared" si="36"/>
        <v>Larissa Dias</v>
      </c>
      <c r="H351" s="32" t="s">
        <v>52</v>
      </c>
      <c r="I351" s="32" t="s">
        <v>99</v>
      </c>
      <c r="J351" s="34">
        <v>1</v>
      </c>
      <c r="K351" s="35">
        <v>79</v>
      </c>
      <c r="L351" s="35">
        <v>4.5999999999999996</v>
      </c>
      <c r="M351" s="36">
        <f t="shared" si="38"/>
        <v>74.400000000000006</v>
      </c>
      <c r="N351" s="32" t="s">
        <v>49</v>
      </c>
      <c r="Q351" s="49" t="s">
        <v>641</v>
      </c>
      <c r="R351" s="49" t="s">
        <v>71</v>
      </c>
      <c r="S351" s="58">
        <f t="shared" si="37"/>
        <v>46003</v>
      </c>
      <c r="T351" s="51" t="s">
        <v>15</v>
      </c>
      <c r="U351" s="50" t="s">
        <v>52</v>
      </c>
      <c r="V351" s="52" t="s">
        <v>99</v>
      </c>
      <c r="W351" s="53">
        <v>1</v>
      </c>
      <c r="X351" s="54">
        <v>79</v>
      </c>
      <c r="Y351" s="54">
        <v>4.5999999999999996</v>
      </c>
      <c r="Z351" s="55">
        <f t="shared" si="39"/>
        <v>74.400000000000006</v>
      </c>
      <c r="AA351" s="56" t="s">
        <v>49</v>
      </c>
      <c r="AB351"/>
    </row>
    <row r="352" spans="1:28" x14ac:dyDescent="0.25">
      <c r="A352" s="26" t="s">
        <v>642</v>
      </c>
      <c r="B352" s="26" t="s">
        <v>20</v>
      </c>
      <c r="C352" s="26" t="str">
        <f t="shared" si="34"/>
        <v>Beatriz Ribeiro</v>
      </c>
      <c r="D352" s="37" t="s">
        <v>547</v>
      </c>
      <c r="E352" s="27">
        <f t="shared" si="35"/>
        <v>45768</v>
      </c>
      <c r="F352" s="26" t="s">
        <v>22</v>
      </c>
      <c r="G352" s="26" t="str">
        <f t="shared" si="36"/>
        <v>Amanda Costa</v>
      </c>
      <c r="H352" s="26" t="s">
        <v>16</v>
      </c>
      <c r="I352" s="26" t="s">
        <v>116</v>
      </c>
      <c r="J352" s="28">
        <v>3</v>
      </c>
      <c r="K352" s="29">
        <v>45</v>
      </c>
      <c r="L352" s="29">
        <v>0</v>
      </c>
      <c r="M352" s="30">
        <f t="shared" si="38"/>
        <v>135</v>
      </c>
      <c r="N352" s="26" t="s">
        <v>44</v>
      </c>
      <c r="Q352" s="42" t="s">
        <v>642</v>
      </c>
      <c r="R352" s="42" t="s">
        <v>20</v>
      </c>
      <c r="S352" s="57">
        <f t="shared" si="37"/>
        <v>45768</v>
      </c>
      <c r="T352" s="44" t="s">
        <v>22</v>
      </c>
      <c r="U352" s="43" t="s">
        <v>16</v>
      </c>
      <c r="V352" s="42" t="s">
        <v>116</v>
      </c>
      <c r="W352" s="45">
        <v>3</v>
      </c>
      <c r="X352" s="46">
        <v>45</v>
      </c>
      <c r="Y352" s="46">
        <v>0</v>
      </c>
      <c r="Z352" s="47">
        <f t="shared" si="39"/>
        <v>135</v>
      </c>
      <c r="AA352" s="48" t="s">
        <v>44</v>
      </c>
      <c r="AB352"/>
    </row>
    <row r="353" spans="1:28" x14ac:dyDescent="0.25">
      <c r="A353" s="31" t="s">
        <v>643</v>
      </c>
      <c r="B353" s="31" t="s">
        <v>41</v>
      </c>
      <c r="C353" s="32" t="str">
        <f t="shared" si="34"/>
        <v>João Pereira</v>
      </c>
      <c r="D353" s="38" t="s">
        <v>449</v>
      </c>
      <c r="E353" s="33">
        <f t="shared" si="35"/>
        <v>45912</v>
      </c>
      <c r="F353" s="32" t="s">
        <v>22</v>
      </c>
      <c r="G353" s="32" t="str">
        <f t="shared" si="36"/>
        <v>Amanda Costa</v>
      </c>
      <c r="H353" s="32" t="s">
        <v>23</v>
      </c>
      <c r="I353" s="32" t="s">
        <v>88</v>
      </c>
      <c r="J353" s="34">
        <v>5</v>
      </c>
      <c r="K353" s="35">
        <v>650</v>
      </c>
      <c r="L353" s="35">
        <v>0</v>
      </c>
      <c r="M353" s="36">
        <f t="shared" si="38"/>
        <v>3250</v>
      </c>
      <c r="N353" s="32" t="s">
        <v>25</v>
      </c>
      <c r="Q353" s="49" t="s">
        <v>643</v>
      </c>
      <c r="R353" s="49" t="s">
        <v>41</v>
      </c>
      <c r="S353" s="58">
        <f t="shared" si="37"/>
        <v>45912</v>
      </c>
      <c r="T353" s="51" t="s">
        <v>22</v>
      </c>
      <c r="U353" s="50" t="s">
        <v>23</v>
      </c>
      <c r="V353" s="52" t="s">
        <v>88</v>
      </c>
      <c r="W353" s="53">
        <v>5</v>
      </c>
      <c r="X353" s="54">
        <v>650</v>
      </c>
      <c r="Y353" s="54">
        <v>0</v>
      </c>
      <c r="Z353" s="55">
        <f t="shared" si="39"/>
        <v>3250</v>
      </c>
      <c r="AA353" s="56" t="s">
        <v>25</v>
      </c>
      <c r="AB353"/>
    </row>
    <row r="354" spans="1:28" x14ac:dyDescent="0.25">
      <c r="A354" s="26" t="s">
        <v>644</v>
      </c>
      <c r="B354" s="26" t="s">
        <v>134</v>
      </c>
      <c r="C354" s="26" t="str">
        <f t="shared" si="34"/>
        <v>Ana Souza</v>
      </c>
      <c r="D354" s="37" t="s">
        <v>353</v>
      </c>
      <c r="E354" s="27">
        <f t="shared" si="35"/>
        <v>45774</v>
      </c>
      <c r="F354" s="26" t="s">
        <v>15</v>
      </c>
      <c r="G354" s="26" t="str">
        <f t="shared" si="36"/>
        <v>Larissa Dias</v>
      </c>
      <c r="H354" s="26" t="s">
        <v>23</v>
      </c>
      <c r="I354" s="26" t="s">
        <v>88</v>
      </c>
      <c r="J354" s="28">
        <v>2</v>
      </c>
      <c r="K354" s="29">
        <v>650</v>
      </c>
      <c r="L354" s="29">
        <v>0</v>
      </c>
      <c r="M354" s="30">
        <f t="shared" si="38"/>
        <v>1300</v>
      </c>
      <c r="N354" s="26" t="s">
        <v>65</v>
      </c>
      <c r="Q354" s="42" t="s">
        <v>644</v>
      </c>
      <c r="R354" s="42" t="s">
        <v>101</v>
      </c>
      <c r="S354" s="57">
        <f t="shared" si="37"/>
        <v>45774</v>
      </c>
      <c r="T354" s="44" t="s">
        <v>15</v>
      </c>
      <c r="U354" s="43" t="s">
        <v>23</v>
      </c>
      <c r="V354" s="42" t="s">
        <v>88</v>
      </c>
      <c r="W354" s="45">
        <v>2</v>
      </c>
      <c r="X354" s="46">
        <v>650</v>
      </c>
      <c r="Y354" s="46">
        <v>0</v>
      </c>
      <c r="Z354" s="47">
        <f t="shared" si="39"/>
        <v>1300</v>
      </c>
      <c r="AA354" s="48" t="s">
        <v>65</v>
      </c>
      <c r="AB354"/>
    </row>
    <row r="355" spans="1:28" x14ac:dyDescent="0.25">
      <c r="A355" s="31" t="s">
        <v>645</v>
      </c>
      <c r="B355" s="31" t="s">
        <v>95</v>
      </c>
      <c r="C355" s="32" t="str">
        <f t="shared" si="34"/>
        <v>Maria Oliveira</v>
      </c>
      <c r="D355" s="38" t="s">
        <v>435</v>
      </c>
      <c r="E355" s="33">
        <f t="shared" si="35"/>
        <v>46047</v>
      </c>
      <c r="F355" s="32" t="s">
        <v>39</v>
      </c>
      <c r="G355" s="32" t="str">
        <f t="shared" si="36"/>
        <v>Rodrigo Mello</v>
      </c>
      <c r="H355" s="32" t="s">
        <v>52</v>
      </c>
      <c r="I355" s="32" t="s">
        <v>61</v>
      </c>
      <c r="J355" s="34">
        <v>4</v>
      </c>
      <c r="K355" s="35">
        <v>199</v>
      </c>
      <c r="L355" s="35">
        <v>32.75</v>
      </c>
      <c r="M355" s="36">
        <f t="shared" si="38"/>
        <v>763.25</v>
      </c>
      <c r="N355" s="32" t="s">
        <v>18</v>
      </c>
      <c r="Q355" s="49" t="s">
        <v>645</v>
      </c>
      <c r="R355" s="49" t="s">
        <v>95</v>
      </c>
      <c r="S355" s="58">
        <f t="shared" si="37"/>
        <v>46047</v>
      </c>
      <c r="T355" s="51" t="s">
        <v>39</v>
      </c>
      <c r="U355" s="50" t="s">
        <v>52</v>
      </c>
      <c r="V355" s="52" t="s">
        <v>61</v>
      </c>
      <c r="W355" s="53">
        <v>4</v>
      </c>
      <c r="X355" s="54">
        <v>199</v>
      </c>
      <c r="Y355" s="54">
        <v>32.75</v>
      </c>
      <c r="Z355" s="55">
        <f t="shared" si="39"/>
        <v>763.25</v>
      </c>
      <c r="AA355" s="56" t="s">
        <v>18</v>
      </c>
      <c r="AB355"/>
    </row>
    <row r="356" spans="1:28" x14ac:dyDescent="0.25">
      <c r="A356" s="26" t="s">
        <v>646</v>
      </c>
      <c r="B356" s="26" t="s">
        <v>71</v>
      </c>
      <c r="C356" s="26" t="str">
        <f t="shared" si="34"/>
        <v>Juliana Costa</v>
      </c>
      <c r="D356" s="37" t="s">
        <v>42</v>
      </c>
      <c r="E356" s="27">
        <f t="shared" si="35"/>
        <v>46004</v>
      </c>
      <c r="F356" s="26" t="s">
        <v>22</v>
      </c>
      <c r="G356" s="26" t="str">
        <f t="shared" si="36"/>
        <v>Amanda Costa</v>
      </c>
      <c r="H356" s="26" t="s">
        <v>52</v>
      </c>
      <c r="I356" s="26" t="s">
        <v>53</v>
      </c>
      <c r="J356" s="28">
        <v>3</v>
      </c>
      <c r="K356" s="29">
        <v>149</v>
      </c>
      <c r="L356" s="29">
        <v>55.79</v>
      </c>
      <c r="M356" s="30">
        <f t="shared" si="38"/>
        <v>391.21</v>
      </c>
      <c r="N356" s="26" t="s">
        <v>65</v>
      </c>
      <c r="Q356" s="42" t="s">
        <v>646</v>
      </c>
      <c r="R356" s="42" t="s">
        <v>71</v>
      </c>
      <c r="S356" s="57">
        <f t="shared" si="37"/>
        <v>46004</v>
      </c>
      <c r="T356" s="44" t="s">
        <v>22</v>
      </c>
      <c r="U356" s="43" t="s">
        <v>52</v>
      </c>
      <c r="V356" s="42" t="s">
        <v>53</v>
      </c>
      <c r="W356" s="45">
        <v>3</v>
      </c>
      <c r="X356" s="46">
        <v>149</v>
      </c>
      <c r="Y356" s="46">
        <v>55.79</v>
      </c>
      <c r="Z356" s="47">
        <f t="shared" si="39"/>
        <v>391.21</v>
      </c>
      <c r="AA356" s="48" t="s">
        <v>65</v>
      </c>
      <c r="AB356"/>
    </row>
    <row r="357" spans="1:28" x14ac:dyDescent="0.25">
      <c r="A357" s="31" t="s">
        <v>647</v>
      </c>
      <c r="B357" s="31" t="s">
        <v>63</v>
      </c>
      <c r="C357" s="32" t="str">
        <f t="shared" si="34"/>
        <v>Marcos Rodrigues</v>
      </c>
      <c r="D357" s="38" t="s">
        <v>227</v>
      </c>
      <c r="E357" s="33">
        <f t="shared" si="35"/>
        <v>45853</v>
      </c>
      <c r="F357" s="32" t="s">
        <v>47</v>
      </c>
      <c r="G357" s="32" t="str">
        <f t="shared" si="36"/>
        <v>Bruno Martins</v>
      </c>
      <c r="H357" s="32" t="s">
        <v>23</v>
      </c>
      <c r="I357" s="32" t="s">
        <v>88</v>
      </c>
      <c r="J357" s="34">
        <v>3</v>
      </c>
      <c r="K357" s="35">
        <v>650</v>
      </c>
      <c r="L357" s="35">
        <v>0</v>
      </c>
      <c r="M357" s="36">
        <f t="shared" si="38"/>
        <v>1950</v>
      </c>
      <c r="N357" s="32" t="s">
        <v>65</v>
      </c>
      <c r="Q357" s="49" t="s">
        <v>647</v>
      </c>
      <c r="R357" s="49" t="s">
        <v>63</v>
      </c>
      <c r="S357" s="58">
        <f t="shared" si="37"/>
        <v>45853</v>
      </c>
      <c r="T357" s="51" t="s">
        <v>47</v>
      </c>
      <c r="U357" s="50" t="s">
        <v>23</v>
      </c>
      <c r="V357" s="52" t="s">
        <v>88</v>
      </c>
      <c r="W357" s="53">
        <v>3</v>
      </c>
      <c r="X357" s="54">
        <v>650</v>
      </c>
      <c r="Y357" s="54">
        <v>0</v>
      </c>
      <c r="Z357" s="55">
        <f t="shared" si="39"/>
        <v>1950</v>
      </c>
      <c r="AA357" s="56" t="s">
        <v>65</v>
      </c>
      <c r="AB357"/>
    </row>
    <row r="358" spans="1:28" x14ac:dyDescent="0.25">
      <c r="A358" s="26" t="s">
        <v>648</v>
      </c>
      <c r="B358" s="26" t="s">
        <v>34</v>
      </c>
      <c r="C358" s="26" t="str">
        <f t="shared" si="34"/>
        <v>Carlos Silva</v>
      </c>
      <c r="D358" s="37" t="s">
        <v>1691</v>
      </c>
      <c r="E358" s="27">
        <f t="shared" si="35"/>
        <v>46023</v>
      </c>
      <c r="F358" s="26" t="s">
        <v>15</v>
      </c>
      <c r="G358" s="26" t="str">
        <f t="shared" si="36"/>
        <v>Larissa Dias</v>
      </c>
      <c r="H358" s="26" t="s">
        <v>23</v>
      </c>
      <c r="I358" s="26" t="s">
        <v>24</v>
      </c>
      <c r="J358" s="28">
        <v>1</v>
      </c>
      <c r="K358" s="29">
        <v>180</v>
      </c>
      <c r="L358" s="29">
        <v>17.440000000000001</v>
      </c>
      <c r="M358" s="30">
        <f t="shared" si="38"/>
        <v>162.56</v>
      </c>
      <c r="N358" s="26" t="s">
        <v>18</v>
      </c>
      <c r="Q358" s="42" t="s">
        <v>648</v>
      </c>
      <c r="R358" s="42" t="s">
        <v>34</v>
      </c>
      <c r="S358" s="57">
        <f t="shared" si="37"/>
        <v>46023</v>
      </c>
      <c r="T358" s="44" t="s">
        <v>15</v>
      </c>
      <c r="U358" s="43" t="s">
        <v>23</v>
      </c>
      <c r="V358" s="42" t="s">
        <v>24</v>
      </c>
      <c r="W358" s="45">
        <v>1</v>
      </c>
      <c r="X358" s="46">
        <v>180</v>
      </c>
      <c r="Y358" s="46">
        <v>17.440000000000001</v>
      </c>
      <c r="Z358" s="47">
        <f t="shared" si="39"/>
        <v>162.56</v>
      </c>
      <c r="AA358" s="48" t="s">
        <v>18</v>
      </c>
      <c r="AB358"/>
    </row>
    <row r="359" spans="1:28" x14ac:dyDescent="0.25">
      <c r="A359" s="31" t="s">
        <v>649</v>
      </c>
      <c r="B359" s="31" t="s">
        <v>95</v>
      </c>
      <c r="C359" s="32" t="str">
        <f t="shared" si="34"/>
        <v>Maria Oliveira</v>
      </c>
      <c r="D359" s="38" t="s">
        <v>650</v>
      </c>
      <c r="E359" s="33">
        <f t="shared" si="35"/>
        <v>45974</v>
      </c>
      <c r="F359" s="32" t="s">
        <v>15</v>
      </c>
      <c r="G359" s="32" t="str">
        <f t="shared" si="36"/>
        <v>Larissa Dias</v>
      </c>
      <c r="H359" s="32" t="s">
        <v>23</v>
      </c>
      <c r="I359" s="32" t="s">
        <v>48</v>
      </c>
      <c r="J359" s="34">
        <v>4</v>
      </c>
      <c r="K359" s="35">
        <v>450</v>
      </c>
      <c r="L359" s="35">
        <v>0</v>
      </c>
      <c r="M359" s="36">
        <f t="shared" si="38"/>
        <v>1800</v>
      </c>
      <c r="N359" s="32" t="s">
        <v>69</v>
      </c>
      <c r="Q359" s="49" t="s">
        <v>649</v>
      </c>
      <c r="R359" s="49" t="s">
        <v>95</v>
      </c>
      <c r="S359" s="58">
        <f t="shared" si="37"/>
        <v>45974</v>
      </c>
      <c r="T359" s="51" t="s">
        <v>15</v>
      </c>
      <c r="U359" s="50" t="s">
        <v>23</v>
      </c>
      <c r="V359" s="52" t="s">
        <v>48</v>
      </c>
      <c r="W359" s="53">
        <v>4</v>
      </c>
      <c r="X359" s="54">
        <v>450</v>
      </c>
      <c r="Y359" s="54">
        <v>0</v>
      </c>
      <c r="Z359" s="55">
        <f t="shared" si="39"/>
        <v>1800</v>
      </c>
      <c r="AA359" s="56" t="s">
        <v>69</v>
      </c>
      <c r="AB359"/>
    </row>
    <row r="360" spans="1:28" x14ac:dyDescent="0.25">
      <c r="A360" s="26" t="s">
        <v>651</v>
      </c>
      <c r="B360" s="26" t="s">
        <v>37</v>
      </c>
      <c r="C360" s="26" t="str">
        <f t="shared" si="34"/>
        <v>Patricia Gomes</v>
      </c>
      <c r="D360" s="37" t="s">
        <v>652</v>
      </c>
      <c r="E360" s="27">
        <f t="shared" si="35"/>
        <v>45935</v>
      </c>
      <c r="F360" s="26" t="s">
        <v>29</v>
      </c>
      <c r="G360" s="26" t="str">
        <f t="shared" si="36"/>
        <v>Camila Rocha</v>
      </c>
      <c r="H360" s="26" t="s">
        <v>23</v>
      </c>
      <c r="I360" s="26" t="s">
        <v>48</v>
      </c>
      <c r="J360" s="28">
        <v>2</v>
      </c>
      <c r="K360" s="29">
        <v>450</v>
      </c>
      <c r="L360" s="29">
        <v>89.1</v>
      </c>
      <c r="M360" s="30">
        <f t="shared" si="38"/>
        <v>810.9</v>
      </c>
      <c r="N360" s="26" t="s">
        <v>49</v>
      </c>
      <c r="Q360" s="42" t="s">
        <v>651</v>
      </c>
      <c r="R360" s="42" t="s">
        <v>37</v>
      </c>
      <c r="S360" s="57">
        <f t="shared" si="37"/>
        <v>45935</v>
      </c>
      <c r="T360" s="44" t="s">
        <v>29</v>
      </c>
      <c r="U360" s="43" t="s">
        <v>23</v>
      </c>
      <c r="V360" s="42" t="s">
        <v>48</v>
      </c>
      <c r="W360" s="45">
        <v>2</v>
      </c>
      <c r="X360" s="46">
        <v>450</v>
      </c>
      <c r="Y360" s="46">
        <v>89.1</v>
      </c>
      <c r="Z360" s="47">
        <f t="shared" si="39"/>
        <v>810.9</v>
      </c>
      <c r="AA360" s="48" t="s">
        <v>49</v>
      </c>
      <c r="AB360"/>
    </row>
    <row r="361" spans="1:28" x14ac:dyDescent="0.25">
      <c r="A361" s="31" t="s">
        <v>653</v>
      </c>
      <c r="B361" s="31" t="s">
        <v>95</v>
      </c>
      <c r="C361" s="32" t="str">
        <f t="shared" si="34"/>
        <v>Maria Oliveira</v>
      </c>
      <c r="D361" s="38" t="s">
        <v>314</v>
      </c>
      <c r="E361" s="33">
        <f t="shared" si="35"/>
        <v>45803</v>
      </c>
      <c r="F361" s="32" t="s">
        <v>29</v>
      </c>
      <c r="G361" s="32" t="str">
        <f t="shared" si="36"/>
        <v>Camila Rocha</v>
      </c>
      <c r="H361" s="32" t="s">
        <v>30</v>
      </c>
      <c r="I361" s="32" t="s">
        <v>106</v>
      </c>
      <c r="J361" s="34">
        <v>1</v>
      </c>
      <c r="K361" s="35">
        <v>299</v>
      </c>
      <c r="L361" s="35">
        <v>41.99</v>
      </c>
      <c r="M361" s="36">
        <f t="shared" si="38"/>
        <v>257.01</v>
      </c>
      <c r="N361" s="32" t="s">
        <v>32</v>
      </c>
      <c r="Q361" s="49" t="s">
        <v>653</v>
      </c>
      <c r="R361" s="49" t="s">
        <v>95</v>
      </c>
      <c r="S361" s="58">
        <f t="shared" si="37"/>
        <v>45803</v>
      </c>
      <c r="T361" s="51" t="s">
        <v>29</v>
      </c>
      <c r="U361" s="50" t="s">
        <v>30</v>
      </c>
      <c r="V361" s="52" t="s">
        <v>106</v>
      </c>
      <c r="W361" s="53">
        <v>1</v>
      </c>
      <c r="X361" s="54">
        <v>299</v>
      </c>
      <c r="Y361" s="54">
        <v>41.99</v>
      </c>
      <c r="Z361" s="55">
        <f t="shared" si="39"/>
        <v>257.01</v>
      </c>
      <c r="AA361" s="56" t="s">
        <v>32</v>
      </c>
      <c r="AB361"/>
    </row>
    <row r="362" spans="1:28" x14ac:dyDescent="0.25">
      <c r="A362" s="26" t="s">
        <v>654</v>
      </c>
      <c r="B362" s="26" t="s">
        <v>41</v>
      </c>
      <c r="C362" s="26" t="str">
        <f t="shared" si="34"/>
        <v>João Pereira</v>
      </c>
      <c r="D362" s="37" t="s">
        <v>655</v>
      </c>
      <c r="E362" s="27">
        <f t="shared" si="35"/>
        <v>45892</v>
      </c>
      <c r="F362" s="26" t="s">
        <v>47</v>
      </c>
      <c r="G362" s="26" t="str">
        <f t="shared" si="36"/>
        <v>Bruno Martins</v>
      </c>
      <c r="H362" s="26" t="s">
        <v>23</v>
      </c>
      <c r="I362" s="26" t="s">
        <v>88</v>
      </c>
      <c r="J362" s="28">
        <v>3</v>
      </c>
      <c r="K362" s="29">
        <v>650</v>
      </c>
      <c r="L362" s="29">
        <v>0</v>
      </c>
      <c r="M362" s="30">
        <f t="shared" si="38"/>
        <v>1950</v>
      </c>
      <c r="N362" s="26" t="s">
        <v>69</v>
      </c>
      <c r="Q362" s="42" t="s">
        <v>654</v>
      </c>
      <c r="R362" s="42" t="s">
        <v>41</v>
      </c>
      <c r="S362" s="57">
        <f t="shared" si="37"/>
        <v>45892</v>
      </c>
      <c r="T362" s="44" t="s">
        <v>47</v>
      </c>
      <c r="U362" s="43" t="s">
        <v>23</v>
      </c>
      <c r="V362" s="42" t="s">
        <v>88</v>
      </c>
      <c r="W362" s="45">
        <v>3</v>
      </c>
      <c r="X362" s="46">
        <v>650</v>
      </c>
      <c r="Y362" s="46">
        <v>0</v>
      </c>
      <c r="Z362" s="47">
        <f t="shared" si="39"/>
        <v>1950</v>
      </c>
      <c r="AA362" s="48" t="s">
        <v>69</v>
      </c>
      <c r="AB362"/>
    </row>
    <row r="363" spans="1:28" x14ac:dyDescent="0.25">
      <c r="A363" s="31" t="s">
        <v>656</v>
      </c>
      <c r="B363" s="31" t="s">
        <v>110</v>
      </c>
      <c r="C363" s="32" t="str">
        <f t="shared" si="34"/>
        <v>Fernanda Lima</v>
      </c>
      <c r="D363" s="38" t="s">
        <v>58</v>
      </c>
      <c r="E363" s="33">
        <f t="shared" si="35"/>
        <v>45920</v>
      </c>
      <c r="F363" s="32" t="s">
        <v>29</v>
      </c>
      <c r="G363" s="32" t="str">
        <f t="shared" si="36"/>
        <v>Camila Rocha</v>
      </c>
      <c r="H363" s="32" t="s">
        <v>23</v>
      </c>
      <c r="I363" s="32" t="s">
        <v>43</v>
      </c>
      <c r="J363" s="34">
        <v>3</v>
      </c>
      <c r="K363" s="35">
        <v>350</v>
      </c>
      <c r="L363" s="35">
        <v>0</v>
      </c>
      <c r="M363" s="36">
        <f t="shared" si="38"/>
        <v>1050</v>
      </c>
      <c r="N363" s="32" t="s">
        <v>44</v>
      </c>
      <c r="Q363" s="49" t="s">
        <v>656</v>
      </c>
      <c r="R363" s="49" t="s">
        <v>110</v>
      </c>
      <c r="S363" s="58">
        <f t="shared" si="37"/>
        <v>45920</v>
      </c>
      <c r="T363" s="51" t="s">
        <v>29</v>
      </c>
      <c r="U363" s="50" t="s">
        <v>23</v>
      </c>
      <c r="V363" s="52" t="s">
        <v>43</v>
      </c>
      <c r="W363" s="53">
        <v>3</v>
      </c>
      <c r="X363" s="54">
        <v>350</v>
      </c>
      <c r="Y363" s="54">
        <v>0</v>
      </c>
      <c r="Z363" s="55">
        <f t="shared" si="39"/>
        <v>1050</v>
      </c>
      <c r="AA363" s="56" t="s">
        <v>44</v>
      </c>
      <c r="AB363"/>
    </row>
    <row r="364" spans="1:28" x14ac:dyDescent="0.25">
      <c r="A364" s="26" t="s">
        <v>657</v>
      </c>
      <c r="B364" s="26" t="s">
        <v>34</v>
      </c>
      <c r="C364" s="26" t="str">
        <f t="shared" si="34"/>
        <v>Carlos Silva</v>
      </c>
      <c r="D364" s="37" t="s">
        <v>412</v>
      </c>
      <c r="E364" s="27">
        <f t="shared" si="35"/>
        <v>45991</v>
      </c>
      <c r="F364" s="26" t="s">
        <v>39</v>
      </c>
      <c r="G364" s="26" t="str">
        <f t="shared" si="36"/>
        <v>Rodrigo Mello</v>
      </c>
      <c r="H364" s="26" t="s">
        <v>52</v>
      </c>
      <c r="I364" s="26" t="s">
        <v>75</v>
      </c>
      <c r="J364" s="28">
        <v>3</v>
      </c>
      <c r="K364" s="29">
        <v>249</v>
      </c>
      <c r="L364" s="29">
        <v>32.880000000000003</v>
      </c>
      <c r="M364" s="30">
        <f t="shared" si="38"/>
        <v>714.12</v>
      </c>
      <c r="N364" s="26" t="s">
        <v>65</v>
      </c>
      <c r="Q364" s="42" t="s">
        <v>657</v>
      </c>
      <c r="R364" s="42" t="s">
        <v>34</v>
      </c>
      <c r="S364" s="57">
        <f t="shared" si="37"/>
        <v>45991</v>
      </c>
      <c r="T364" s="44" t="s">
        <v>39</v>
      </c>
      <c r="U364" s="43" t="s">
        <v>52</v>
      </c>
      <c r="V364" s="42" t="s">
        <v>75</v>
      </c>
      <c r="W364" s="45">
        <v>3</v>
      </c>
      <c r="X364" s="46">
        <v>249</v>
      </c>
      <c r="Y364" s="46">
        <v>32.880000000000003</v>
      </c>
      <c r="Z364" s="47">
        <f t="shared" si="39"/>
        <v>714.12</v>
      </c>
      <c r="AA364" s="48" t="s">
        <v>65</v>
      </c>
      <c r="AB364"/>
    </row>
    <row r="365" spans="1:28" x14ac:dyDescent="0.25">
      <c r="A365" s="31" t="s">
        <v>658</v>
      </c>
      <c r="B365" s="31" t="s">
        <v>71</v>
      </c>
      <c r="C365" s="32" t="str">
        <f t="shared" si="34"/>
        <v>Juliana Costa</v>
      </c>
      <c r="D365" s="38" t="s">
        <v>634</v>
      </c>
      <c r="E365" s="33">
        <f t="shared" si="35"/>
        <v>46009</v>
      </c>
      <c r="F365" s="32" t="s">
        <v>22</v>
      </c>
      <c r="G365" s="32" t="str">
        <f t="shared" si="36"/>
        <v>Amanda Costa</v>
      </c>
      <c r="H365" s="32" t="s">
        <v>16</v>
      </c>
      <c r="I365" s="32" t="s">
        <v>78</v>
      </c>
      <c r="J365" s="34">
        <v>4</v>
      </c>
      <c r="K365" s="35">
        <v>59</v>
      </c>
      <c r="L365" s="35">
        <v>0</v>
      </c>
      <c r="M365" s="36">
        <f t="shared" si="38"/>
        <v>236</v>
      </c>
      <c r="N365" s="32" t="s">
        <v>89</v>
      </c>
      <c r="Q365" s="49" t="s">
        <v>658</v>
      </c>
      <c r="R365" s="49" t="s">
        <v>71</v>
      </c>
      <c r="S365" s="58">
        <f t="shared" si="37"/>
        <v>46009</v>
      </c>
      <c r="T365" s="51" t="s">
        <v>22</v>
      </c>
      <c r="U365" s="50" t="s">
        <v>16</v>
      </c>
      <c r="V365" s="52" t="s">
        <v>78</v>
      </c>
      <c r="W365" s="53">
        <v>4</v>
      </c>
      <c r="X365" s="54">
        <v>59</v>
      </c>
      <c r="Y365" s="54">
        <v>0</v>
      </c>
      <c r="Z365" s="55">
        <f t="shared" si="39"/>
        <v>236</v>
      </c>
      <c r="AA365" s="56" t="s">
        <v>89</v>
      </c>
      <c r="AB365"/>
    </row>
    <row r="366" spans="1:28" x14ac:dyDescent="0.25">
      <c r="A366" s="26" t="s">
        <v>659</v>
      </c>
      <c r="B366" s="26" t="s">
        <v>71</v>
      </c>
      <c r="C366" s="26" t="str">
        <f t="shared" si="34"/>
        <v>Juliana Costa</v>
      </c>
      <c r="D366" s="37" t="s">
        <v>423</v>
      </c>
      <c r="E366" s="27">
        <f t="shared" si="35"/>
        <v>45771</v>
      </c>
      <c r="F366" s="26" t="s">
        <v>15</v>
      </c>
      <c r="G366" s="26" t="str">
        <f t="shared" si="36"/>
        <v>Larissa Dias</v>
      </c>
      <c r="H366" s="26" t="s">
        <v>30</v>
      </c>
      <c r="I366" s="26" t="s">
        <v>31</v>
      </c>
      <c r="J366" s="28">
        <v>2</v>
      </c>
      <c r="K366" s="29">
        <v>2500</v>
      </c>
      <c r="L366" s="29">
        <v>0</v>
      </c>
      <c r="M366" s="30">
        <f t="shared" si="38"/>
        <v>5000</v>
      </c>
      <c r="N366" s="26" t="s">
        <v>18</v>
      </c>
      <c r="Q366" s="42" t="s">
        <v>659</v>
      </c>
      <c r="R366" s="42" t="s">
        <v>71</v>
      </c>
      <c r="S366" s="57">
        <f t="shared" si="37"/>
        <v>45771</v>
      </c>
      <c r="T366" s="44" t="s">
        <v>15</v>
      </c>
      <c r="U366" s="43" t="s">
        <v>30</v>
      </c>
      <c r="V366" s="42" t="s">
        <v>31</v>
      </c>
      <c r="W366" s="45">
        <v>2</v>
      </c>
      <c r="X366" s="46">
        <v>2500</v>
      </c>
      <c r="Y366" s="46">
        <v>0</v>
      </c>
      <c r="Z366" s="47">
        <f t="shared" si="39"/>
        <v>5000</v>
      </c>
      <c r="AA366" s="48" t="s">
        <v>18</v>
      </c>
      <c r="AB366"/>
    </row>
    <row r="367" spans="1:28" x14ac:dyDescent="0.25">
      <c r="A367" s="31" t="s">
        <v>660</v>
      </c>
      <c r="B367" s="31" t="s">
        <v>41</v>
      </c>
      <c r="C367" s="32" t="str">
        <f t="shared" si="34"/>
        <v>João Pereira</v>
      </c>
      <c r="D367" s="38" t="s">
        <v>211</v>
      </c>
      <c r="E367" s="33">
        <f t="shared" si="35"/>
        <v>45919</v>
      </c>
      <c r="F367" s="32" t="s">
        <v>39</v>
      </c>
      <c r="G367" s="32" t="str">
        <f t="shared" si="36"/>
        <v>Rodrigo Mello</v>
      </c>
      <c r="H367" s="32" t="s">
        <v>30</v>
      </c>
      <c r="I367" s="32" t="s">
        <v>106</v>
      </c>
      <c r="J367" s="34">
        <v>5</v>
      </c>
      <c r="K367" s="35">
        <v>299</v>
      </c>
      <c r="L367" s="35">
        <v>33.43</v>
      </c>
      <c r="M367" s="36">
        <f t="shared" si="38"/>
        <v>1461.57</v>
      </c>
      <c r="N367" s="32" t="s">
        <v>49</v>
      </c>
      <c r="Q367" s="49" t="s">
        <v>660</v>
      </c>
      <c r="R367" s="49" t="s">
        <v>41</v>
      </c>
      <c r="S367" s="58">
        <f t="shared" si="37"/>
        <v>45919</v>
      </c>
      <c r="T367" s="51" t="s">
        <v>39</v>
      </c>
      <c r="U367" s="50" t="s">
        <v>30</v>
      </c>
      <c r="V367" s="52" t="s">
        <v>106</v>
      </c>
      <c r="W367" s="53">
        <v>5</v>
      </c>
      <c r="X367" s="54">
        <v>299</v>
      </c>
      <c r="Y367" s="54">
        <v>33.43</v>
      </c>
      <c r="Z367" s="55">
        <f t="shared" si="39"/>
        <v>1461.57</v>
      </c>
      <c r="AA367" s="56" t="s">
        <v>49</v>
      </c>
      <c r="AB367"/>
    </row>
    <row r="368" spans="1:28" x14ac:dyDescent="0.25">
      <c r="A368" s="26" t="s">
        <v>661</v>
      </c>
      <c r="B368" s="26" t="s">
        <v>34</v>
      </c>
      <c r="C368" s="26" t="str">
        <f t="shared" si="34"/>
        <v>Carlos Silva</v>
      </c>
      <c r="D368" s="37" t="s">
        <v>325</v>
      </c>
      <c r="E368" s="27">
        <f t="shared" si="35"/>
        <v>46034</v>
      </c>
      <c r="F368" s="26" t="s">
        <v>47</v>
      </c>
      <c r="G368" s="26" t="str">
        <f t="shared" si="36"/>
        <v>Bruno Martins</v>
      </c>
      <c r="H368" s="26" t="s">
        <v>52</v>
      </c>
      <c r="I368" s="26" t="s">
        <v>75</v>
      </c>
      <c r="J368" s="28">
        <v>5</v>
      </c>
      <c r="K368" s="29">
        <v>249</v>
      </c>
      <c r="L368" s="29">
        <v>0</v>
      </c>
      <c r="M368" s="30">
        <f t="shared" si="38"/>
        <v>1245</v>
      </c>
      <c r="N368" s="26" t="s">
        <v>65</v>
      </c>
      <c r="Q368" s="42" t="s">
        <v>661</v>
      </c>
      <c r="R368" s="42" t="s">
        <v>34</v>
      </c>
      <c r="S368" s="57">
        <f t="shared" si="37"/>
        <v>46034</v>
      </c>
      <c r="T368" s="44" t="s">
        <v>47</v>
      </c>
      <c r="U368" s="43" t="s">
        <v>52</v>
      </c>
      <c r="V368" s="42" t="s">
        <v>75</v>
      </c>
      <c r="W368" s="45">
        <v>5</v>
      </c>
      <c r="X368" s="46">
        <v>249</v>
      </c>
      <c r="Y368" s="46">
        <v>0</v>
      </c>
      <c r="Z368" s="47">
        <f t="shared" si="39"/>
        <v>1245</v>
      </c>
      <c r="AA368" s="48" t="s">
        <v>65</v>
      </c>
      <c r="AB368"/>
    </row>
    <row r="369" spans="1:28" x14ac:dyDescent="0.25">
      <c r="A369" s="31" t="s">
        <v>662</v>
      </c>
      <c r="B369" s="31" t="s">
        <v>63</v>
      </c>
      <c r="C369" s="32" t="str">
        <f t="shared" si="34"/>
        <v>Marcos Rodrigues</v>
      </c>
      <c r="D369" s="38" t="s">
        <v>591</v>
      </c>
      <c r="E369" s="33">
        <f t="shared" si="35"/>
        <v>45947</v>
      </c>
      <c r="F369" s="32" t="s">
        <v>47</v>
      </c>
      <c r="G369" s="32" t="str">
        <f t="shared" si="36"/>
        <v>Bruno Martins</v>
      </c>
      <c r="H369" s="32" t="s">
        <v>52</v>
      </c>
      <c r="I369" s="32" t="s">
        <v>53</v>
      </c>
      <c r="J369" s="34">
        <v>1</v>
      </c>
      <c r="K369" s="35">
        <v>149</v>
      </c>
      <c r="L369" s="35">
        <v>11.32</v>
      </c>
      <c r="M369" s="36">
        <f t="shared" si="38"/>
        <v>137.68</v>
      </c>
      <c r="N369" s="32" t="s">
        <v>25</v>
      </c>
      <c r="Q369" s="49" t="s">
        <v>662</v>
      </c>
      <c r="R369" s="49" t="s">
        <v>63</v>
      </c>
      <c r="S369" s="58">
        <f t="shared" si="37"/>
        <v>45947</v>
      </c>
      <c r="T369" s="51" t="s">
        <v>47</v>
      </c>
      <c r="U369" s="50" t="s">
        <v>52</v>
      </c>
      <c r="V369" s="52" t="s">
        <v>53</v>
      </c>
      <c r="W369" s="53">
        <v>1</v>
      </c>
      <c r="X369" s="54">
        <v>149</v>
      </c>
      <c r="Y369" s="54">
        <v>11.32</v>
      </c>
      <c r="Z369" s="55">
        <f t="shared" si="39"/>
        <v>137.68</v>
      </c>
      <c r="AA369" s="56" t="s">
        <v>25</v>
      </c>
      <c r="AB369"/>
    </row>
    <row r="370" spans="1:28" x14ac:dyDescent="0.25">
      <c r="A370" s="26" t="s">
        <v>663</v>
      </c>
      <c r="B370" s="26" t="s">
        <v>55</v>
      </c>
      <c r="C370" s="26" t="str">
        <f t="shared" si="34"/>
        <v>Ricardo Carvalho</v>
      </c>
      <c r="D370" s="37" t="s">
        <v>664</v>
      </c>
      <c r="E370" s="27">
        <f t="shared" si="35"/>
        <v>45783</v>
      </c>
      <c r="F370" s="26" t="s">
        <v>15</v>
      </c>
      <c r="G370" s="26" t="str">
        <f t="shared" si="36"/>
        <v>Larissa Dias</v>
      </c>
      <c r="H370" s="26" t="s">
        <v>16</v>
      </c>
      <c r="I370" s="26" t="s">
        <v>116</v>
      </c>
      <c r="J370" s="28">
        <v>1</v>
      </c>
      <c r="K370" s="29">
        <v>45</v>
      </c>
      <c r="L370" s="29">
        <v>0.65</v>
      </c>
      <c r="M370" s="30">
        <f t="shared" si="38"/>
        <v>44.35</v>
      </c>
      <c r="N370" s="26" t="s">
        <v>44</v>
      </c>
      <c r="Q370" s="42" t="s">
        <v>663</v>
      </c>
      <c r="R370" s="42" t="s">
        <v>55</v>
      </c>
      <c r="S370" s="57">
        <f t="shared" si="37"/>
        <v>45783</v>
      </c>
      <c r="T370" s="44" t="s">
        <v>15</v>
      </c>
      <c r="U370" s="43" t="s">
        <v>16</v>
      </c>
      <c r="V370" s="42" t="s">
        <v>116</v>
      </c>
      <c r="W370" s="45">
        <v>1</v>
      </c>
      <c r="X370" s="46">
        <v>45</v>
      </c>
      <c r="Y370" s="46">
        <v>0.65</v>
      </c>
      <c r="Z370" s="47">
        <f t="shared" si="39"/>
        <v>44.35</v>
      </c>
      <c r="AA370" s="48" t="s">
        <v>44</v>
      </c>
      <c r="AB370"/>
    </row>
    <row r="371" spans="1:28" x14ac:dyDescent="0.25">
      <c r="A371" s="31" t="s">
        <v>665</v>
      </c>
      <c r="B371" s="31" t="s">
        <v>55</v>
      </c>
      <c r="C371" s="32" t="str">
        <f t="shared" si="34"/>
        <v>Ricardo Carvalho</v>
      </c>
      <c r="D371" s="38" t="s">
        <v>102</v>
      </c>
      <c r="E371" s="33">
        <f t="shared" si="35"/>
        <v>46055</v>
      </c>
      <c r="F371" s="32" t="s">
        <v>47</v>
      </c>
      <c r="G371" s="32" t="str">
        <f t="shared" si="36"/>
        <v>Bruno Martins</v>
      </c>
      <c r="H371" s="32" t="s">
        <v>16</v>
      </c>
      <c r="I371" s="32" t="s">
        <v>103</v>
      </c>
      <c r="J371" s="34">
        <v>4</v>
      </c>
      <c r="K371" s="35">
        <v>89</v>
      </c>
      <c r="L371" s="35">
        <v>0</v>
      </c>
      <c r="M371" s="36">
        <f t="shared" si="38"/>
        <v>356</v>
      </c>
      <c r="N371" s="32" t="s">
        <v>32</v>
      </c>
      <c r="Q371" s="49" t="s">
        <v>665</v>
      </c>
      <c r="R371" s="49" t="s">
        <v>55</v>
      </c>
      <c r="S371" s="58">
        <f t="shared" si="37"/>
        <v>46055</v>
      </c>
      <c r="T371" s="51" t="s">
        <v>47</v>
      </c>
      <c r="U371" s="50" t="s">
        <v>16</v>
      </c>
      <c r="V371" s="52" t="s">
        <v>103</v>
      </c>
      <c r="W371" s="53">
        <v>4</v>
      </c>
      <c r="X371" s="54">
        <v>89</v>
      </c>
      <c r="Y371" s="54">
        <v>0</v>
      </c>
      <c r="Z371" s="55">
        <f t="shared" si="39"/>
        <v>356</v>
      </c>
      <c r="AA371" s="56" t="s">
        <v>32</v>
      </c>
      <c r="AB371"/>
    </row>
    <row r="372" spans="1:28" x14ac:dyDescent="0.25">
      <c r="A372" s="26" t="s">
        <v>666</v>
      </c>
      <c r="B372" s="26" t="s">
        <v>110</v>
      </c>
      <c r="C372" s="26" t="str">
        <f t="shared" si="34"/>
        <v>Fernanda Lima</v>
      </c>
      <c r="D372" s="37" t="s">
        <v>513</v>
      </c>
      <c r="E372" s="27">
        <f t="shared" si="35"/>
        <v>45825</v>
      </c>
      <c r="F372" s="26" t="s">
        <v>47</v>
      </c>
      <c r="G372" s="26" t="str">
        <f t="shared" si="36"/>
        <v>Bruno Martins</v>
      </c>
      <c r="H372" s="26" t="s">
        <v>30</v>
      </c>
      <c r="I372" s="26" t="s">
        <v>152</v>
      </c>
      <c r="J372" s="28">
        <v>1</v>
      </c>
      <c r="K372" s="29">
        <v>4500</v>
      </c>
      <c r="L372" s="29">
        <v>0</v>
      </c>
      <c r="M372" s="30">
        <f t="shared" si="38"/>
        <v>4500</v>
      </c>
      <c r="N372" s="26" t="s">
        <v>25</v>
      </c>
      <c r="Q372" s="42" t="s">
        <v>666</v>
      </c>
      <c r="R372" s="42" t="s">
        <v>110</v>
      </c>
      <c r="S372" s="57">
        <f t="shared" si="37"/>
        <v>45825</v>
      </c>
      <c r="T372" s="44" t="s">
        <v>47</v>
      </c>
      <c r="U372" s="43" t="s">
        <v>30</v>
      </c>
      <c r="V372" s="42" t="s">
        <v>152</v>
      </c>
      <c r="W372" s="45">
        <v>1</v>
      </c>
      <c r="X372" s="46">
        <v>4500</v>
      </c>
      <c r="Y372" s="46">
        <v>0</v>
      </c>
      <c r="Z372" s="47">
        <f t="shared" si="39"/>
        <v>4500</v>
      </c>
      <c r="AA372" s="48" t="s">
        <v>25</v>
      </c>
      <c r="AB372"/>
    </row>
    <row r="373" spans="1:28" x14ac:dyDescent="0.25">
      <c r="A373" s="31" t="s">
        <v>667</v>
      </c>
      <c r="B373" s="31" t="s">
        <v>95</v>
      </c>
      <c r="C373" s="32" t="str">
        <f t="shared" si="34"/>
        <v>Maria Oliveira</v>
      </c>
      <c r="D373" s="38" t="s">
        <v>267</v>
      </c>
      <c r="E373" s="33">
        <f t="shared" si="35"/>
        <v>45682</v>
      </c>
      <c r="F373" s="32" t="s">
        <v>22</v>
      </c>
      <c r="G373" s="32" t="str">
        <f t="shared" si="36"/>
        <v>Amanda Costa</v>
      </c>
      <c r="H373" s="32" t="s">
        <v>23</v>
      </c>
      <c r="I373" s="32" t="s">
        <v>48</v>
      </c>
      <c r="J373" s="34">
        <v>4</v>
      </c>
      <c r="K373" s="35">
        <v>450</v>
      </c>
      <c r="L373" s="35">
        <v>0</v>
      </c>
      <c r="M373" s="36">
        <f t="shared" si="38"/>
        <v>1800</v>
      </c>
      <c r="N373" s="32" t="s">
        <v>65</v>
      </c>
      <c r="Q373" s="49" t="s">
        <v>667</v>
      </c>
      <c r="R373" s="49" t="s">
        <v>95</v>
      </c>
      <c r="S373" s="58">
        <f t="shared" si="37"/>
        <v>45682</v>
      </c>
      <c r="T373" s="51" t="s">
        <v>22</v>
      </c>
      <c r="U373" s="50" t="s">
        <v>23</v>
      </c>
      <c r="V373" s="52" t="s">
        <v>48</v>
      </c>
      <c r="W373" s="53">
        <v>4</v>
      </c>
      <c r="X373" s="54">
        <v>450</v>
      </c>
      <c r="Y373" s="54">
        <v>0</v>
      </c>
      <c r="Z373" s="55">
        <f t="shared" si="39"/>
        <v>1800</v>
      </c>
      <c r="AA373" s="56" t="s">
        <v>65</v>
      </c>
      <c r="AB373"/>
    </row>
    <row r="374" spans="1:28" x14ac:dyDescent="0.25">
      <c r="A374" s="26" t="s">
        <v>668</v>
      </c>
      <c r="B374" s="26" t="s">
        <v>110</v>
      </c>
      <c r="C374" s="26" t="str">
        <f t="shared" si="34"/>
        <v>Fernanda Lima</v>
      </c>
      <c r="D374" s="37" t="s">
        <v>508</v>
      </c>
      <c r="E374" s="27">
        <f t="shared" si="35"/>
        <v>45967</v>
      </c>
      <c r="F374" s="26" t="s">
        <v>22</v>
      </c>
      <c r="G374" s="26" t="str">
        <f t="shared" si="36"/>
        <v>Amanda Costa</v>
      </c>
      <c r="H374" s="26" t="s">
        <v>30</v>
      </c>
      <c r="I374" s="26" t="s">
        <v>152</v>
      </c>
      <c r="J374" s="28">
        <v>2</v>
      </c>
      <c r="K374" s="29">
        <v>4500</v>
      </c>
      <c r="L374" s="29">
        <v>948.09</v>
      </c>
      <c r="M374" s="30">
        <f t="shared" si="38"/>
        <v>8051.91</v>
      </c>
      <c r="N374" s="26" t="s">
        <v>32</v>
      </c>
      <c r="Q374" s="42" t="s">
        <v>668</v>
      </c>
      <c r="R374" s="42" t="s">
        <v>110</v>
      </c>
      <c r="S374" s="57">
        <f t="shared" si="37"/>
        <v>45967</v>
      </c>
      <c r="T374" s="44" t="s">
        <v>22</v>
      </c>
      <c r="U374" s="43" t="s">
        <v>30</v>
      </c>
      <c r="V374" s="42" t="s">
        <v>152</v>
      </c>
      <c r="W374" s="45">
        <v>2</v>
      </c>
      <c r="X374" s="46">
        <v>4500</v>
      </c>
      <c r="Y374" s="46">
        <v>948.09</v>
      </c>
      <c r="Z374" s="47">
        <f t="shared" si="39"/>
        <v>8051.91</v>
      </c>
      <c r="AA374" s="48" t="s">
        <v>32</v>
      </c>
      <c r="AB374"/>
    </row>
    <row r="375" spans="1:28" x14ac:dyDescent="0.25">
      <c r="A375" s="31" t="s">
        <v>669</v>
      </c>
      <c r="B375" s="31" t="s">
        <v>37</v>
      </c>
      <c r="C375" s="32" t="str">
        <f t="shared" si="34"/>
        <v>Patricia Gomes</v>
      </c>
      <c r="D375" s="38" t="s">
        <v>471</v>
      </c>
      <c r="E375" s="33">
        <f t="shared" si="35"/>
        <v>46001</v>
      </c>
      <c r="F375" s="32" t="s">
        <v>47</v>
      </c>
      <c r="G375" s="32" t="str">
        <f t="shared" si="36"/>
        <v>Bruno Martins</v>
      </c>
      <c r="H375" s="32" t="s">
        <v>23</v>
      </c>
      <c r="I375" s="32" t="s">
        <v>24</v>
      </c>
      <c r="J375" s="34">
        <v>4</v>
      </c>
      <c r="K375" s="35">
        <v>180</v>
      </c>
      <c r="L375" s="35">
        <v>0</v>
      </c>
      <c r="M375" s="36">
        <f t="shared" si="38"/>
        <v>720</v>
      </c>
      <c r="N375" s="32" t="s">
        <v>32</v>
      </c>
      <c r="Q375" s="49" t="s">
        <v>669</v>
      </c>
      <c r="R375" s="49" t="s">
        <v>37</v>
      </c>
      <c r="S375" s="58">
        <f t="shared" si="37"/>
        <v>46001</v>
      </c>
      <c r="T375" s="51" t="s">
        <v>47</v>
      </c>
      <c r="U375" s="50" t="s">
        <v>23</v>
      </c>
      <c r="V375" s="52" t="s">
        <v>24</v>
      </c>
      <c r="W375" s="53">
        <v>4</v>
      </c>
      <c r="X375" s="54">
        <v>180</v>
      </c>
      <c r="Y375" s="54">
        <v>0</v>
      </c>
      <c r="Z375" s="55">
        <f t="shared" si="39"/>
        <v>720</v>
      </c>
      <c r="AA375" s="56" t="s">
        <v>32</v>
      </c>
      <c r="AB375"/>
    </row>
    <row r="376" spans="1:28" x14ac:dyDescent="0.25">
      <c r="A376" s="26" t="s">
        <v>670</v>
      </c>
      <c r="B376" s="26" t="s">
        <v>27</v>
      </c>
      <c r="C376" s="26" t="str">
        <f t="shared" si="34"/>
        <v>Roberto Santos</v>
      </c>
      <c r="D376" s="37" t="s">
        <v>671</v>
      </c>
      <c r="E376" s="27">
        <f t="shared" si="35"/>
        <v>46042</v>
      </c>
      <c r="F376" s="26" t="s">
        <v>29</v>
      </c>
      <c r="G376" s="26" t="str">
        <f t="shared" si="36"/>
        <v>Camila Rocha</v>
      </c>
      <c r="H376" s="26" t="s">
        <v>52</v>
      </c>
      <c r="I376" s="26" t="s">
        <v>61</v>
      </c>
      <c r="J376" s="28">
        <v>3</v>
      </c>
      <c r="K376" s="29">
        <v>199</v>
      </c>
      <c r="L376" s="29">
        <v>49.41</v>
      </c>
      <c r="M376" s="30">
        <f t="shared" si="38"/>
        <v>547.59</v>
      </c>
      <c r="N376" s="26" t="s">
        <v>89</v>
      </c>
      <c r="Q376" s="42" t="s">
        <v>670</v>
      </c>
      <c r="R376" s="42" t="s">
        <v>27</v>
      </c>
      <c r="S376" s="57">
        <f t="shared" si="37"/>
        <v>46042</v>
      </c>
      <c r="T376" s="44" t="s">
        <v>29</v>
      </c>
      <c r="U376" s="43" t="s">
        <v>52</v>
      </c>
      <c r="V376" s="42" t="s">
        <v>61</v>
      </c>
      <c r="W376" s="45">
        <v>3</v>
      </c>
      <c r="X376" s="46">
        <v>199</v>
      </c>
      <c r="Y376" s="46">
        <v>49.41</v>
      </c>
      <c r="Z376" s="47">
        <f t="shared" si="39"/>
        <v>547.59</v>
      </c>
      <c r="AA376" s="48" t="s">
        <v>89</v>
      </c>
      <c r="AB376"/>
    </row>
    <row r="377" spans="1:28" x14ac:dyDescent="0.25">
      <c r="A377" s="31" t="s">
        <v>672</v>
      </c>
      <c r="B377" s="31" t="s">
        <v>34</v>
      </c>
      <c r="C377" s="32" t="str">
        <f t="shared" si="34"/>
        <v>Carlos Silva</v>
      </c>
      <c r="D377" s="38" t="s">
        <v>673</v>
      </c>
      <c r="E377" s="33">
        <f t="shared" si="35"/>
        <v>45904</v>
      </c>
      <c r="F377" s="32" t="s">
        <v>47</v>
      </c>
      <c r="G377" s="32" t="str">
        <f t="shared" si="36"/>
        <v>Bruno Martins</v>
      </c>
      <c r="H377" s="32" t="s">
        <v>52</v>
      </c>
      <c r="I377" s="32" t="s">
        <v>99</v>
      </c>
      <c r="J377" s="34">
        <v>2</v>
      </c>
      <c r="K377" s="35">
        <v>79</v>
      </c>
      <c r="L377" s="35">
        <v>1.06</v>
      </c>
      <c r="M377" s="36">
        <f t="shared" si="38"/>
        <v>156.94</v>
      </c>
      <c r="N377" s="32" t="s">
        <v>65</v>
      </c>
      <c r="Q377" s="49" t="s">
        <v>672</v>
      </c>
      <c r="R377" s="49" t="s">
        <v>34</v>
      </c>
      <c r="S377" s="58">
        <f t="shared" si="37"/>
        <v>45904</v>
      </c>
      <c r="T377" s="51" t="s">
        <v>47</v>
      </c>
      <c r="U377" s="50" t="s">
        <v>52</v>
      </c>
      <c r="V377" s="52" t="s">
        <v>99</v>
      </c>
      <c r="W377" s="53">
        <v>2</v>
      </c>
      <c r="X377" s="54">
        <v>79</v>
      </c>
      <c r="Y377" s="54">
        <v>1.06</v>
      </c>
      <c r="Z377" s="55">
        <f t="shared" si="39"/>
        <v>156.94</v>
      </c>
      <c r="AA377" s="56" t="s">
        <v>65</v>
      </c>
      <c r="AB377"/>
    </row>
    <row r="378" spans="1:28" x14ac:dyDescent="0.25">
      <c r="A378" s="26" t="s">
        <v>674</v>
      </c>
      <c r="B378" s="26" t="s">
        <v>55</v>
      </c>
      <c r="C378" s="26" t="str">
        <f t="shared" si="34"/>
        <v>Ricardo Carvalho</v>
      </c>
      <c r="D378" s="37" t="s">
        <v>273</v>
      </c>
      <c r="E378" s="27">
        <f t="shared" si="35"/>
        <v>45777</v>
      </c>
      <c r="F378" s="26" t="s">
        <v>29</v>
      </c>
      <c r="G378" s="26" t="str">
        <f t="shared" si="36"/>
        <v>Camila Rocha</v>
      </c>
      <c r="H378" s="26" t="s">
        <v>23</v>
      </c>
      <c r="I378" s="26" t="s">
        <v>48</v>
      </c>
      <c r="J378" s="28">
        <v>5</v>
      </c>
      <c r="K378" s="29">
        <v>450</v>
      </c>
      <c r="L378" s="29">
        <v>5.2</v>
      </c>
      <c r="M378" s="30">
        <f t="shared" si="38"/>
        <v>2244.8000000000002</v>
      </c>
      <c r="N378" s="26" t="s">
        <v>32</v>
      </c>
      <c r="Q378" s="42" t="s">
        <v>674</v>
      </c>
      <c r="R378" s="42" t="s">
        <v>55</v>
      </c>
      <c r="S378" s="57">
        <f t="shared" si="37"/>
        <v>45777</v>
      </c>
      <c r="T378" s="44" t="s">
        <v>29</v>
      </c>
      <c r="U378" s="43" t="s">
        <v>23</v>
      </c>
      <c r="V378" s="42" t="s">
        <v>48</v>
      </c>
      <c r="W378" s="45">
        <v>5</v>
      </c>
      <c r="X378" s="46">
        <v>450</v>
      </c>
      <c r="Y378" s="46">
        <v>5.2</v>
      </c>
      <c r="Z378" s="47">
        <f t="shared" si="39"/>
        <v>2244.8000000000002</v>
      </c>
      <c r="AA378" s="48" t="s">
        <v>32</v>
      </c>
      <c r="AB378"/>
    </row>
    <row r="379" spans="1:28" x14ac:dyDescent="0.25">
      <c r="A379" s="31" t="s">
        <v>675</v>
      </c>
      <c r="B379" s="31" t="s">
        <v>101</v>
      </c>
      <c r="C379" s="32" t="str">
        <f t="shared" si="34"/>
        <v>Ana Souza</v>
      </c>
      <c r="D379" s="38" t="s">
        <v>627</v>
      </c>
      <c r="E379" s="33">
        <f t="shared" si="35"/>
        <v>45840</v>
      </c>
      <c r="F379" s="32" t="s">
        <v>15</v>
      </c>
      <c r="G379" s="32" t="str">
        <f t="shared" si="36"/>
        <v>Larissa Dias</v>
      </c>
      <c r="H379" s="32" t="s">
        <v>30</v>
      </c>
      <c r="I379" s="32" t="s">
        <v>152</v>
      </c>
      <c r="J379" s="34">
        <v>1</v>
      </c>
      <c r="K379" s="35">
        <v>4500</v>
      </c>
      <c r="L379" s="35">
        <v>0</v>
      </c>
      <c r="M379" s="36">
        <f t="shared" si="38"/>
        <v>4500</v>
      </c>
      <c r="N379" s="32" t="s">
        <v>49</v>
      </c>
      <c r="Q379" s="49" t="s">
        <v>675</v>
      </c>
      <c r="R379" s="49" t="s">
        <v>101</v>
      </c>
      <c r="S379" s="58">
        <f t="shared" si="37"/>
        <v>45840</v>
      </c>
      <c r="T379" s="51" t="s">
        <v>15</v>
      </c>
      <c r="U379" s="50" t="s">
        <v>30</v>
      </c>
      <c r="V379" s="52" t="s">
        <v>152</v>
      </c>
      <c r="W379" s="53">
        <v>1</v>
      </c>
      <c r="X379" s="54">
        <v>4500</v>
      </c>
      <c r="Y379" s="54">
        <v>0</v>
      </c>
      <c r="Z379" s="55">
        <f t="shared" si="39"/>
        <v>4500</v>
      </c>
      <c r="AA379" s="56" t="s">
        <v>49</v>
      </c>
      <c r="AB379"/>
    </row>
    <row r="380" spans="1:28" x14ac:dyDescent="0.25">
      <c r="A380" s="26" t="s">
        <v>676</v>
      </c>
      <c r="B380" s="26" t="s">
        <v>95</v>
      </c>
      <c r="C380" s="26" t="str">
        <f t="shared" si="34"/>
        <v>Maria Oliveira</v>
      </c>
      <c r="D380" s="37" t="s">
        <v>591</v>
      </c>
      <c r="E380" s="27">
        <f t="shared" si="35"/>
        <v>45947</v>
      </c>
      <c r="F380" s="26" t="s">
        <v>15</v>
      </c>
      <c r="G380" s="26" t="str">
        <f t="shared" si="36"/>
        <v>Larissa Dias</v>
      </c>
      <c r="H380" s="26" t="s">
        <v>23</v>
      </c>
      <c r="I380" s="26" t="s">
        <v>43</v>
      </c>
      <c r="J380" s="28">
        <v>5</v>
      </c>
      <c r="K380" s="29">
        <v>350</v>
      </c>
      <c r="L380" s="29">
        <v>189.5</v>
      </c>
      <c r="M380" s="30">
        <f t="shared" si="38"/>
        <v>1560.5</v>
      </c>
      <c r="N380" s="26" t="s">
        <v>44</v>
      </c>
      <c r="Q380" s="42" t="s">
        <v>676</v>
      </c>
      <c r="R380" s="42" t="s">
        <v>95</v>
      </c>
      <c r="S380" s="57">
        <f t="shared" si="37"/>
        <v>45947</v>
      </c>
      <c r="T380" s="44" t="s">
        <v>15</v>
      </c>
      <c r="U380" s="43" t="s">
        <v>23</v>
      </c>
      <c r="V380" s="42" t="s">
        <v>43</v>
      </c>
      <c r="W380" s="45">
        <v>5</v>
      </c>
      <c r="X380" s="46">
        <v>350</v>
      </c>
      <c r="Y380" s="46">
        <v>189.5</v>
      </c>
      <c r="Z380" s="47">
        <f t="shared" si="39"/>
        <v>1560.5</v>
      </c>
      <c r="AA380" s="48" t="s">
        <v>44</v>
      </c>
      <c r="AB380"/>
    </row>
    <row r="381" spans="1:28" x14ac:dyDescent="0.25">
      <c r="A381" s="31" t="s">
        <v>677</v>
      </c>
      <c r="B381" s="31" t="s">
        <v>63</v>
      </c>
      <c r="C381" s="32" t="str">
        <f t="shared" si="34"/>
        <v>Marcos Rodrigues</v>
      </c>
      <c r="D381" s="38" t="s">
        <v>144</v>
      </c>
      <c r="E381" s="33">
        <f t="shared" si="35"/>
        <v>45923</v>
      </c>
      <c r="F381" s="32" t="s">
        <v>29</v>
      </c>
      <c r="G381" s="32" t="str">
        <f t="shared" si="36"/>
        <v>Camila Rocha</v>
      </c>
      <c r="H381" s="32" t="s">
        <v>30</v>
      </c>
      <c r="I381" s="32" t="s">
        <v>152</v>
      </c>
      <c r="J381" s="34">
        <v>1</v>
      </c>
      <c r="K381" s="35">
        <v>4500</v>
      </c>
      <c r="L381" s="35">
        <v>571.63</v>
      </c>
      <c r="M381" s="36">
        <f t="shared" si="38"/>
        <v>3928.37</v>
      </c>
      <c r="N381" s="32" t="s">
        <v>49</v>
      </c>
      <c r="Q381" s="49" t="s">
        <v>677</v>
      </c>
      <c r="R381" s="49" t="s">
        <v>63</v>
      </c>
      <c r="S381" s="58">
        <f t="shared" si="37"/>
        <v>45923</v>
      </c>
      <c r="T381" s="51" t="s">
        <v>29</v>
      </c>
      <c r="U381" s="50" t="s">
        <v>30</v>
      </c>
      <c r="V381" s="52" t="s">
        <v>152</v>
      </c>
      <c r="W381" s="53">
        <v>1</v>
      </c>
      <c r="X381" s="54">
        <v>4500</v>
      </c>
      <c r="Y381" s="54">
        <v>571.63</v>
      </c>
      <c r="Z381" s="55">
        <f t="shared" si="39"/>
        <v>3928.37</v>
      </c>
      <c r="AA381" s="56" t="s">
        <v>49</v>
      </c>
      <c r="AB381"/>
    </row>
    <row r="382" spans="1:28" x14ac:dyDescent="0.25">
      <c r="A382" s="26" t="s">
        <v>678</v>
      </c>
      <c r="B382" s="26" t="s">
        <v>55</v>
      </c>
      <c r="C382" s="26" t="str">
        <f t="shared" si="34"/>
        <v>Ricardo Carvalho</v>
      </c>
      <c r="D382" s="37" t="s">
        <v>497</v>
      </c>
      <c r="E382" s="27">
        <f t="shared" si="35"/>
        <v>45679</v>
      </c>
      <c r="F382" s="26" t="s">
        <v>22</v>
      </c>
      <c r="G382" s="26" t="str">
        <f t="shared" si="36"/>
        <v>Amanda Costa</v>
      </c>
      <c r="H382" s="26" t="s">
        <v>52</v>
      </c>
      <c r="I382" s="26" t="s">
        <v>61</v>
      </c>
      <c r="J382" s="28">
        <v>1</v>
      </c>
      <c r="K382" s="29">
        <v>199</v>
      </c>
      <c r="L382" s="29">
        <v>0</v>
      </c>
      <c r="M382" s="30">
        <f t="shared" si="38"/>
        <v>199</v>
      </c>
      <c r="N382" s="26" t="s">
        <v>69</v>
      </c>
      <c r="Q382" s="42" t="s">
        <v>678</v>
      </c>
      <c r="R382" s="42" t="s">
        <v>55</v>
      </c>
      <c r="S382" s="57">
        <f t="shared" si="37"/>
        <v>45679</v>
      </c>
      <c r="T382" s="44" t="s">
        <v>22</v>
      </c>
      <c r="U382" s="43" t="s">
        <v>52</v>
      </c>
      <c r="V382" s="42" t="s">
        <v>61</v>
      </c>
      <c r="W382" s="45">
        <v>1</v>
      </c>
      <c r="X382" s="46">
        <v>199</v>
      </c>
      <c r="Y382" s="46">
        <v>0</v>
      </c>
      <c r="Z382" s="47">
        <f t="shared" si="39"/>
        <v>199</v>
      </c>
      <c r="AA382" s="48" t="s">
        <v>69</v>
      </c>
      <c r="AB382"/>
    </row>
    <row r="383" spans="1:28" x14ac:dyDescent="0.25">
      <c r="A383" s="31" t="s">
        <v>679</v>
      </c>
      <c r="B383" s="31" t="s">
        <v>71</v>
      </c>
      <c r="C383" s="32" t="str">
        <f t="shared" si="34"/>
        <v>Juliana Costa</v>
      </c>
      <c r="D383" s="38" t="s">
        <v>151</v>
      </c>
      <c r="E383" s="33">
        <f t="shared" si="35"/>
        <v>45843</v>
      </c>
      <c r="F383" s="32" t="s">
        <v>29</v>
      </c>
      <c r="G383" s="32" t="str">
        <f t="shared" si="36"/>
        <v>Camila Rocha</v>
      </c>
      <c r="H383" s="32" t="s">
        <v>52</v>
      </c>
      <c r="I383" s="32" t="s">
        <v>61</v>
      </c>
      <c r="J383" s="34">
        <v>3</v>
      </c>
      <c r="K383" s="35">
        <v>199</v>
      </c>
      <c r="L383" s="35">
        <v>0</v>
      </c>
      <c r="M383" s="36">
        <f t="shared" si="38"/>
        <v>597</v>
      </c>
      <c r="N383" s="32" t="s">
        <v>69</v>
      </c>
      <c r="Q383" s="49" t="s">
        <v>679</v>
      </c>
      <c r="R383" s="49" t="s">
        <v>71</v>
      </c>
      <c r="S383" s="58">
        <f t="shared" si="37"/>
        <v>45843</v>
      </c>
      <c r="T383" s="51" t="s">
        <v>29</v>
      </c>
      <c r="U383" s="50" t="s">
        <v>52</v>
      </c>
      <c r="V383" s="52" t="s">
        <v>61</v>
      </c>
      <c r="W383" s="53">
        <v>3</v>
      </c>
      <c r="X383" s="54">
        <v>199</v>
      </c>
      <c r="Y383" s="54">
        <v>0</v>
      </c>
      <c r="Z383" s="55">
        <f t="shared" si="39"/>
        <v>597</v>
      </c>
      <c r="AA383" s="56" t="s">
        <v>69</v>
      </c>
      <c r="AB383"/>
    </row>
    <row r="384" spans="1:28" x14ac:dyDescent="0.25">
      <c r="A384" s="26" t="s">
        <v>680</v>
      </c>
      <c r="B384" s="26" t="s">
        <v>55</v>
      </c>
      <c r="C384" s="26" t="str">
        <f t="shared" si="34"/>
        <v>Ricardo Carvalho</v>
      </c>
      <c r="D384" s="37" t="s">
        <v>282</v>
      </c>
      <c r="E384" s="27">
        <f t="shared" si="35"/>
        <v>45984</v>
      </c>
      <c r="F384" s="26" t="s">
        <v>39</v>
      </c>
      <c r="G384" s="26" t="str">
        <f t="shared" si="36"/>
        <v>Rodrigo Mello</v>
      </c>
      <c r="H384" s="26" t="s">
        <v>16</v>
      </c>
      <c r="I384" s="26" t="s">
        <v>17</v>
      </c>
      <c r="J384" s="28">
        <v>2</v>
      </c>
      <c r="K384" s="29">
        <v>39</v>
      </c>
      <c r="L384" s="29">
        <v>0</v>
      </c>
      <c r="M384" s="30">
        <f t="shared" si="38"/>
        <v>78</v>
      </c>
      <c r="N384" s="26" t="s">
        <v>44</v>
      </c>
      <c r="Q384" s="42" t="s">
        <v>680</v>
      </c>
      <c r="R384" s="42" t="s">
        <v>55</v>
      </c>
      <c r="S384" s="57">
        <f t="shared" si="37"/>
        <v>45984</v>
      </c>
      <c r="T384" s="44" t="s">
        <v>39</v>
      </c>
      <c r="U384" s="43" t="s">
        <v>16</v>
      </c>
      <c r="V384" s="42" t="s">
        <v>17</v>
      </c>
      <c r="W384" s="45">
        <v>2</v>
      </c>
      <c r="X384" s="46">
        <v>39</v>
      </c>
      <c r="Y384" s="46">
        <v>0</v>
      </c>
      <c r="Z384" s="47">
        <f t="shared" si="39"/>
        <v>78</v>
      </c>
      <c r="AA384" s="48" t="s">
        <v>44</v>
      </c>
      <c r="AB384"/>
    </row>
    <row r="385" spans="1:28" x14ac:dyDescent="0.25">
      <c r="A385" s="31" t="s">
        <v>681</v>
      </c>
      <c r="B385" s="31" t="s">
        <v>20</v>
      </c>
      <c r="C385" s="32" t="str">
        <f t="shared" si="34"/>
        <v>Beatriz Ribeiro</v>
      </c>
      <c r="D385" s="38" t="s">
        <v>627</v>
      </c>
      <c r="E385" s="33">
        <f t="shared" si="35"/>
        <v>45840</v>
      </c>
      <c r="F385" s="32" t="s">
        <v>29</v>
      </c>
      <c r="G385" s="32" t="str">
        <f t="shared" si="36"/>
        <v>Camila Rocha</v>
      </c>
      <c r="H385" s="32" t="s">
        <v>23</v>
      </c>
      <c r="I385" s="32" t="s">
        <v>43</v>
      </c>
      <c r="J385" s="34">
        <v>2</v>
      </c>
      <c r="K385" s="35">
        <v>350</v>
      </c>
      <c r="L385" s="35">
        <v>0</v>
      </c>
      <c r="M385" s="36">
        <f t="shared" si="38"/>
        <v>700</v>
      </c>
      <c r="N385" s="32" t="s">
        <v>89</v>
      </c>
      <c r="Q385" s="49" t="s">
        <v>681</v>
      </c>
      <c r="R385" s="49" t="s">
        <v>20</v>
      </c>
      <c r="S385" s="58">
        <f t="shared" si="37"/>
        <v>45840</v>
      </c>
      <c r="T385" s="51" t="s">
        <v>29</v>
      </c>
      <c r="U385" s="50" t="s">
        <v>23</v>
      </c>
      <c r="V385" s="52" t="s">
        <v>43</v>
      </c>
      <c r="W385" s="53">
        <v>2</v>
      </c>
      <c r="X385" s="54">
        <v>350</v>
      </c>
      <c r="Y385" s="54">
        <v>0</v>
      </c>
      <c r="Z385" s="55">
        <f t="shared" si="39"/>
        <v>700</v>
      </c>
      <c r="AA385" s="56" t="s">
        <v>89</v>
      </c>
      <c r="AB385"/>
    </row>
    <row r="386" spans="1:28" x14ac:dyDescent="0.25">
      <c r="A386" s="26" t="s">
        <v>682</v>
      </c>
      <c r="B386" s="26" t="s">
        <v>63</v>
      </c>
      <c r="C386" s="26" t="str">
        <f t="shared" si="34"/>
        <v>Marcos Rodrigues</v>
      </c>
      <c r="D386" s="37" t="s">
        <v>243</v>
      </c>
      <c r="E386" s="27">
        <f t="shared" si="35"/>
        <v>45880</v>
      </c>
      <c r="F386" s="26" t="s">
        <v>47</v>
      </c>
      <c r="G386" s="26" t="str">
        <f t="shared" si="36"/>
        <v>Bruno Martins</v>
      </c>
      <c r="H386" s="26" t="s">
        <v>16</v>
      </c>
      <c r="I386" s="26" t="s">
        <v>116</v>
      </c>
      <c r="J386" s="28">
        <v>2</v>
      </c>
      <c r="K386" s="29">
        <v>45</v>
      </c>
      <c r="L386" s="29">
        <v>0</v>
      </c>
      <c r="M386" s="30">
        <f t="shared" si="38"/>
        <v>90</v>
      </c>
      <c r="N386" s="26" t="s">
        <v>18</v>
      </c>
      <c r="Q386" s="42" t="s">
        <v>682</v>
      </c>
      <c r="R386" s="42" t="s">
        <v>63</v>
      </c>
      <c r="S386" s="57">
        <f t="shared" si="37"/>
        <v>45880</v>
      </c>
      <c r="T386" s="44" t="s">
        <v>47</v>
      </c>
      <c r="U386" s="43" t="s">
        <v>16</v>
      </c>
      <c r="V386" s="42" t="s">
        <v>116</v>
      </c>
      <c r="W386" s="45">
        <v>2</v>
      </c>
      <c r="X386" s="46">
        <v>45</v>
      </c>
      <c r="Y386" s="46">
        <v>0</v>
      </c>
      <c r="Z386" s="47">
        <f t="shared" si="39"/>
        <v>90</v>
      </c>
      <c r="AA386" s="48" t="s">
        <v>18</v>
      </c>
      <c r="AB386"/>
    </row>
    <row r="387" spans="1:28" x14ac:dyDescent="0.25">
      <c r="A387" s="31" t="s">
        <v>683</v>
      </c>
      <c r="B387" s="31" t="s">
        <v>110</v>
      </c>
      <c r="C387" s="32" t="str">
        <f t="shared" ref="C387:C450" si="40">SUBSTITUTE(SUBSTITUTE(SUBSTITUTE(SUBSTITUTE(PROPER(B387)," Da "," ")," De "," ")," Do "," ")," Dos "," ")</f>
        <v>Fernanda Lima</v>
      </c>
      <c r="D387" s="38" t="s">
        <v>684</v>
      </c>
      <c r="E387" s="33">
        <f t="shared" ref="E387:E450" si="41">DATEVALUE(D387)</f>
        <v>45756</v>
      </c>
      <c r="F387" s="32" t="s">
        <v>15</v>
      </c>
      <c r="G387" s="32" t="str">
        <f t="shared" ref="G387:G450" si="42">SUBSTITUTE(SUBSTITUTE(SUBSTITUTE(SUBSTITUTE(PROPER(F387)," Da "," ")," De "," ")," Do "," ")," Dos "," ")</f>
        <v>Larissa Dias</v>
      </c>
      <c r="H387" s="32" t="s">
        <v>52</v>
      </c>
      <c r="I387" s="32" t="s">
        <v>53</v>
      </c>
      <c r="J387" s="34">
        <v>4</v>
      </c>
      <c r="K387" s="35">
        <v>149</v>
      </c>
      <c r="L387" s="35">
        <v>77.180000000000007</v>
      </c>
      <c r="M387" s="36">
        <f t="shared" si="38"/>
        <v>518.81999999999994</v>
      </c>
      <c r="N387" s="32" t="s">
        <v>49</v>
      </c>
      <c r="Q387" s="49" t="s">
        <v>683</v>
      </c>
      <c r="R387" s="49" t="s">
        <v>110</v>
      </c>
      <c r="S387" s="58">
        <f t="shared" si="37"/>
        <v>45756</v>
      </c>
      <c r="T387" s="51" t="s">
        <v>15</v>
      </c>
      <c r="U387" s="50" t="s">
        <v>52</v>
      </c>
      <c r="V387" s="52" t="s">
        <v>53</v>
      </c>
      <c r="W387" s="53">
        <v>4</v>
      </c>
      <c r="X387" s="54">
        <v>149</v>
      </c>
      <c r="Y387" s="54">
        <v>77.180000000000007</v>
      </c>
      <c r="Z387" s="55">
        <f t="shared" si="39"/>
        <v>518.81999999999994</v>
      </c>
      <c r="AA387" s="56" t="s">
        <v>49</v>
      </c>
      <c r="AB387"/>
    </row>
    <row r="388" spans="1:28" x14ac:dyDescent="0.25">
      <c r="A388" s="26" t="s">
        <v>685</v>
      </c>
      <c r="B388" s="26" t="s">
        <v>13</v>
      </c>
      <c r="C388" s="26" t="str">
        <f t="shared" si="40"/>
        <v>Lucas Almeida</v>
      </c>
      <c r="D388" s="37" t="s">
        <v>128</v>
      </c>
      <c r="E388" s="27">
        <f t="shared" si="41"/>
        <v>45826</v>
      </c>
      <c r="F388" s="26" t="s">
        <v>15</v>
      </c>
      <c r="G388" s="26" t="str">
        <f t="shared" si="42"/>
        <v>Larissa Dias</v>
      </c>
      <c r="H388" s="26" t="s">
        <v>16</v>
      </c>
      <c r="I388" s="26" t="s">
        <v>78</v>
      </c>
      <c r="J388" s="28">
        <v>4</v>
      </c>
      <c r="K388" s="29">
        <v>59</v>
      </c>
      <c r="L388" s="29">
        <v>0</v>
      </c>
      <c r="M388" s="30">
        <f t="shared" si="38"/>
        <v>236</v>
      </c>
      <c r="N388" s="26" t="s">
        <v>49</v>
      </c>
      <c r="Q388" s="42" t="s">
        <v>685</v>
      </c>
      <c r="R388" s="42" t="s">
        <v>13</v>
      </c>
      <c r="S388" s="57">
        <f t="shared" si="37"/>
        <v>45826</v>
      </c>
      <c r="T388" s="44" t="s">
        <v>15</v>
      </c>
      <c r="U388" s="43" t="s">
        <v>16</v>
      </c>
      <c r="V388" s="42" t="s">
        <v>78</v>
      </c>
      <c r="W388" s="45">
        <v>4</v>
      </c>
      <c r="X388" s="46">
        <v>59</v>
      </c>
      <c r="Y388" s="46">
        <v>0</v>
      </c>
      <c r="Z388" s="47">
        <f t="shared" si="39"/>
        <v>236</v>
      </c>
      <c r="AA388" s="48" t="s">
        <v>49</v>
      </c>
      <c r="AB388"/>
    </row>
    <row r="389" spans="1:28" x14ac:dyDescent="0.25">
      <c r="A389" s="31" t="s">
        <v>686</v>
      </c>
      <c r="B389" s="31" t="s">
        <v>41</v>
      </c>
      <c r="C389" s="32" t="str">
        <f t="shared" si="40"/>
        <v>João Pereira</v>
      </c>
      <c r="D389" s="38" t="s">
        <v>564</v>
      </c>
      <c r="E389" s="33">
        <f t="shared" si="41"/>
        <v>45832</v>
      </c>
      <c r="F389" s="32" t="s">
        <v>47</v>
      </c>
      <c r="G389" s="32" t="str">
        <f t="shared" si="42"/>
        <v>Bruno Martins</v>
      </c>
      <c r="H389" s="32" t="s">
        <v>16</v>
      </c>
      <c r="I389" s="32" t="s">
        <v>17</v>
      </c>
      <c r="J389" s="34">
        <v>5</v>
      </c>
      <c r="K389" s="35">
        <v>39</v>
      </c>
      <c r="L389" s="35">
        <v>17.899999999999999</v>
      </c>
      <c r="M389" s="36">
        <f t="shared" si="38"/>
        <v>177.1</v>
      </c>
      <c r="N389" s="32" t="s">
        <v>32</v>
      </c>
      <c r="Q389" s="49" t="s">
        <v>686</v>
      </c>
      <c r="R389" s="49" t="s">
        <v>41</v>
      </c>
      <c r="S389" s="58">
        <f t="shared" si="37"/>
        <v>45832</v>
      </c>
      <c r="T389" s="51" t="s">
        <v>47</v>
      </c>
      <c r="U389" s="50" t="s">
        <v>16</v>
      </c>
      <c r="V389" s="52" t="s">
        <v>17</v>
      </c>
      <c r="W389" s="53">
        <v>5</v>
      </c>
      <c r="X389" s="54">
        <v>39</v>
      </c>
      <c r="Y389" s="54">
        <v>17.899999999999999</v>
      </c>
      <c r="Z389" s="55">
        <f t="shared" si="39"/>
        <v>177.1</v>
      </c>
      <c r="AA389" s="56" t="s">
        <v>32</v>
      </c>
      <c r="AB389"/>
    </row>
    <row r="390" spans="1:28" x14ac:dyDescent="0.25">
      <c r="A390" s="26" t="s">
        <v>687</v>
      </c>
      <c r="B390" s="26" t="s">
        <v>27</v>
      </c>
      <c r="C390" s="26" t="str">
        <f t="shared" si="40"/>
        <v>Roberto Santos</v>
      </c>
      <c r="D390" s="37" t="s">
        <v>688</v>
      </c>
      <c r="E390" s="27">
        <f t="shared" si="41"/>
        <v>45943</v>
      </c>
      <c r="F390" s="26" t="s">
        <v>47</v>
      </c>
      <c r="G390" s="26" t="str">
        <f t="shared" si="42"/>
        <v>Bruno Martins</v>
      </c>
      <c r="H390" s="26" t="s">
        <v>30</v>
      </c>
      <c r="I390" s="26" t="s">
        <v>68</v>
      </c>
      <c r="J390" s="28">
        <v>4</v>
      </c>
      <c r="K390" s="29">
        <v>799</v>
      </c>
      <c r="L390" s="29">
        <v>133.94999999999999</v>
      </c>
      <c r="M390" s="30">
        <f t="shared" si="38"/>
        <v>3062.05</v>
      </c>
      <c r="N390" s="26" t="s">
        <v>89</v>
      </c>
      <c r="Q390" s="42" t="s">
        <v>687</v>
      </c>
      <c r="R390" s="42" t="s">
        <v>27</v>
      </c>
      <c r="S390" s="57">
        <f t="shared" ref="S390:S453" si="43">DATEVALUE(D390)</f>
        <v>45943</v>
      </c>
      <c r="T390" s="44" t="s">
        <v>47</v>
      </c>
      <c r="U390" s="43" t="s">
        <v>30</v>
      </c>
      <c r="V390" s="42" t="s">
        <v>68</v>
      </c>
      <c r="W390" s="45">
        <v>4</v>
      </c>
      <c r="X390" s="46">
        <v>799</v>
      </c>
      <c r="Y390" s="46">
        <v>133.94999999999999</v>
      </c>
      <c r="Z390" s="47">
        <f t="shared" si="39"/>
        <v>3062.05</v>
      </c>
      <c r="AA390" s="48" t="s">
        <v>89</v>
      </c>
      <c r="AB390"/>
    </row>
    <row r="391" spans="1:28" x14ac:dyDescent="0.25">
      <c r="A391" s="31" t="s">
        <v>689</v>
      </c>
      <c r="B391" s="31" t="s">
        <v>27</v>
      </c>
      <c r="C391" s="32" t="str">
        <f t="shared" si="40"/>
        <v>Roberto Santos</v>
      </c>
      <c r="D391" s="38" t="s">
        <v>690</v>
      </c>
      <c r="E391" s="33">
        <f t="shared" si="41"/>
        <v>45794</v>
      </c>
      <c r="F391" s="32" t="s">
        <v>22</v>
      </c>
      <c r="G391" s="32" t="str">
        <f t="shared" si="42"/>
        <v>Amanda Costa</v>
      </c>
      <c r="H391" s="32" t="s">
        <v>52</v>
      </c>
      <c r="I391" s="32" t="s">
        <v>53</v>
      </c>
      <c r="J391" s="34">
        <v>4</v>
      </c>
      <c r="K391" s="35">
        <v>149</v>
      </c>
      <c r="L391" s="35">
        <v>0</v>
      </c>
      <c r="M391" s="36">
        <f t="shared" si="38"/>
        <v>596</v>
      </c>
      <c r="N391" s="32" t="s">
        <v>32</v>
      </c>
      <c r="Q391" s="49" t="s">
        <v>689</v>
      </c>
      <c r="R391" s="49" t="s">
        <v>27</v>
      </c>
      <c r="S391" s="58">
        <f t="shared" si="43"/>
        <v>45794</v>
      </c>
      <c r="T391" s="51" t="s">
        <v>22</v>
      </c>
      <c r="U391" s="50" t="s">
        <v>52</v>
      </c>
      <c r="V391" s="52" t="s">
        <v>53</v>
      </c>
      <c r="W391" s="53">
        <v>4</v>
      </c>
      <c r="X391" s="54">
        <v>149</v>
      </c>
      <c r="Y391" s="54">
        <v>0</v>
      </c>
      <c r="Z391" s="55">
        <f t="shared" si="39"/>
        <v>596</v>
      </c>
      <c r="AA391" s="56" t="s">
        <v>32</v>
      </c>
      <c r="AB391"/>
    </row>
    <row r="392" spans="1:28" x14ac:dyDescent="0.25">
      <c r="A392" s="26" t="s">
        <v>691</v>
      </c>
      <c r="B392" s="26" t="s">
        <v>41</v>
      </c>
      <c r="C392" s="26" t="str">
        <f t="shared" si="40"/>
        <v>João Pereira</v>
      </c>
      <c r="D392" s="37" t="s">
        <v>417</v>
      </c>
      <c r="E392" s="27">
        <f t="shared" si="41"/>
        <v>45921</v>
      </c>
      <c r="F392" s="26" t="s">
        <v>47</v>
      </c>
      <c r="G392" s="26" t="str">
        <f t="shared" si="42"/>
        <v>Bruno Martins</v>
      </c>
      <c r="H392" s="26" t="s">
        <v>52</v>
      </c>
      <c r="I392" s="26" t="s">
        <v>53</v>
      </c>
      <c r="J392" s="28">
        <v>5</v>
      </c>
      <c r="K392" s="29">
        <v>149</v>
      </c>
      <c r="L392" s="29">
        <v>0</v>
      </c>
      <c r="M392" s="30">
        <f t="shared" ref="M392:M455" si="44">(J392*K392)-L392</f>
        <v>745</v>
      </c>
      <c r="N392" s="26" t="s">
        <v>18</v>
      </c>
      <c r="Q392" s="42" t="s">
        <v>691</v>
      </c>
      <c r="R392" s="42" t="s">
        <v>41</v>
      </c>
      <c r="S392" s="57">
        <f t="shared" si="43"/>
        <v>45921</v>
      </c>
      <c r="T392" s="44" t="s">
        <v>47</v>
      </c>
      <c r="U392" s="43" t="s">
        <v>52</v>
      </c>
      <c r="V392" s="42" t="s">
        <v>53</v>
      </c>
      <c r="W392" s="45">
        <v>5</v>
      </c>
      <c r="X392" s="46">
        <v>149</v>
      </c>
      <c r="Y392" s="46">
        <v>0</v>
      </c>
      <c r="Z392" s="47">
        <f t="shared" ref="Z392:Z455" si="45">(W392*X392)-Y392</f>
        <v>745</v>
      </c>
      <c r="AA392" s="48" t="s">
        <v>18</v>
      </c>
      <c r="AB392"/>
    </row>
    <row r="393" spans="1:28" x14ac:dyDescent="0.25">
      <c r="A393" s="31" t="s">
        <v>692</v>
      </c>
      <c r="B393" s="31" t="s">
        <v>20</v>
      </c>
      <c r="C393" s="32" t="str">
        <f t="shared" si="40"/>
        <v>Beatriz Ribeiro</v>
      </c>
      <c r="D393" s="38" t="s">
        <v>693</v>
      </c>
      <c r="E393" s="33">
        <f t="shared" si="41"/>
        <v>45791</v>
      </c>
      <c r="F393" s="32" t="s">
        <v>39</v>
      </c>
      <c r="G393" s="32" t="str">
        <f t="shared" si="42"/>
        <v>Rodrigo Mello</v>
      </c>
      <c r="H393" s="32" t="s">
        <v>23</v>
      </c>
      <c r="I393" s="32" t="s">
        <v>43</v>
      </c>
      <c r="J393" s="34">
        <v>3</v>
      </c>
      <c r="K393" s="35">
        <v>350</v>
      </c>
      <c r="L393" s="35">
        <v>0</v>
      </c>
      <c r="M393" s="36">
        <f t="shared" si="44"/>
        <v>1050</v>
      </c>
      <c r="N393" s="32" t="s">
        <v>44</v>
      </c>
      <c r="Q393" s="49" t="s">
        <v>692</v>
      </c>
      <c r="R393" s="49" t="s">
        <v>20</v>
      </c>
      <c r="S393" s="58">
        <f t="shared" si="43"/>
        <v>45791</v>
      </c>
      <c r="T393" s="51" t="s">
        <v>39</v>
      </c>
      <c r="U393" s="50" t="s">
        <v>23</v>
      </c>
      <c r="V393" s="52" t="s">
        <v>43</v>
      </c>
      <c r="W393" s="53">
        <v>3</v>
      </c>
      <c r="X393" s="54">
        <v>350</v>
      </c>
      <c r="Y393" s="54">
        <v>0</v>
      </c>
      <c r="Z393" s="55">
        <f t="shared" si="45"/>
        <v>1050</v>
      </c>
      <c r="AA393" s="56" t="s">
        <v>44</v>
      </c>
      <c r="AB393"/>
    </row>
    <row r="394" spans="1:28" x14ac:dyDescent="0.25">
      <c r="A394" s="26" t="s">
        <v>694</v>
      </c>
      <c r="B394" s="26" t="s">
        <v>63</v>
      </c>
      <c r="C394" s="26" t="str">
        <f t="shared" si="40"/>
        <v>Marcos Rodrigues</v>
      </c>
      <c r="D394" s="37" t="s">
        <v>695</v>
      </c>
      <c r="E394" s="27">
        <f t="shared" si="41"/>
        <v>45877</v>
      </c>
      <c r="F394" s="26" t="s">
        <v>47</v>
      </c>
      <c r="G394" s="26" t="str">
        <f t="shared" si="42"/>
        <v>Bruno Martins</v>
      </c>
      <c r="H394" s="26" t="s">
        <v>30</v>
      </c>
      <c r="I394" s="26" t="s">
        <v>31</v>
      </c>
      <c r="J394" s="28">
        <v>2</v>
      </c>
      <c r="K394" s="29">
        <v>2500</v>
      </c>
      <c r="L394" s="29">
        <v>0</v>
      </c>
      <c r="M394" s="30">
        <f t="shared" si="44"/>
        <v>5000</v>
      </c>
      <c r="N394" s="26" t="s">
        <v>44</v>
      </c>
      <c r="Q394" s="42" t="s">
        <v>694</v>
      </c>
      <c r="R394" s="42" t="s">
        <v>63</v>
      </c>
      <c r="S394" s="57">
        <f t="shared" si="43"/>
        <v>45877</v>
      </c>
      <c r="T394" s="44" t="s">
        <v>47</v>
      </c>
      <c r="U394" s="43" t="s">
        <v>30</v>
      </c>
      <c r="V394" s="42" t="s">
        <v>31</v>
      </c>
      <c r="W394" s="45">
        <v>2</v>
      </c>
      <c r="X394" s="46">
        <v>2500</v>
      </c>
      <c r="Y394" s="46">
        <v>0</v>
      </c>
      <c r="Z394" s="47">
        <f t="shared" si="45"/>
        <v>5000</v>
      </c>
      <c r="AA394" s="48" t="s">
        <v>44</v>
      </c>
      <c r="AB394"/>
    </row>
    <row r="395" spans="1:28" x14ac:dyDescent="0.25">
      <c r="A395" s="31" t="s">
        <v>696</v>
      </c>
      <c r="B395" s="31" t="s">
        <v>110</v>
      </c>
      <c r="C395" s="32" t="str">
        <f t="shared" si="40"/>
        <v>Fernanda Lima</v>
      </c>
      <c r="D395" s="38" t="s">
        <v>697</v>
      </c>
      <c r="E395" s="33">
        <f t="shared" si="41"/>
        <v>45927</v>
      </c>
      <c r="F395" s="32" t="s">
        <v>22</v>
      </c>
      <c r="G395" s="32" t="str">
        <f t="shared" si="42"/>
        <v>Amanda Costa</v>
      </c>
      <c r="H395" s="32" t="s">
        <v>16</v>
      </c>
      <c r="I395" s="32" t="s">
        <v>116</v>
      </c>
      <c r="J395" s="34">
        <v>2</v>
      </c>
      <c r="K395" s="35">
        <v>45</v>
      </c>
      <c r="L395" s="35">
        <v>0</v>
      </c>
      <c r="M395" s="36">
        <f t="shared" si="44"/>
        <v>90</v>
      </c>
      <c r="N395" s="32" t="s">
        <v>69</v>
      </c>
      <c r="Q395" s="49" t="s">
        <v>696</v>
      </c>
      <c r="R395" s="49" t="s">
        <v>110</v>
      </c>
      <c r="S395" s="58">
        <f t="shared" si="43"/>
        <v>45927</v>
      </c>
      <c r="T395" s="51" t="s">
        <v>22</v>
      </c>
      <c r="U395" s="50" t="s">
        <v>16</v>
      </c>
      <c r="V395" s="52" t="s">
        <v>116</v>
      </c>
      <c r="W395" s="53">
        <v>2</v>
      </c>
      <c r="X395" s="54">
        <v>45</v>
      </c>
      <c r="Y395" s="54">
        <v>0</v>
      </c>
      <c r="Z395" s="55">
        <f t="shared" si="45"/>
        <v>90</v>
      </c>
      <c r="AA395" s="56" t="s">
        <v>69</v>
      </c>
      <c r="AB395"/>
    </row>
    <row r="396" spans="1:28" x14ac:dyDescent="0.25">
      <c r="A396" s="26" t="s">
        <v>698</v>
      </c>
      <c r="B396" s="26" t="s">
        <v>13</v>
      </c>
      <c r="C396" s="26" t="str">
        <f t="shared" si="40"/>
        <v>Lucas Almeida</v>
      </c>
      <c r="D396" s="37" t="s">
        <v>241</v>
      </c>
      <c r="E396" s="27">
        <f t="shared" si="41"/>
        <v>45724</v>
      </c>
      <c r="F396" s="26" t="s">
        <v>47</v>
      </c>
      <c r="G396" s="26" t="str">
        <f t="shared" si="42"/>
        <v>Bruno Martins</v>
      </c>
      <c r="H396" s="26" t="s">
        <v>30</v>
      </c>
      <c r="I396" s="26" t="s">
        <v>31</v>
      </c>
      <c r="J396" s="28">
        <v>1</v>
      </c>
      <c r="K396" s="29">
        <v>2500</v>
      </c>
      <c r="L396" s="29">
        <v>141.71</v>
      </c>
      <c r="M396" s="30">
        <f t="shared" si="44"/>
        <v>2358.29</v>
      </c>
      <c r="N396" s="26" t="s">
        <v>18</v>
      </c>
      <c r="Q396" s="42" t="s">
        <v>698</v>
      </c>
      <c r="R396" s="42" t="s">
        <v>13</v>
      </c>
      <c r="S396" s="57">
        <f t="shared" si="43"/>
        <v>45724</v>
      </c>
      <c r="T396" s="44" t="s">
        <v>47</v>
      </c>
      <c r="U396" s="43" t="s">
        <v>30</v>
      </c>
      <c r="V396" s="42" t="s">
        <v>31</v>
      </c>
      <c r="W396" s="45">
        <v>1</v>
      </c>
      <c r="X396" s="46">
        <v>2500</v>
      </c>
      <c r="Y396" s="46">
        <v>141.71</v>
      </c>
      <c r="Z396" s="47">
        <f t="shared" si="45"/>
        <v>2358.29</v>
      </c>
      <c r="AA396" s="48" t="s">
        <v>18</v>
      </c>
      <c r="AB396"/>
    </row>
    <row r="397" spans="1:28" x14ac:dyDescent="0.25">
      <c r="A397" s="31" t="s">
        <v>699</v>
      </c>
      <c r="B397" s="31" t="s">
        <v>37</v>
      </c>
      <c r="C397" s="32" t="str">
        <f t="shared" si="40"/>
        <v>Patricia Gomes</v>
      </c>
      <c r="D397" s="38" t="s">
        <v>700</v>
      </c>
      <c r="E397" s="33">
        <f t="shared" si="41"/>
        <v>46013</v>
      </c>
      <c r="F397" s="32" t="s">
        <v>22</v>
      </c>
      <c r="G397" s="32" t="str">
        <f t="shared" si="42"/>
        <v>Amanda Costa</v>
      </c>
      <c r="H397" s="32" t="s">
        <v>30</v>
      </c>
      <c r="I397" s="32" t="s">
        <v>106</v>
      </c>
      <c r="J397" s="34">
        <v>2</v>
      </c>
      <c r="K397" s="35">
        <v>299</v>
      </c>
      <c r="L397" s="35">
        <v>4.3899999999999997</v>
      </c>
      <c r="M397" s="36">
        <f t="shared" si="44"/>
        <v>593.61</v>
      </c>
      <c r="N397" s="32" t="s">
        <v>49</v>
      </c>
      <c r="Q397" s="49" t="s">
        <v>699</v>
      </c>
      <c r="R397" s="49" t="s">
        <v>37</v>
      </c>
      <c r="S397" s="58">
        <f t="shared" si="43"/>
        <v>46013</v>
      </c>
      <c r="T397" s="51" t="s">
        <v>22</v>
      </c>
      <c r="U397" s="50" t="s">
        <v>30</v>
      </c>
      <c r="V397" s="52" t="s">
        <v>106</v>
      </c>
      <c r="W397" s="53">
        <v>2</v>
      </c>
      <c r="X397" s="54">
        <v>299</v>
      </c>
      <c r="Y397" s="54">
        <v>4.3899999999999997</v>
      </c>
      <c r="Z397" s="55">
        <f t="shared" si="45"/>
        <v>593.61</v>
      </c>
      <c r="AA397" s="56" t="s">
        <v>49</v>
      </c>
      <c r="AB397"/>
    </row>
    <row r="398" spans="1:28" x14ac:dyDescent="0.25">
      <c r="A398" s="26" t="s">
        <v>701</v>
      </c>
      <c r="B398" s="26" t="s">
        <v>134</v>
      </c>
      <c r="C398" s="26" t="str">
        <f t="shared" si="40"/>
        <v>Ana Souza</v>
      </c>
      <c r="D398" s="37" t="s">
        <v>91</v>
      </c>
      <c r="E398" s="27">
        <f t="shared" si="41"/>
        <v>45860</v>
      </c>
      <c r="F398" s="26" t="s">
        <v>47</v>
      </c>
      <c r="G398" s="26" t="str">
        <f t="shared" si="42"/>
        <v>Bruno Martins</v>
      </c>
      <c r="H398" s="26" t="s">
        <v>30</v>
      </c>
      <c r="I398" s="26" t="s">
        <v>106</v>
      </c>
      <c r="J398" s="28">
        <v>5</v>
      </c>
      <c r="K398" s="29">
        <v>299</v>
      </c>
      <c r="L398" s="29">
        <v>133.81</v>
      </c>
      <c r="M398" s="30">
        <f t="shared" si="44"/>
        <v>1361.19</v>
      </c>
      <c r="N398" s="26" t="s">
        <v>69</v>
      </c>
      <c r="Q398" s="42" t="s">
        <v>701</v>
      </c>
      <c r="R398" s="42" t="s">
        <v>101</v>
      </c>
      <c r="S398" s="57">
        <f t="shared" si="43"/>
        <v>45860</v>
      </c>
      <c r="T398" s="44" t="s">
        <v>47</v>
      </c>
      <c r="U398" s="43" t="s">
        <v>30</v>
      </c>
      <c r="V398" s="42" t="s">
        <v>106</v>
      </c>
      <c r="W398" s="45">
        <v>5</v>
      </c>
      <c r="X398" s="46">
        <v>299</v>
      </c>
      <c r="Y398" s="46">
        <v>133.81</v>
      </c>
      <c r="Z398" s="47">
        <f t="shared" si="45"/>
        <v>1361.19</v>
      </c>
      <c r="AA398" s="48" t="s">
        <v>69</v>
      </c>
      <c r="AB398"/>
    </row>
    <row r="399" spans="1:28" x14ac:dyDescent="0.25">
      <c r="A399" s="31" t="s">
        <v>702</v>
      </c>
      <c r="B399" s="31" t="s">
        <v>63</v>
      </c>
      <c r="C399" s="32" t="str">
        <f t="shared" si="40"/>
        <v>Marcos Rodrigues</v>
      </c>
      <c r="D399" s="38" t="s">
        <v>132</v>
      </c>
      <c r="E399" s="33">
        <f t="shared" si="41"/>
        <v>45747</v>
      </c>
      <c r="F399" s="32" t="s">
        <v>39</v>
      </c>
      <c r="G399" s="32" t="str">
        <f t="shared" si="42"/>
        <v>Rodrigo Mello</v>
      </c>
      <c r="H399" s="32" t="s">
        <v>16</v>
      </c>
      <c r="I399" s="32" t="s">
        <v>17</v>
      </c>
      <c r="J399" s="34">
        <v>3</v>
      </c>
      <c r="K399" s="35">
        <v>39</v>
      </c>
      <c r="L399" s="35">
        <v>13.05</v>
      </c>
      <c r="M399" s="36">
        <f t="shared" si="44"/>
        <v>103.95</v>
      </c>
      <c r="N399" s="32" t="s">
        <v>49</v>
      </c>
      <c r="Q399" s="49" t="s">
        <v>702</v>
      </c>
      <c r="R399" s="49" t="s">
        <v>63</v>
      </c>
      <c r="S399" s="58">
        <f t="shared" si="43"/>
        <v>45747</v>
      </c>
      <c r="T399" s="51" t="s">
        <v>39</v>
      </c>
      <c r="U399" s="50" t="s">
        <v>16</v>
      </c>
      <c r="V399" s="52" t="s">
        <v>17</v>
      </c>
      <c r="W399" s="53">
        <v>3</v>
      </c>
      <c r="X399" s="54">
        <v>39</v>
      </c>
      <c r="Y399" s="54">
        <v>13.05</v>
      </c>
      <c r="Z399" s="55">
        <f t="shared" si="45"/>
        <v>103.95</v>
      </c>
      <c r="AA399" s="56" t="s">
        <v>49</v>
      </c>
      <c r="AB399"/>
    </row>
    <row r="400" spans="1:28" x14ac:dyDescent="0.25">
      <c r="A400" s="26" t="s">
        <v>703</v>
      </c>
      <c r="B400" s="26" t="s">
        <v>13</v>
      </c>
      <c r="C400" s="26" t="str">
        <f t="shared" si="40"/>
        <v>Lucas Almeida</v>
      </c>
      <c r="D400" s="37" t="s">
        <v>690</v>
      </c>
      <c r="E400" s="27">
        <f t="shared" si="41"/>
        <v>45794</v>
      </c>
      <c r="F400" s="26" t="s">
        <v>47</v>
      </c>
      <c r="G400" s="26" t="str">
        <f t="shared" si="42"/>
        <v>Bruno Martins</v>
      </c>
      <c r="H400" s="26" t="s">
        <v>16</v>
      </c>
      <c r="I400" s="26" t="s">
        <v>116</v>
      </c>
      <c r="J400" s="28">
        <v>4</v>
      </c>
      <c r="K400" s="29">
        <v>45</v>
      </c>
      <c r="L400" s="29">
        <v>0</v>
      </c>
      <c r="M400" s="30">
        <f t="shared" si="44"/>
        <v>180</v>
      </c>
      <c r="N400" s="26" t="s">
        <v>25</v>
      </c>
      <c r="Q400" s="42" t="s">
        <v>703</v>
      </c>
      <c r="R400" s="42" t="s">
        <v>13</v>
      </c>
      <c r="S400" s="57">
        <f t="shared" si="43"/>
        <v>45794</v>
      </c>
      <c r="T400" s="44" t="s">
        <v>47</v>
      </c>
      <c r="U400" s="43" t="s">
        <v>16</v>
      </c>
      <c r="V400" s="42" t="s">
        <v>116</v>
      </c>
      <c r="W400" s="45">
        <v>4</v>
      </c>
      <c r="X400" s="46">
        <v>45</v>
      </c>
      <c r="Y400" s="46">
        <v>0</v>
      </c>
      <c r="Z400" s="47">
        <f t="shared" si="45"/>
        <v>180</v>
      </c>
      <c r="AA400" s="48" t="s">
        <v>25</v>
      </c>
      <c r="AB400"/>
    </row>
    <row r="401" spans="1:28" x14ac:dyDescent="0.25">
      <c r="A401" s="31" t="s">
        <v>704</v>
      </c>
      <c r="B401" s="31" t="s">
        <v>55</v>
      </c>
      <c r="C401" s="32" t="str">
        <f t="shared" si="40"/>
        <v>Ricardo Carvalho</v>
      </c>
      <c r="D401" s="38" t="s">
        <v>705</v>
      </c>
      <c r="E401" s="33">
        <f t="shared" si="41"/>
        <v>45886</v>
      </c>
      <c r="F401" s="32" t="s">
        <v>22</v>
      </c>
      <c r="G401" s="32" t="str">
        <f t="shared" si="42"/>
        <v>Amanda Costa</v>
      </c>
      <c r="H401" s="32" t="s">
        <v>23</v>
      </c>
      <c r="I401" s="32" t="s">
        <v>88</v>
      </c>
      <c r="J401" s="34">
        <v>1</v>
      </c>
      <c r="K401" s="35">
        <v>650</v>
      </c>
      <c r="L401" s="35">
        <v>0</v>
      </c>
      <c r="M401" s="36">
        <f t="shared" si="44"/>
        <v>650</v>
      </c>
      <c r="N401" s="32" t="s">
        <v>49</v>
      </c>
      <c r="Q401" s="49" t="s">
        <v>704</v>
      </c>
      <c r="R401" s="49" t="s">
        <v>55</v>
      </c>
      <c r="S401" s="58">
        <f t="shared" si="43"/>
        <v>45886</v>
      </c>
      <c r="T401" s="51" t="s">
        <v>22</v>
      </c>
      <c r="U401" s="50" t="s">
        <v>23</v>
      </c>
      <c r="V401" s="52" t="s">
        <v>88</v>
      </c>
      <c r="W401" s="53">
        <v>1</v>
      </c>
      <c r="X401" s="54">
        <v>650</v>
      </c>
      <c r="Y401" s="54">
        <v>0</v>
      </c>
      <c r="Z401" s="55">
        <f t="shared" si="45"/>
        <v>650</v>
      </c>
      <c r="AA401" s="56" t="s">
        <v>49</v>
      </c>
      <c r="AB401"/>
    </row>
    <row r="402" spans="1:28" x14ac:dyDescent="0.25">
      <c r="A402" s="26" t="s">
        <v>706</v>
      </c>
      <c r="B402" s="26" t="s">
        <v>55</v>
      </c>
      <c r="C402" s="26" t="str">
        <f t="shared" si="40"/>
        <v>Ricardo Carvalho</v>
      </c>
      <c r="D402" s="37" t="s">
        <v>399</v>
      </c>
      <c r="E402" s="27">
        <f t="shared" si="41"/>
        <v>45951</v>
      </c>
      <c r="F402" s="26" t="s">
        <v>47</v>
      </c>
      <c r="G402" s="26" t="str">
        <f t="shared" si="42"/>
        <v>Bruno Martins</v>
      </c>
      <c r="H402" s="26" t="s">
        <v>16</v>
      </c>
      <c r="I402" s="26" t="s">
        <v>78</v>
      </c>
      <c r="J402" s="28">
        <v>3</v>
      </c>
      <c r="K402" s="29">
        <v>59</v>
      </c>
      <c r="L402" s="29">
        <v>7.45</v>
      </c>
      <c r="M402" s="30">
        <f t="shared" si="44"/>
        <v>169.55</v>
      </c>
      <c r="N402" s="26" t="s">
        <v>69</v>
      </c>
      <c r="Q402" s="42" t="s">
        <v>706</v>
      </c>
      <c r="R402" s="42" t="s">
        <v>55</v>
      </c>
      <c r="S402" s="57">
        <f t="shared" si="43"/>
        <v>45951</v>
      </c>
      <c r="T402" s="44" t="s">
        <v>47</v>
      </c>
      <c r="U402" s="43" t="s">
        <v>16</v>
      </c>
      <c r="V402" s="42" t="s">
        <v>78</v>
      </c>
      <c r="W402" s="45">
        <v>3</v>
      </c>
      <c r="X402" s="46">
        <v>59</v>
      </c>
      <c r="Y402" s="46">
        <v>7.45</v>
      </c>
      <c r="Z402" s="47">
        <f t="shared" si="45"/>
        <v>169.55</v>
      </c>
      <c r="AA402" s="48" t="s">
        <v>69</v>
      </c>
      <c r="AB402"/>
    </row>
    <row r="403" spans="1:28" x14ac:dyDescent="0.25">
      <c r="A403" s="31" t="s">
        <v>707</v>
      </c>
      <c r="B403" s="31" t="s">
        <v>34</v>
      </c>
      <c r="C403" s="32" t="str">
        <f t="shared" si="40"/>
        <v>Carlos Silva</v>
      </c>
      <c r="D403" s="38" t="s">
        <v>708</v>
      </c>
      <c r="E403" s="33">
        <f t="shared" si="41"/>
        <v>45977</v>
      </c>
      <c r="F403" s="32" t="s">
        <v>15</v>
      </c>
      <c r="G403" s="32" t="str">
        <f t="shared" si="42"/>
        <v>Larissa Dias</v>
      </c>
      <c r="H403" s="32" t="s">
        <v>30</v>
      </c>
      <c r="I403" s="32" t="s">
        <v>31</v>
      </c>
      <c r="J403" s="34">
        <v>3</v>
      </c>
      <c r="K403" s="35">
        <v>2500</v>
      </c>
      <c r="L403" s="35">
        <v>649.45000000000005</v>
      </c>
      <c r="M403" s="36">
        <f t="shared" si="44"/>
        <v>6850.55</v>
      </c>
      <c r="N403" s="32" t="s">
        <v>25</v>
      </c>
      <c r="Q403" s="49" t="s">
        <v>707</v>
      </c>
      <c r="R403" s="49" t="s">
        <v>34</v>
      </c>
      <c r="S403" s="58">
        <f t="shared" si="43"/>
        <v>45977</v>
      </c>
      <c r="T403" s="51" t="s">
        <v>15</v>
      </c>
      <c r="U403" s="50" t="s">
        <v>30</v>
      </c>
      <c r="V403" s="52" t="s">
        <v>31</v>
      </c>
      <c r="W403" s="53">
        <v>3</v>
      </c>
      <c r="X403" s="54">
        <v>2500</v>
      </c>
      <c r="Y403" s="54">
        <v>649.45000000000005</v>
      </c>
      <c r="Z403" s="55">
        <f t="shared" si="45"/>
        <v>6850.55</v>
      </c>
      <c r="AA403" s="56" t="s">
        <v>25</v>
      </c>
      <c r="AB403"/>
    </row>
    <row r="404" spans="1:28" x14ac:dyDescent="0.25">
      <c r="A404" s="26" t="s">
        <v>709</v>
      </c>
      <c r="B404" s="26" t="s">
        <v>95</v>
      </c>
      <c r="C404" s="26" t="str">
        <f t="shared" si="40"/>
        <v>Maria Oliveira</v>
      </c>
      <c r="D404" s="37" t="s">
        <v>579</v>
      </c>
      <c r="E404" s="27">
        <f t="shared" si="41"/>
        <v>45909</v>
      </c>
      <c r="F404" s="26" t="s">
        <v>47</v>
      </c>
      <c r="G404" s="26" t="str">
        <f t="shared" si="42"/>
        <v>Bruno Martins</v>
      </c>
      <c r="H404" s="26" t="s">
        <v>52</v>
      </c>
      <c r="I404" s="26" t="s">
        <v>61</v>
      </c>
      <c r="J404" s="28">
        <v>5</v>
      </c>
      <c r="K404" s="29">
        <v>199</v>
      </c>
      <c r="L404" s="29">
        <v>38.76</v>
      </c>
      <c r="M404" s="30">
        <f t="shared" si="44"/>
        <v>956.24</v>
      </c>
      <c r="N404" s="26" t="s">
        <v>49</v>
      </c>
      <c r="Q404" s="42" t="s">
        <v>709</v>
      </c>
      <c r="R404" s="42" t="s">
        <v>95</v>
      </c>
      <c r="S404" s="57">
        <f t="shared" si="43"/>
        <v>45909</v>
      </c>
      <c r="T404" s="44" t="s">
        <v>47</v>
      </c>
      <c r="U404" s="43" t="s">
        <v>52</v>
      </c>
      <c r="V404" s="42" t="s">
        <v>61</v>
      </c>
      <c r="W404" s="45">
        <v>5</v>
      </c>
      <c r="X404" s="46">
        <v>199</v>
      </c>
      <c r="Y404" s="46">
        <v>38.76</v>
      </c>
      <c r="Z404" s="47">
        <f t="shared" si="45"/>
        <v>956.24</v>
      </c>
      <c r="AA404" s="48" t="s">
        <v>49</v>
      </c>
      <c r="AB404"/>
    </row>
    <row r="405" spans="1:28" x14ac:dyDescent="0.25">
      <c r="A405" s="31" t="s">
        <v>710</v>
      </c>
      <c r="B405" s="31" t="s">
        <v>110</v>
      </c>
      <c r="C405" s="32" t="str">
        <f t="shared" si="40"/>
        <v>Fernanda Lima</v>
      </c>
      <c r="D405" s="38" t="s">
        <v>711</v>
      </c>
      <c r="E405" s="33">
        <f t="shared" si="41"/>
        <v>45726</v>
      </c>
      <c r="F405" s="32" t="s">
        <v>39</v>
      </c>
      <c r="G405" s="32" t="str">
        <f t="shared" si="42"/>
        <v>Rodrigo Mello</v>
      </c>
      <c r="H405" s="32" t="s">
        <v>52</v>
      </c>
      <c r="I405" s="32" t="s">
        <v>99</v>
      </c>
      <c r="J405" s="34">
        <v>2</v>
      </c>
      <c r="K405" s="35">
        <v>79</v>
      </c>
      <c r="L405" s="35">
        <v>0</v>
      </c>
      <c r="M405" s="36">
        <f t="shared" si="44"/>
        <v>158</v>
      </c>
      <c r="N405" s="32" t="s">
        <v>25</v>
      </c>
      <c r="Q405" s="49" t="s">
        <v>710</v>
      </c>
      <c r="R405" s="49" t="s">
        <v>110</v>
      </c>
      <c r="S405" s="58">
        <f t="shared" si="43"/>
        <v>45726</v>
      </c>
      <c r="T405" s="51" t="s">
        <v>39</v>
      </c>
      <c r="U405" s="50" t="s">
        <v>52</v>
      </c>
      <c r="V405" s="52" t="s">
        <v>99</v>
      </c>
      <c r="W405" s="53">
        <v>2</v>
      </c>
      <c r="X405" s="54">
        <v>79</v>
      </c>
      <c r="Y405" s="54">
        <v>0</v>
      </c>
      <c r="Z405" s="55">
        <f t="shared" si="45"/>
        <v>158</v>
      </c>
      <c r="AA405" s="56" t="s">
        <v>25</v>
      </c>
      <c r="AB405"/>
    </row>
    <row r="406" spans="1:28" x14ac:dyDescent="0.25">
      <c r="A406" s="26" t="s">
        <v>712</v>
      </c>
      <c r="B406" s="26" t="s">
        <v>34</v>
      </c>
      <c r="C406" s="26" t="str">
        <f t="shared" si="40"/>
        <v>Carlos Silva</v>
      </c>
      <c r="D406" s="37" t="s">
        <v>294</v>
      </c>
      <c r="E406" s="27">
        <f t="shared" si="41"/>
        <v>45999</v>
      </c>
      <c r="F406" s="26" t="s">
        <v>39</v>
      </c>
      <c r="G406" s="26" t="str">
        <f t="shared" si="42"/>
        <v>Rodrigo Mello</v>
      </c>
      <c r="H406" s="26" t="s">
        <v>30</v>
      </c>
      <c r="I406" s="26" t="s">
        <v>31</v>
      </c>
      <c r="J406" s="28">
        <v>5</v>
      </c>
      <c r="K406" s="29">
        <v>2500</v>
      </c>
      <c r="L406" s="29">
        <v>969.41</v>
      </c>
      <c r="M406" s="30">
        <f t="shared" si="44"/>
        <v>11530.59</v>
      </c>
      <c r="N406" s="26" t="s">
        <v>44</v>
      </c>
      <c r="Q406" s="42" t="s">
        <v>712</v>
      </c>
      <c r="R406" s="42" t="s">
        <v>34</v>
      </c>
      <c r="S406" s="57">
        <f t="shared" si="43"/>
        <v>45999</v>
      </c>
      <c r="T406" s="44" t="s">
        <v>39</v>
      </c>
      <c r="U406" s="43" t="s">
        <v>30</v>
      </c>
      <c r="V406" s="42" t="s">
        <v>31</v>
      </c>
      <c r="W406" s="45">
        <v>5</v>
      </c>
      <c r="X406" s="46">
        <v>2500</v>
      </c>
      <c r="Y406" s="46">
        <v>969.41</v>
      </c>
      <c r="Z406" s="47">
        <f t="shared" si="45"/>
        <v>11530.59</v>
      </c>
      <c r="AA406" s="48" t="s">
        <v>44</v>
      </c>
      <c r="AB406"/>
    </row>
    <row r="407" spans="1:28" x14ac:dyDescent="0.25">
      <c r="A407" s="31" t="s">
        <v>713</v>
      </c>
      <c r="B407" s="31" t="s">
        <v>63</v>
      </c>
      <c r="C407" s="32" t="str">
        <f t="shared" si="40"/>
        <v>Marcos Rodrigues</v>
      </c>
      <c r="D407" s="38" t="s">
        <v>714</v>
      </c>
      <c r="E407" s="33">
        <f t="shared" si="41"/>
        <v>45966</v>
      </c>
      <c r="F407" s="32" t="s">
        <v>39</v>
      </c>
      <c r="G407" s="32" t="str">
        <f t="shared" si="42"/>
        <v>Rodrigo Mello</v>
      </c>
      <c r="H407" s="32" t="s">
        <v>16</v>
      </c>
      <c r="I407" s="32" t="s">
        <v>116</v>
      </c>
      <c r="J407" s="34">
        <v>5</v>
      </c>
      <c r="K407" s="35">
        <v>45</v>
      </c>
      <c r="L407" s="35">
        <v>21.33</v>
      </c>
      <c r="M407" s="36">
        <f t="shared" si="44"/>
        <v>203.67000000000002</v>
      </c>
      <c r="N407" s="32" t="s">
        <v>32</v>
      </c>
      <c r="Q407" s="49" t="s">
        <v>713</v>
      </c>
      <c r="R407" s="49" t="s">
        <v>63</v>
      </c>
      <c r="S407" s="58">
        <f t="shared" si="43"/>
        <v>45966</v>
      </c>
      <c r="T407" s="51" t="s">
        <v>39</v>
      </c>
      <c r="U407" s="50" t="s">
        <v>16</v>
      </c>
      <c r="V407" s="52" t="s">
        <v>116</v>
      </c>
      <c r="W407" s="53">
        <v>5</v>
      </c>
      <c r="X407" s="54">
        <v>45</v>
      </c>
      <c r="Y407" s="54">
        <v>21.33</v>
      </c>
      <c r="Z407" s="55">
        <f t="shared" si="45"/>
        <v>203.67000000000002</v>
      </c>
      <c r="AA407" s="56" t="s">
        <v>32</v>
      </c>
      <c r="AB407"/>
    </row>
    <row r="408" spans="1:28" x14ac:dyDescent="0.25">
      <c r="A408" s="26" t="s">
        <v>715</v>
      </c>
      <c r="B408" s="26" t="s">
        <v>63</v>
      </c>
      <c r="C408" s="26" t="str">
        <f t="shared" si="40"/>
        <v>Marcos Rodrigues</v>
      </c>
      <c r="D408" s="37" t="s">
        <v>716</v>
      </c>
      <c r="E408" s="27">
        <f t="shared" si="41"/>
        <v>45781</v>
      </c>
      <c r="F408" s="26" t="s">
        <v>29</v>
      </c>
      <c r="G408" s="26" t="str">
        <f t="shared" si="42"/>
        <v>Camila Rocha</v>
      </c>
      <c r="H408" s="26" t="s">
        <v>23</v>
      </c>
      <c r="I408" s="26" t="s">
        <v>24</v>
      </c>
      <c r="J408" s="28">
        <v>2</v>
      </c>
      <c r="K408" s="29">
        <v>180</v>
      </c>
      <c r="L408" s="29">
        <v>35.21</v>
      </c>
      <c r="M408" s="30">
        <f t="shared" si="44"/>
        <v>324.79000000000002</v>
      </c>
      <c r="N408" s="26" t="s">
        <v>69</v>
      </c>
      <c r="Q408" s="42" t="s">
        <v>715</v>
      </c>
      <c r="R408" s="42" t="s">
        <v>63</v>
      </c>
      <c r="S408" s="57">
        <f t="shared" si="43"/>
        <v>45781</v>
      </c>
      <c r="T408" s="44" t="s">
        <v>29</v>
      </c>
      <c r="U408" s="43" t="s">
        <v>23</v>
      </c>
      <c r="V408" s="42" t="s">
        <v>24</v>
      </c>
      <c r="W408" s="45">
        <v>2</v>
      </c>
      <c r="X408" s="46">
        <v>180</v>
      </c>
      <c r="Y408" s="46">
        <v>35.21</v>
      </c>
      <c r="Z408" s="47">
        <f t="shared" si="45"/>
        <v>324.79000000000002</v>
      </c>
      <c r="AA408" s="48" t="s">
        <v>69</v>
      </c>
      <c r="AB408"/>
    </row>
    <row r="409" spans="1:28" x14ac:dyDescent="0.25">
      <c r="A409" s="31" t="s">
        <v>717</v>
      </c>
      <c r="B409" s="31" t="s">
        <v>71</v>
      </c>
      <c r="C409" s="32" t="str">
        <f t="shared" si="40"/>
        <v>Juliana Costa</v>
      </c>
      <c r="D409" s="38" t="s">
        <v>693</v>
      </c>
      <c r="E409" s="33">
        <f t="shared" si="41"/>
        <v>45791</v>
      </c>
      <c r="F409" s="32" t="s">
        <v>29</v>
      </c>
      <c r="G409" s="32" t="str">
        <f t="shared" si="42"/>
        <v>Camila Rocha</v>
      </c>
      <c r="H409" s="32" t="s">
        <v>52</v>
      </c>
      <c r="I409" s="32" t="s">
        <v>53</v>
      </c>
      <c r="J409" s="34">
        <v>5</v>
      </c>
      <c r="K409" s="35">
        <v>149</v>
      </c>
      <c r="L409" s="35">
        <v>85.61</v>
      </c>
      <c r="M409" s="36">
        <f t="shared" si="44"/>
        <v>659.39</v>
      </c>
      <c r="N409" s="32" t="s">
        <v>32</v>
      </c>
      <c r="Q409" s="49" t="s">
        <v>717</v>
      </c>
      <c r="R409" s="49" t="s">
        <v>71</v>
      </c>
      <c r="S409" s="58">
        <f t="shared" si="43"/>
        <v>45791</v>
      </c>
      <c r="T409" s="51" t="s">
        <v>29</v>
      </c>
      <c r="U409" s="50" t="s">
        <v>52</v>
      </c>
      <c r="V409" s="52" t="s">
        <v>53</v>
      </c>
      <c r="W409" s="53">
        <v>5</v>
      </c>
      <c r="X409" s="54">
        <v>149</v>
      </c>
      <c r="Y409" s="54">
        <v>85.61</v>
      </c>
      <c r="Z409" s="55">
        <f t="shared" si="45"/>
        <v>659.39</v>
      </c>
      <c r="AA409" s="56" t="s">
        <v>32</v>
      </c>
      <c r="AB409"/>
    </row>
    <row r="410" spans="1:28" x14ac:dyDescent="0.25">
      <c r="A410" s="26" t="s">
        <v>718</v>
      </c>
      <c r="B410" s="26" t="s">
        <v>41</v>
      </c>
      <c r="C410" s="26" t="str">
        <f t="shared" si="40"/>
        <v>João Pereira</v>
      </c>
      <c r="D410" s="37" t="s">
        <v>311</v>
      </c>
      <c r="E410" s="27">
        <f t="shared" si="41"/>
        <v>46002</v>
      </c>
      <c r="F410" s="26" t="s">
        <v>39</v>
      </c>
      <c r="G410" s="26" t="str">
        <f t="shared" si="42"/>
        <v>Rodrigo Mello</v>
      </c>
      <c r="H410" s="26" t="s">
        <v>30</v>
      </c>
      <c r="I410" s="26" t="s">
        <v>106</v>
      </c>
      <c r="J410" s="28">
        <v>2</v>
      </c>
      <c r="K410" s="29">
        <v>299</v>
      </c>
      <c r="L410" s="29">
        <v>60.63</v>
      </c>
      <c r="M410" s="30">
        <f t="shared" si="44"/>
        <v>537.37</v>
      </c>
      <c r="N410" s="26" t="s">
        <v>25</v>
      </c>
      <c r="Q410" s="42" t="s">
        <v>718</v>
      </c>
      <c r="R410" s="42" t="s">
        <v>41</v>
      </c>
      <c r="S410" s="57">
        <f t="shared" si="43"/>
        <v>46002</v>
      </c>
      <c r="T410" s="44" t="s">
        <v>39</v>
      </c>
      <c r="U410" s="43" t="s">
        <v>30</v>
      </c>
      <c r="V410" s="42" t="s">
        <v>106</v>
      </c>
      <c r="W410" s="45">
        <v>2</v>
      </c>
      <c r="X410" s="46">
        <v>299</v>
      </c>
      <c r="Y410" s="46">
        <v>60.63</v>
      </c>
      <c r="Z410" s="47">
        <f t="shared" si="45"/>
        <v>537.37</v>
      </c>
      <c r="AA410" s="48" t="s">
        <v>25</v>
      </c>
      <c r="AB410"/>
    </row>
    <row r="411" spans="1:28" x14ac:dyDescent="0.25">
      <c r="A411" s="31" t="s">
        <v>719</v>
      </c>
      <c r="B411" s="31" t="s">
        <v>101</v>
      </c>
      <c r="C411" s="32" t="str">
        <f t="shared" si="40"/>
        <v>Ana Souza</v>
      </c>
      <c r="D411" s="38" t="s">
        <v>720</v>
      </c>
      <c r="E411" s="33">
        <f t="shared" si="41"/>
        <v>45903</v>
      </c>
      <c r="F411" s="32" t="s">
        <v>39</v>
      </c>
      <c r="G411" s="32" t="str">
        <f t="shared" si="42"/>
        <v>Rodrigo Mello</v>
      </c>
      <c r="H411" s="32" t="s">
        <v>23</v>
      </c>
      <c r="I411" s="32" t="s">
        <v>48</v>
      </c>
      <c r="J411" s="34">
        <v>1</v>
      </c>
      <c r="K411" s="35">
        <v>450</v>
      </c>
      <c r="L411" s="35">
        <v>61.87</v>
      </c>
      <c r="M411" s="36">
        <f t="shared" si="44"/>
        <v>388.13</v>
      </c>
      <c r="N411" s="32" t="s">
        <v>89</v>
      </c>
      <c r="Q411" s="49" t="s">
        <v>719</v>
      </c>
      <c r="R411" s="49" t="s">
        <v>101</v>
      </c>
      <c r="S411" s="58">
        <f t="shared" si="43"/>
        <v>45903</v>
      </c>
      <c r="T411" s="51" t="s">
        <v>39</v>
      </c>
      <c r="U411" s="50" t="s">
        <v>23</v>
      </c>
      <c r="V411" s="52" t="s">
        <v>48</v>
      </c>
      <c r="W411" s="53">
        <v>1</v>
      </c>
      <c r="X411" s="54">
        <v>450</v>
      </c>
      <c r="Y411" s="54">
        <v>61.87</v>
      </c>
      <c r="Z411" s="55">
        <f t="shared" si="45"/>
        <v>388.13</v>
      </c>
      <c r="AA411" s="56" t="s">
        <v>89</v>
      </c>
      <c r="AB411"/>
    </row>
    <row r="412" spans="1:28" x14ac:dyDescent="0.25">
      <c r="A412" s="26" t="s">
        <v>721</v>
      </c>
      <c r="B412" s="26" t="s">
        <v>13</v>
      </c>
      <c r="C412" s="26" t="str">
        <f t="shared" si="40"/>
        <v>Lucas Almeida</v>
      </c>
      <c r="D412" s="37" t="s">
        <v>98</v>
      </c>
      <c r="E412" s="27">
        <f t="shared" si="41"/>
        <v>45666</v>
      </c>
      <c r="F412" s="26" t="s">
        <v>15</v>
      </c>
      <c r="G412" s="26" t="str">
        <f t="shared" si="42"/>
        <v>Larissa Dias</v>
      </c>
      <c r="H412" s="26" t="s">
        <v>16</v>
      </c>
      <c r="I412" s="26" t="s">
        <v>116</v>
      </c>
      <c r="J412" s="28">
        <v>3</v>
      </c>
      <c r="K412" s="29">
        <v>45</v>
      </c>
      <c r="L412" s="29">
        <v>0</v>
      </c>
      <c r="M412" s="30">
        <f t="shared" si="44"/>
        <v>135</v>
      </c>
      <c r="N412" s="26" t="s">
        <v>32</v>
      </c>
      <c r="Q412" s="42" t="s">
        <v>721</v>
      </c>
      <c r="R412" s="42" t="s">
        <v>13</v>
      </c>
      <c r="S412" s="57">
        <f t="shared" si="43"/>
        <v>45666</v>
      </c>
      <c r="T412" s="44" t="s">
        <v>15</v>
      </c>
      <c r="U412" s="43" t="s">
        <v>16</v>
      </c>
      <c r="V412" s="42" t="s">
        <v>116</v>
      </c>
      <c r="W412" s="45">
        <v>3</v>
      </c>
      <c r="X412" s="46">
        <v>45</v>
      </c>
      <c r="Y412" s="46">
        <v>0</v>
      </c>
      <c r="Z412" s="47">
        <f t="shared" si="45"/>
        <v>135</v>
      </c>
      <c r="AA412" s="48" t="s">
        <v>32</v>
      </c>
      <c r="AB412"/>
    </row>
    <row r="413" spans="1:28" x14ac:dyDescent="0.25">
      <c r="A413" s="31" t="s">
        <v>722</v>
      </c>
      <c r="B413" s="31" t="s">
        <v>41</v>
      </c>
      <c r="C413" s="32" t="str">
        <f t="shared" si="40"/>
        <v>João Pereira</v>
      </c>
      <c r="D413" s="38" t="s">
        <v>64</v>
      </c>
      <c r="E413" s="33">
        <f t="shared" si="41"/>
        <v>45847</v>
      </c>
      <c r="F413" s="32" t="s">
        <v>29</v>
      </c>
      <c r="G413" s="32" t="str">
        <f t="shared" si="42"/>
        <v>Camila Rocha</v>
      </c>
      <c r="H413" s="32" t="s">
        <v>30</v>
      </c>
      <c r="I413" s="32" t="s">
        <v>31</v>
      </c>
      <c r="J413" s="34">
        <v>4</v>
      </c>
      <c r="K413" s="35">
        <v>2500</v>
      </c>
      <c r="L413" s="35">
        <v>0</v>
      </c>
      <c r="M413" s="36">
        <f t="shared" si="44"/>
        <v>10000</v>
      </c>
      <c r="N413" s="32" t="s">
        <v>69</v>
      </c>
      <c r="Q413" s="49" t="s">
        <v>722</v>
      </c>
      <c r="R413" s="49" t="s">
        <v>41</v>
      </c>
      <c r="S413" s="58">
        <f t="shared" si="43"/>
        <v>45847</v>
      </c>
      <c r="T413" s="51" t="s">
        <v>29</v>
      </c>
      <c r="U413" s="50" t="s">
        <v>30</v>
      </c>
      <c r="V413" s="52" t="s">
        <v>31</v>
      </c>
      <c r="W413" s="53">
        <v>4</v>
      </c>
      <c r="X413" s="54">
        <v>2500</v>
      </c>
      <c r="Y413" s="54">
        <v>0</v>
      </c>
      <c r="Z413" s="55">
        <f t="shared" si="45"/>
        <v>10000</v>
      </c>
      <c r="AA413" s="56" t="s">
        <v>69</v>
      </c>
      <c r="AB413"/>
    </row>
    <row r="414" spans="1:28" x14ac:dyDescent="0.25">
      <c r="A414" s="26" t="s">
        <v>723</v>
      </c>
      <c r="B414" s="26" t="s">
        <v>13</v>
      </c>
      <c r="C414" s="26" t="str">
        <f t="shared" si="40"/>
        <v>Lucas Almeida</v>
      </c>
      <c r="D414" s="37" t="s">
        <v>724</v>
      </c>
      <c r="E414" s="27">
        <f t="shared" si="41"/>
        <v>45784</v>
      </c>
      <c r="F414" s="26" t="s">
        <v>47</v>
      </c>
      <c r="G414" s="26" t="str">
        <f t="shared" si="42"/>
        <v>Bruno Martins</v>
      </c>
      <c r="H414" s="26" t="s">
        <v>30</v>
      </c>
      <c r="I414" s="26" t="s">
        <v>68</v>
      </c>
      <c r="J414" s="28">
        <v>2</v>
      </c>
      <c r="K414" s="29">
        <v>799</v>
      </c>
      <c r="L414" s="29">
        <v>126.95</v>
      </c>
      <c r="M414" s="30">
        <f t="shared" si="44"/>
        <v>1471.05</v>
      </c>
      <c r="N414" s="26" t="s">
        <v>18</v>
      </c>
      <c r="Q414" s="42" t="s">
        <v>723</v>
      </c>
      <c r="R414" s="42" t="s">
        <v>13</v>
      </c>
      <c r="S414" s="57">
        <f t="shared" si="43"/>
        <v>45784</v>
      </c>
      <c r="T414" s="44" t="s">
        <v>47</v>
      </c>
      <c r="U414" s="43" t="s">
        <v>30</v>
      </c>
      <c r="V414" s="42" t="s">
        <v>68</v>
      </c>
      <c r="W414" s="45">
        <v>2</v>
      </c>
      <c r="X414" s="46">
        <v>799</v>
      </c>
      <c r="Y414" s="46">
        <v>126.95</v>
      </c>
      <c r="Z414" s="47">
        <f t="shared" si="45"/>
        <v>1471.05</v>
      </c>
      <c r="AA414" s="48" t="s">
        <v>18</v>
      </c>
      <c r="AB414"/>
    </row>
    <row r="415" spans="1:28" x14ac:dyDescent="0.25">
      <c r="A415" s="31" t="s">
        <v>725</v>
      </c>
      <c r="B415" s="31" t="s">
        <v>20</v>
      </c>
      <c r="C415" s="32" t="str">
        <f t="shared" si="40"/>
        <v>Beatriz Ribeiro</v>
      </c>
      <c r="D415" s="38" t="s">
        <v>726</v>
      </c>
      <c r="E415" s="33">
        <f t="shared" si="41"/>
        <v>45690</v>
      </c>
      <c r="F415" s="32" t="s">
        <v>22</v>
      </c>
      <c r="G415" s="32" t="str">
        <f t="shared" si="42"/>
        <v>Amanda Costa</v>
      </c>
      <c r="H415" s="32" t="s">
        <v>23</v>
      </c>
      <c r="I415" s="32" t="s">
        <v>43</v>
      </c>
      <c r="J415" s="34">
        <v>5</v>
      </c>
      <c r="K415" s="35">
        <v>350</v>
      </c>
      <c r="L415" s="35">
        <v>101.87</v>
      </c>
      <c r="M415" s="36">
        <f t="shared" si="44"/>
        <v>1648.13</v>
      </c>
      <c r="N415" s="32" t="s">
        <v>18</v>
      </c>
      <c r="Q415" s="49" t="s">
        <v>725</v>
      </c>
      <c r="R415" s="49" t="s">
        <v>20</v>
      </c>
      <c r="S415" s="58">
        <f t="shared" si="43"/>
        <v>45690</v>
      </c>
      <c r="T415" s="51" t="s">
        <v>22</v>
      </c>
      <c r="U415" s="50" t="s">
        <v>23</v>
      </c>
      <c r="V415" s="52" t="s">
        <v>43</v>
      </c>
      <c r="W415" s="53">
        <v>5</v>
      </c>
      <c r="X415" s="54">
        <v>350</v>
      </c>
      <c r="Y415" s="54">
        <v>101.87</v>
      </c>
      <c r="Z415" s="55">
        <f t="shared" si="45"/>
        <v>1648.13</v>
      </c>
      <c r="AA415" s="56" t="s">
        <v>18</v>
      </c>
      <c r="AB415"/>
    </row>
    <row r="416" spans="1:28" x14ac:dyDescent="0.25">
      <c r="A416" s="26" t="s">
        <v>727</v>
      </c>
      <c r="B416" s="26" t="s">
        <v>13</v>
      </c>
      <c r="C416" s="26" t="str">
        <f t="shared" si="40"/>
        <v>Lucas Almeida</v>
      </c>
      <c r="D416" s="37" t="s">
        <v>728</v>
      </c>
      <c r="E416" s="27">
        <f t="shared" si="41"/>
        <v>45674</v>
      </c>
      <c r="F416" s="26" t="s">
        <v>22</v>
      </c>
      <c r="G416" s="26" t="str">
        <f t="shared" si="42"/>
        <v>Amanda Costa</v>
      </c>
      <c r="H416" s="26" t="s">
        <v>30</v>
      </c>
      <c r="I416" s="26" t="s">
        <v>31</v>
      </c>
      <c r="J416" s="28">
        <v>3</v>
      </c>
      <c r="K416" s="29">
        <v>2500</v>
      </c>
      <c r="L416" s="29">
        <v>191.98</v>
      </c>
      <c r="M416" s="30">
        <f t="shared" si="44"/>
        <v>7308.02</v>
      </c>
      <c r="N416" s="26" t="s">
        <v>49</v>
      </c>
      <c r="Q416" s="42" t="s">
        <v>727</v>
      </c>
      <c r="R416" s="42" t="s">
        <v>13</v>
      </c>
      <c r="S416" s="57">
        <f t="shared" si="43"/>
        <v>45674</v>
      </c>
      <c r="T416" s="44" t="s">
        <v>22</v>
      </c>
      <c r="U416" s="43" t="s">
        <v>30</v>
      </c>
      <c r="V416" s="42" t="s">
        <v>31</v>
      </c>
      <c r="W416" s="45">
        <v>3</v>
      </c>
      <c r="X416" s="46">
        <v>2500</v>
      </c>
      <c r="Y416" s="46">
        <v>191.98</v>
      </c>
      <c r="Z416" s="47">
        <f t="shared" si="45"/>
        <v>7308.02</v>
      </c>
      <c r="AA416" s="48" t="s">
        <v>49</v>
      </c>
      <c r="AB416"/>
    </row>
    <row r="417" spans="1:28" x14ac:dyDescent="0.25">
      <c r="A417" s="31" t="s">
        <v>729</v>
      </c>
      <c r="B417" s="31" t="s">
        <v>277</v>
      </c>
      <c r="C417" s="32" t="str">
        <f t="shared" si="40"/>
        <v>Carlos Silva</v>
      </c>
      <c r="D417" s="38" t="s">
        <v>14</v>
      </c>
      <c r="E417" s="33">
        <f t="shared" si="41"/>
        <v>45918</v>
      </c>
      <c r="F417" s="32" t="s">
        <v>22</v>
      </c>
      <c r="G417" s="32" t="str">
        <f t="shared" si="42"/>
        <v>Amanda Costa</v>
      </c>
      <c r="H417" s="32" t="s">
        <v>23</v>
      </c>
      <c r="I417" s="32" t="s">
        <v>48</v>
      </c>
      <c r="J417" s="34">
        <v>4</v>
      </c>
      <c r="K417" s="35">
        <v>450</v>
      </c>
      <c r="L417" s="35">
        <v>0</v>
      </c>
      <c r="M417" s="36">
        <f t="shared" si="44"/>
        <v>1800</v>
      </c>
      <c r="N417" s="32" t="s">
        <v>25</v>
      </c>
      <c r="Q417" s="49" t="s">
        <v>729</v>
      </c>
      <c r="R417" s="49" t="s">
        <v>34</v>
      </c>
      <c r="S417" s="58">
        <f t="shared" si="43"/>
        <v>45918</v>
      </c>
      <c r="T417" s="51" t="s">
        <v>22</v>
      </c>
      <c r="U417" s="50" t="s">
        <v>23</v>
      </c>
      <c r="V417" s="52" t="s">
        <v>48</v>
      </c>
      <c r="W417" s="53">
        <v>4</v>
      </c>
      <c r="X417" s="54">
        <v>450</v>
      </c>
      <c r="Y417" s="54">
        <v>0</v>
      </c>
      <c r="Z417" s="55">
        <f t="shared" si="45"/>
        <v>1800</v>
      </c>
      <c r="AA417" s="56" t="s">
        <v>25</v>
      </c>
      <c r="AB417"/>
    </row>
    <row r="418" spans="1:28" x14ac:dyDescent="0.25">
      <c r="A418" s="26" t="s">
        <v>730</v>
      </c>
      <c r="B418" s="26" t="s">
        <v>41</v>
      </c>
      <c r="C418" s="26" t="str">
        <f t="shared" si="40"/>
        <v>João Pereira</v>
      </c>
      <c r="D418" s="37" t="s">
        <v>456</v>
      </c>
      <c r="E418" s="27">
        <f t="shared" si="41"/>
        <v>45983</v>
      </c>
      <c r="F418" s="26" t="s">
        <v>39</v>
      </c>
      <c r="G418" s="26" t="str">
        <f t="shared" si="42"/>
        <v>Rodrigo Mello</v>
      </c>
      <c r="H418" s="26" t="s">
        <v>30</v>
      </c>
      <c r="I418" s="26" t="s">
        <v>31</v>
      </c>
      <c r="J418" s="28">
        <v>2</v>
      </c>
      <c r="K418" s="29">
        <v>2500</v>
      </c>
      <c r="L418" s="29">
        <v>492.45</v>
      </c>
      <c r="M418" s="30">
        <f t="shared" si="44"/>
        <v>4507.55</v>
      </c>
      <c r="N418" s="26" t="s">
        <v>25</v>
      </c>
      <c r="Q418" s="42" t="s">
        <v>730</v>
      </c>
      <c r="R418" s="42" t="s">
        <v>41</v>
      </c>
      <c r="S418" s="57">
        <f t="shared" si="43"/>
        <v>45983</v>
      </c>
      <c r="T418" s="44" t="s">
        <v>39</v>
      </c>
      <c r="U418" s="43" t="s">
        <v>30</v>
      </c>
      <c r="V418" s="42" t="s">
        <v>31</v>
      </c>
      <c r="W418" s="45">
        <v>2</v>
      </c>
      <c r="X418" s="46">
        <v>2500</v>
      </c>
      <c r="Y418" s="46">
        <v>492.45</v>
      </c>
      <c r="Z418" s="47">
        <f t="shared" si="45"/>
        <v>4507.55</v>
      </c>
      <c r="AA418" s="48" t="s">
        <v>25</v>
      </c>
      <c r="AB418"/>
    </row>
    <row r="419" spans="1:28" x14ac:dyDescent="0.25">
      <c r="A419" s="31" t="s">
        <v>731</v>
      </c>
      <c r="B419" s="31" t="s">
        <v>95</v>
      </c>
      <c r="C419" s="32" t="str">
        <f t="shared" si="40"/>
        <v>Maria Oliveira</v>
      </c>
      <c r="D419" s="38" t="s">
        <v>85</v>
      </c>
      <c r="E419" s="33">
        <f t="shared" si="41"/>
        <v>45715</v>
      </c>
      <c r="F419" s="32" t="s">
        <v>15</v>
      </c>
      <c r="G419" s="32" t="str">
        <f t="shared" si="42"/>
        <v>Larissa Dias</v>
      </c>
      <c r="H419" s="32" t="s">
        <v>16</v>
      </c>
      <c r="I419" s="32" t="s">
        <v>17</v>
      </c>
      <c r="J419" s="34">
        <v>2</v>
      </c>
      <c r="K419" s="35">
        <v>39</v>
      </c>
      <c r="L419" s="35">
        <v>5.47</v>
      </c>
      <c r="M419" s="36">
        <f t="shared" si="44"/>
        <v>72.53</v>
      </c>
      <c r="N419" s="32" t="s">
        <v>65</v>
      </c>
      <c r="Q419" s="49" t="s">
        <v>731</v>
      </c>
      <c r="R419" s="49" t="s">
        <v>95</v>
      </c>
      <c r="S419" s="58">
        <f t="shared" si="43"/>
        <v>45715</v>
      </c>
      <c r="T419" s="51" t="s">
        <v>15</v>
      </c>
      <c r="U419" s="50" t="s">
        <v>16</v>
      </c>
      <c r="V419" s="52" t="s">
        <v>17</v>
      </c>
      <c r="W419" s="53">
        <v>2</v>
      </c>
      <c r="X419" s="54">
        <v>39</v>
      </c>
      <c r="Y419" s="54">
        <v>5.47</v>
      </c>
      <c r="Z419" s="55">
        <f t="shared" si="45"/>
        <v>72.53</v>
      </c>
      <c r="AA419" s="56" t="s">
        <v>65</v>
      </c>
      <c r="AB419"/>
    </row>
    <row r="420" spans="1:28" x14ac:dyDescent="0.25">
      <c r="A420" s="26" t="s">
        <v>732</v>
      </c>
      <c r="B420" s="26" t="s">
        <v>71</v>
      </c>
      <c r="C420" s="26" t="str">
        <f t="shared" si="40"/>
        <v>Juliana Costa</v>
      </c>
      <c r="D420" s="37" t="s">
        <v>275</v>
      </c>
      <c r="E420" s="27">
        <f t="shared" si="41"/>
        <v>45795</v>
      </c>
      <c r="F420" s="26" t="s">
        <v>29</v>
      </c>
      <c r="G420" s="26" t="str">
        <f t="shared" si="42"/>
        <v>Camila Rocha</v>
      </c>
      <c r="H420" s="26" t="s">
        <v>52</v>
      </c>
      <c r="I420" s="26" t="s">
        <v>53</v>
      </c>
      <c r="J420" s="28">
        <v>1</v>
      </c>
      <c r="K420" s="29">
        <v>149</v>
      </c>
      <c r="L420" s="29">
        <v>0</v>
      </c>
      <c r="M420" s="30">
        <f t="shared" si="44"/>
        <v>149</v>
      </c>
      <c r="N420" s="26" t="s">
        <v>65</v>
      </c>
      <c r="Q420" s="42" t="s">
        <v>732</v>
      </c>
      <c r="R420" s="42" t="s">
        <v>71</v>
      </c>
      <c r="S420" s="57">
        <f t="shared" si="43"/>
        <v>45795</v>
      </c>
      <c r="T420" s="44" t="s">
        <v>29</v>
      </c>
      <c r="U420" s="43" t="s">
        <v>52</v>
      </c>
      <c r="V420" s="42" t="s">
        <v>53</v>
      </c>
      <c r="W420" s="45">
        <v>1</v>
      </c>
      <c r="X420" s="46">
        <v>149</v>
      </c>
      <c r="Y420" s="46">
        <v>0</v>
      </c>
      <c r="Z420" s="47">
        <f t="shared" si="45"/>
        <v>149</v>
      </c>
      <c r="AA420" s="48" t="s">
        <v>65</v>
      </c>
      <c r="AB420"/>
    </row>
    <row r="421" spans="1:28" x14ac:dyDescent="0.25">
      <c r="A421" s="31" t="s">
        <v>733</v>
      </c>
      <c r="B421" s="31" t="s">
        <v>95</v>
      </c>
      <c r="C421" s="32" t="str">
        <f t="shared" si="40"/>
        <v>Maria Oliveira</v>
      </c>
      <c r="D421" s="38" t="s">
        <v>42</v>
      </c>
      <c r="E421" s="33">
        <f t="shared" si="41"/>
        <v>46004</v>
      </c>
      <c r="F421" s="32" t="s">
        <v>29</v>
      </c>
      <c r="G421" s="32" t="str">
        <f t="shared" si="42"/>
        <v>Camila Rocha</v>
      </c>
      <c r="H421" s="32" t="s">
        <v>30</v>
      </c>
      <c r="I421" s="32" t="s">
        <v>68</v>
      </c>
      <c r="J421" s="34">
        <v>4</v>
      </c>
      <c r="K421" s="35">
        <v>799</v>
      </c>
      <c r="L421" s="35">
        <v>0</v>
      </c>
      <c r="M421" s="36">
        <f t="shared" si="44"/>
        <v>3196</v>
      </c>
      <c r="N421" s="32" t="s">
        <v>89</v>
      </c>
      <c r="Q421" s="49" t="s">
        <v>733</v>
      </c>
      <c r="R421" s="49" t="s">
        <v>95</v>
      </c>
      <c r="S421" s="58">
        <f t="shared" si="43"/>
        <v>46004</v>
      </c>
      <c r="T421" s="51" t="s">
        <v>29</v>
      </c>
      <c r="U421" s="50" t="s">
        <v>30</v>
      </c>
      <c r="V421" s="52" t="s">
        <v>68</v>
      </c>
      <c r="W421" s="53">
        <v>4</v>
      </c>
      <c r="X421" s="54">
        <v>799</v>
      </c>
      <c r="Y421" s="54">
        <v>0</v>
      </c>
      <c r="Z421" s="55">
        <f t="shared" si="45"/>
        <v>3196</v>
      </c>
      <c r="AA421" s="56" t="s">
        <v>89</v>
      </c>
      <c r="AB421"/>
    </row>
    <row r="422" spans="1:28" x14ac:dyDescent="0.25">
      <c r="A422" s="26" t="s">
        <v>734</v>
      </c>
      <c r="B422" s="26" t="s">
        <v>110</v>
      </c>
      <c r="C422" s="26" t="str">
        <f t="shared" si="40"/>
        <v>Fernanda Lima</v>
      </c>
      <c r="D422" s="37" t="s">
        <v>320</v>
      </c>
      <c r="E422" s="27">
        <f t="shared" si="41"/>
        <v>46056</v>
      </c>
      <c r="F422" s="26" t="s">
        <v>15</v>
      </c>
      <c r="G422" s="26" t="str">
        <f t="shared" si="42"/>
        <v>Larissa Dias</v>
      </c>
      <c r="H422" s="26" t="s">
        <v>30</v>
      </c>
      <c r="I422" s="26" t="s">
        <v>68</v>
      </c>
      <c r="J422" s="28">
        <v>3</v>
      </c>
      <c r="K422" s="29">
        <v>799</v>
      </c>
      <c r="L422" s="29">
        <v>0</v>
      </c>
      <c r="M422" s="30">
        <f t="shared" si="44"/>
        <v>2397</v>
      </c>
      <c r="N422" s="26" t="s">
        <v>69</v>
      </c>
      <c r="Q422" s="42" t="s">
        <v>734</v>
      </c>
      <c r="R422" s="42" t="s">
        <v>110</v>
      </c>
      <c r="S422" s="57">
        <f t="shared" si="43"/>
        <v>46056</v>
      </c>
      <c r="T422" s="44" t="s">
        <v>15</v>
      </c>
      <c r="U422" s="43" t="s">
        <v>30</v>
      </c>
      <c r="V422" s="42" t="s">
        <v>68</v>
      </c>
      <c r="W422" s="45">
        <v>3</v>
      </c>
      <c r="X422" s="46">
        <v>799</v>
      </c>
      <c r="Y422" s="46">
        <v>0</v>
      </c>
      <c r="Z422" s="47">
        <f t="shared" si="45"/>
        <v>2397</v>
      </c>
      <c r="AA422" s="48" t="s">
        <v>69</v>
      </c>
      <c r="AB422"/>
    </row>
    <row r="423" spans="1:28" x14ac:dyDescent="0.25">
      <c r="A423" s="31" t="s">
        <v>735</v>
      </c>
      <c r="B423" s="31" t="s">
        <v>101</v>
      </c>
      <c r="C423" s="32" t="str">
        <f t="shared" si="40"/>
        <v>Ana Souza</v>
      </c>
      <c r="D423" s="38" t="s">
        <v>248</v>
      </c>
      <c r="E423" s="33">
        <f t="shared" si="41"/>
        <v>45962</v>
      </c>
      <c r="F423" s="32" t="s">
        <v>47</v>
      </c>
      <c r="G423" s="32" t="str">
        <f t="shared" si="42"/>
        <v>Bruno Martins</v>
      </c>
      <c r="H423" s="32" t="s">
        <v>52</v>
      </c>
      <c r="I423" s="32" t="s">
        <v>53</v>
      </c>
      <c r="J423" s="34">
        <v>2</v>
      </c>
      <c r="K423" s="35">
        <v>149</v>
      </c>
      <c r="L423" s="35">
        <v>0</v>
      </c>
      <c r="M423" s="36">
        <f t="shared" si="44"/>
        <v>298</v>
      </c>
      <c r="N423" s="32" t="s">
        <v>89</v>
      </c>
      <c r="Q423" s="49" t="s">
        <v>735</v>
      </c>
      <c r="R423" s="49" t="s">
        <v>101</v>
      </c>
      <c r="S423" s="58">
        <f t="shared" si="43"/>
        <v>45962</v>
      </c>
      <c r="T423" s="51" t="s">
        <v>47</v>
      </c>
      <c r="U423" s="50" t="s">
        <v>52</v>
      </c>
      <c r="V423" s="52" t="s">
        <v>53</v>
      </c>
      <c r="W423" s="53">
        <v>2</v>
      </c>
      <c r="X423" s="54">
        <v>149</v>
      </c>
      <c r="Y423" s="54">
        <v>0</v>
      </c>
      <c r="Z423" s="55">
        <f t="shared" si="45"/>
        <v>298</v>
      </c>
      <c r="AA423" s="56" t="s">
        <v>89</v>
      </c>
      <c r="AB423"/>
    </row>
    <row r="424" spans="1:28" x14ac:dyDescent="0.25">
      <c r="A424" s="26" t="s">
        <v>736</v>
      </c>
      <c r="B424" s="26" t="s">
        <v>37</v>
      </c>
      <c r="C424" s="26" t="str">
        <f t="shared" si="40"/>
        <v>Patricia Gomes</v>
      </c>
      <c r="D424" s="37" t="s">
        <v>349</v>
      </c>
      <c r="E424" s="27">
        <f t="shared" si="41"/>
        <v>45939</v>
      </c>
      <c r="F424" s="26" t="s">
        <v>29</v>
      </c>
      <c r="G424" s="26" t="str">
        <f t="shared" si="42"/>
        <v>Camila Rocha</v>
      </c>
      <c r="H424" s="26" t="s">
        <v>52</v>
      </c>
      <c r="I424" s="26" t="s">
        <v>53</v>
      </c>
      <c r="J424" s="28">
        <v>3</v>
      </c>
      <c r="K424" s="29">
        <v>149</v>
      </c>
      <c r="L424" s="29">
        <v>30.6</v>
      </c>
      <c r="M424" s="30">
        <f t="shared" si="44"/>
        <v>416.4</v>
      </c>
      <c r="N424" s="26" t="s">
        <v>18</v>
      </c>
      <c r="Q424" s="42" t="s">
        <v>736</v>
      </c>
      <c r="R424" s="42" t="s">
        <v>37</v>
      </c>
      <c r="S424" s="57">
        <f t="shared" si="43"/>
        <v>45939</v>
      </c>
      <c r="T424" s="44" t="s">
        <v>29</v>
      </c>
      <c r="U424" s="43" t="s">
        <v>52</v>
      </c>
      <c r="V424" s="42" t="s">
        <v>53</v>
      </c>
      <c r="W424" s="45">
        <v>3</v>
      </c>
      <c r="X424" s="46">
        <v>149</v>
      </c>
      <c r="Y424" s="46">
        <v>30.6</v>
      </c>
      <c r="Z424" s="47">
        <f t="shared" si="45"/>
        <v>416.4</v>
      </c>
      <c r="AA424" s="48" t="s">
        <v>18</v>
      </c>
      <c r="AB424"/>
    </row>
    <row r="425" spans="1:28" x14ac:dyDescent="0.25">
      <c r="A425" s="31" t="s">
        <v>737</v>
      </c>
      <c r="B425" s="31" t="s">
        <v>1689</v>
      </c>
      <c r="C425" s="32" t="str">
        <f t="shared" si="40"/>
        <v>Sem Dados</v>
      </c>
      <c r="D425" s="38" t="s">
        <v>738</v>
      </c>
      <c r="E425" s="33">
        <f t="shared" si="41"/>
        <v>45759</v>
      </c>
      <c r="F425" s="32" t="s">
        <v>29</v>
      </c>
      <c r="G425" s="32" t="str">
        <f t="shared" si="42"/>
        <v>Camila Rocha</v>
      </c>
      <c r="H425" s="32" t="s">
        <v>30</v>
      </c>
      <c r="I425" s="32" t="s">
        <v>68</v>
      </c>
      <c r="J425" s="34">
        <v>1</v>
      </c>
      <c r="K425" s="35">
        <v>799</v>
      </c>
      <c r="L425" s="35">
        <v>0</v>
      </c>
      <c r="M425" s="36">
        <f t="shared" si="44"/>
        <v>799</v>
      </c>
      <c r="N425" s="32" t="s">
        <v>44</v>
      </c>
      <c r="Q425" s="49" t="s">
        <v>737</v>
      </c>
      <c r="R425" s="49" t="s">
        <v>1689</v>
      </c>
      <c r="S425" s="58">
        <f t="shared" si="43"/>
        <v>45759</v>
      </c>
      <c r="T425" s="51" t="s">
        <v>29</v>
      </c>
      <c r="U425" s="50" t="s">
        <v>30</v>
      </c>
      <c r="V425" s="52" t="s">
        <v>68</v>
      </c>
      <c r="W425" s="53">
        <v>1</v>
      </c>
      <c r="X425" s="54">
        <v>799</v>
      </c>
      <c r="Y425" s="54">
        <v>0</v>
      </c>
      <c r="Z425" s="55">
        <f t="shared" si="45"/>
        <v>799</v>
      </c>
      <c r="AA425" s="56" t="s">
        <v>44</v>
      </c>
      <c r="AB425"/>
    </row>
    <row r="426" spans="1:28" x14ac:dyDescent="0.25">
      <c r="A426" s="26" t="s">
        <v>739</v>
      </c>
      <c r="B426" s="26" t="s">
        <v>63</v>
      </c>
      <c r="C426" s="26" t="str">
        <f t="shared" si="40"/>
        <v>Marcos Rodrigues</v>
      </c>
      <c r="D426" s="37" t="s">
        <v>740</v>
      </c>
      <c r="E426" s="27">
        <f t="shared" si="41"/>
        <v>46025</v>
      </c>
      <c r="F426" s="26" t="s">
        <v>29</v>
      </c>
      <c r="G426" s="26" t="str">
        <f t="shared" si="42"/>
        <v>Camila Rocha</v>
      </c>
      <c r="H426" s="26" t="s">
        <v>30</v>
      </c>
      <c r="I426" s="26" t="s">
        <v>106</v>
      </c>
      <c r="J426" s="28">
        <v>3</v>
      </c>
      <c r="K426" s="29">
        <v>299</v>
      </c>
      <c r="L426" s="29">
        <v>35.04</v>
      </c>
      <c r="M426" s="30">
        <f t="shared" si="44"/>
        <v>861.96</v>
      </c>
      <c r="N426" s="26" t="s">
        <v>25</v>
      </c>
      <c r="Q426" s="42" t="s">
        <v>739</v>
      </c>
      <c r="R426" s="42" t="s">
        <v>63</v>
      </c>
      <c r="S426" s="57">
        <f t="shared" si="43"/>
        <v>46025</v>
      </c>
      <c r="T426" s="44" t="s">
        <v>29</v>
      </c>
      <c r="U426" s="43" t="s">
        <v>30</v>
      </c>
      <c r="V426" s="42" t="s">
        <v>106</v>
      </c>
      <c r="W426" s="45">
        <v>3</v>
      </c>
      <c r="X426" s="46">
        <v>299</v>
      </c>
      <c r="Y426" s="46">
        <v>35.04</v>
      </c>
      <c r="Z426" s="47">
        <f t="shared" si="45"/>
        <v>861.96</v>
      </c>
      <c r="AA426" s="48" t="s">
        <v>25</v>
      </c>
      <c r="AB426"/>
    </row>
    <row r="427" spans="1:28" x14ac:dyDescent="0.25">
      <c r="A427" s="31" t="s">
        <v>741</v>
      </c>
      <c r="B427" s="31" t="s">
        <v>13</v>
      </c>
      <c r="C427" s="32" t="str">
        <f t="shared" si="40"/>
        <v>Lucas Almeida</v>
      </c>
      <c r="D427" s="38" t="s">
        <v>742</v>
      </c>
      <c r="E427" s="33">
        <f t="shared" si="41"/>
        <v>45828</v>
      </c>
      <c r="F427" s="32" t="s">
        <v>29</v>
      </c>
      <c r="G427" s="32" t="str">
        <f t="shared" si="42"/>
        <v>Camila Rocha</v>
      </c>
      <c r="H427" s="32" t="s">
        <v>52</v>
      </c>
      <c r="I427" s="32" t="s">
        <v>75</v>
      </c>
      <c r="J427" s="34">
        <v>2</v>
      </c>
      <c r="K427" s="35">
        <v>249</v>
      </c>
      <c r="L427" s="35">
        <v>15.5</v>
      </c>
      <c r="M427" s="36">
        <f t="shared" si="44"/>
        <v>482.5</v>
      </c>
      <c r="N427" s="32" t="s">
        <v>44</v>
      </c>
      <c r="Q427" s="49" t="s">
        <v>741</v>
      </c>
      <c r="R427" s="49" t="s">
        <v>13</v>
      </c>
      <c r="S427" s="58">
        <f t="shared" si="43"/>
        <v>45828</v>
      </c>
      <c r="T427" s="51" t="s">
        <v>29</v>
      </c>
      <c r="U427" s="50" t="s">
        <v>52</v>
      </c>
      <c r="V427" s="52" t="s">
        <v>75</v>
      </c>
      <c r="W427" s="53">
        <v>2</v>
      </c>
      <c r="X427" s="54">
        <v>249</v>
      </c>
      <c r="Y427" s="54">
        <v>15.5</v>
      </c>
      <c r="Z427" s="55">
        <f t="shared" si="45"/>
        <v>482.5</v>
      </c>
      <c r="AA427" s="56" t="s">
        <v>44</v>
      </c>
      <c r="AB427"/>
    </row>
    <row r="428" spans="1:28" x14ac:dyDescent="0.25">
      <c r="A428" s="26" t="s">
        <v>743</v>
      </c>
      <c r="B428" s="26" t="s">
        <v>71</v>
      </c>
      <c r="C428" s="26" t="str">
        <f t="shared" si="40"/>
        <v>Juliana Costa</v>
      </c>
      <c r="D428" s="37" t="s">
        <v>421</v>
      </c>
      <c r="E428" s="27">
        <f t="shared" si="41"/>
        <v>45926</v>
      </c>
      <c r="F428" s="26" t="s">
        <v>39</v>
      </c>
      <c r="G428" s="26" t="str">
        <f t="shared" si="42"/>
        <v>Rodrigo Mello</v>
      </c>
      <c r="H428" s="26" t="s">
        <v>52</v>
      </c>
      <c r="I428" s="26" t="s">
        <v>75</v>
      </c>
      <c r="J428" s="28">
        <v>3</v>
      </c>
      <c r="K428" s="29">
        <v>249</v>
      </c>
      <c r="L428" s="29">
        <v>0</v>
      </c>
      <c r="M428" s="30">
        <f t="shared" si="44"/>
        <v>747</v>
      </c>
      <c r="N428" s="26" t="s">
        <v>32</v>
      </c>
      <c r="Q428" s="42" t="s">
        <v>743</v>
      </c>
      <c r="R428" s="42" t="s">
        <v>71</v>
      </c>
      <c r="S428" s="57">
        <f t="shared" si="43"/>
        <v>45926</v>
      </c>
      <c r="T428" s="44" t="s">
        <v>39</v>
      </c>
      <c r="U428" s="43" t="s">
        <v>52</v>
      </c>
      <c r="V428" s="42" t="s">
        <v>75</v>
      </c>
      <c r="W428" s="45">
        <v>3</v>
      </c>
      <c r="X428" s="46">
        <v>249</v>
      </c>
      <c r="Y428" s="46">
        <v>0</v>
      </c>
      <c r="Z428" s="47">
        <f t="shared" si="45"/>
        <v>747</v>
      </c>
      <c r="AA428" s="48" t="s">
        <v>32</v>
      </c>
      <c r="AB428"/>
    </row>
    <row r="429" spans="1:28" x14ac:dyDescent="0.25">
      <c r="A429" s="31" t="s">
        <v>744</v>
      </c>
      <c r="B429" s="31" t="s">
        <v>55</v>
      </c>
      <c r="C429" s="32" t="str">
        <f t="shared" si="40"/>
        <v>Ricardo Carvalho</v>
      </c>
      <c r="D429" s="38" t="s">
        <v>323</v>
      </c>
      <c r="E429" s="33">
        <f t="shared" si="41"/>
        <v>45858</v>
      </c>
      <c r="F429" s="32" t="s">
        <v>47</v>
      </c>
      <c r="G429" s="32" t="str">
        <f t="shared" si="42"/>
        <v>Bruno Martins</v>
      </c>
      <c r="H429" s="32" t="s">
        <v>30</v>
      </c>
      <c r="I429" s="32" t="s">
        <v>152</v>
      </c>
      <c r="J429" s="34">
        <v>1</v>
      </c>
      <c r="K429" s="35">
        <v>4500</v>
      </c>
      <c r="L429" s="35">
        <v>0</v>
      </c>
      <c r="M429" s="36">
        <f t="shared" si="44"/>
        <v>4500</v>
      </c>
      <c r="N429" s="32" t="s">
        <v>69</v>
      </c>
      <c r="Q429" s="49" t="s">
        <v>744</v>
      </c>
      <c r="R429" s="49" t="s">
        <v>55</v>
      </c>
      <c r="S429" s="58">
        <f t="shared" si="43"/>
        <v>45858</v>
      </c>
      <c r="T429" s="51" t="s">
        <v>47</v>
      </c>
      <c r="U429" s="50" t="s">
        <v>30</v>
      </c>
      <c r="V429" s="52" t="s">
        <v>152</v>
      </c>
      <c r="W429" s="53">
        <v>1</v>
      </c>
      <c r="X429" s="54">
        <v>4500</v>
      </c>
      <c r="Y429" s="54">
        <v>0</v>
      </c>
      <c r="Z429" s="55">
        <f t="shared" si="45"/>
        <v>4500</v>
      </c>
      <c r="AA429" s="56" t="s">
        <v>69</v>
      </c>
      <c r="AB429"/>
    </row>
    <row r="430" spans="1:28" x14ac:dyDescent="0.25">
      <c r="A430" s="26" t="s">
        <v>745</v>
      </c>
      <c r="B430" s="26" t="s">
        <v>41</v>
      </c>
      <c r="C430" s="26" t="str">
        <f t="shared" si="40"/>
        <v>João Pereira</v>
      </c>
      <c r="D430" s="37" t="s">
        <v>87</v>
      </c>
      <c r="E430" s="27">
        <f t="shared" si="41"/>
        <v>45996</v>
      </c>
      <c r="F430" s="26" t="s">
        <v>39</v>
      </c>
      <c r="G430" s="26" t="str">
        <f t="shared" si="42"/>
        <v>Rodrigo Mello</v>
      </c>
      <c r="H430" s="26" t="s">
        <v>23</v>
      </c>
      <c r="I430" s="26" t="s">
        <v>88</v>
      </c>
      <c r="J430" s="28">
        <v>5</v>
      </c>
      <c r="K430" s="29">
        <v>650</v>
      </c>
      <c r="L430" s="29">
        <v>303.33</v>
      </c>
      <c r="M430" s="30">
        <f t="shared" si="44"/>
        <v>2946.67</v>
      </c>
      <c r="N430" s="26" t="s">
        <v>25</v>
      </c>
      <c r="Q430" s="42" t="s">
        <v>745</v>
      </c>
      <c r="R430" s="42" t="s">
        <v>41</v>
      </c>
      <c r="S430" s="57">
        <f t="shared" si="43"/>
        <v>45996</v>
      </c>
      <c r="T430" s="44" t="s">
        <v>39</v>
      </c>
      <c r="U430" s="43" t="s">
        <v>23</v>
      </c>
      <c r="V430" s="42" t="s">
        <v>88</v>
      </c>
      <c r="W430" s="45">
        <v>5</v>
      </c>
      <c r="X430" s="46">
        <v>650</v>
      </c>
      <c r="Y430" s="46">
        <v>303.33</v>
      </c>
      <c r="Z430" s="47">
        <f t="shared" si="45"/>
        <v>2946.67</v>
      </c>
      <c r="AA430" s="48" t="s">
        <v>25</v>
      </c>
      <c r="AB430"/>
    </row>
    <row r="431" spans="1:28" x14ac:dyDescent="0.25">
      <c r="A431" s="31" t="s">
        <v>746</v>
      </c>
      <c r="B431" s="31" t="s">
        <v>63</v>
      </c>
      <c r="C431" s="32" t="str">
        <f t="shared" si="40"/>
        <v>Marcos Rodrigues</v>
      </c>
      <c r="D431" s="38" t="s">
        <v>355</v>
      </c>
      <c r="E431" s="33">
        <f t="shared" si="41"/>
        <v>45895</v>
      </c>
      <c r="F431" s="32" t="s">
        <v>15</v>
      </c>
      <c r="G431" s="32" t="str">
        <f t="shared" si="42"/>
        <v>Larissa Dias</v>
      </c>
      <c r="H431" s="32" t="s">
        <v>52</v>
      </c>
      <c r="I431" s="32" t="s">
        <v>53</v>
      </c>
      <c r="J431" s="34">
        <v>2</v>
      </c>
      <c r="K431" s="35">
        <v>149</v>
      </c>
      <c r="L431" s="35">
        <v>7.59</v>
      </c>
      <c r="M431" s="36">
        <f t="shared" si="44"/>
        <v>290.41000000000003</v>
      </c>
      <c r="N431" s="32" t="s">
        <v>69</v>
      </c>
      <c r="Q431" s="49" t="s">
        <v>746</v>
      </c>
      <c r="R431" s="49" t="s">
        <v>63</v>
      </c>
      <c r="S431" s="58">
        <f t="shared" si="43"/>
        <v>45895</v>
      </c>
      <c r="T431" s="51" t="s">
        <v>15</v>
      </c>
      <c r="U431" s="50" t="s">
        <v>52</v>
      </c>
      <c r="V431" s="52" t="s">
        <v>53</v>
      </c>
      <c r="W431" s="53">
        <v>2</v>
      </c>
      <c r="X431" s="54">
        <v>149</v>
      </c>
      <c r="Y431" s="54">
        <v>7.59</v>
      </c>
      <c r="Z431" s="55">
        <f t="shared" si="45"/>
        <v>290.41000000000003</v>
      </c>
      <c r="AA431" s="56" t="s">
        <v>69</v>
      </c>
      <c r="AB431"/>
    </row>
    <row r="432" spans="1:28" x14ac:dyDescent="0.25">
      <c r="A432" s="26" t="s">
        <v>747</v>
      </c>
      <c r="B432" s="26" t="s">
        <v>110</v>
      </c>
      <c r="C432" s="26" t="str">
        <f t="shared" si="40"/>
        <v>Fernanda Lima</v>
      </c>
      <c r="D432" s="37" t="s">
        <v>748</v>
      </c>
      <c r="E432" s="27">
        <f t="shared" si="41"/>
        <v>45900</v>
      </c>
      <c r="F432" s="26" t="s">
        <v>39</v>
      </c>
      <c r="G432" s="26" t="str">
        <f t="shared" si="42"/>
        <v>Rodrigo Mello</v>
      </c>
      <c r="H432" s="26" t="s">
        <v>52</v>
      </c>
      <c r="I432" s="26" t="s">
        <v>61</v>
      </c>
      <c r="J432" s="28">
        <v>2</v>
      </c>
      <c r="K432" s="29">
        <v>199</v>
      </c>
      <c r="L432" s="29">
        <v>33.17</v>
      </c>
      <c r="M432" s="30">
        <f t="shared" si="44"/>
        <v>364.83</v>
      </c>
      <c r="N432" s="26" t="s">
        <v>25</v>
      </c>
      <c r="Q432" s="42" t="s">
        <v>747</v>
      </c>
      <c r="R432" s="42" t="s">
        <v>110</v>
      </c>
      <c r="S432" s="57">
        <f t="shared" si="43"/>
        <v>45900</v>
      </c>
      <c r="T432" s="44" t="s">
        <v>39</v>
      </c>
      <c r="U432" s="43" t="s">
        <v>52</v>
      </c>
      <c r="V432" s="42" t="s">
        <v>61</v>
      </c>
      <c r="W432" s="45">
        <v>2</v>
      </c>
      <c r="X432" s="46">
        <v>199</v>
      </c>
      <c r="Y432" s="46">
        <v>33.17</v>
      </c>
      <c r="Z432" s="47">
        <f t="shared" si="45"/>
        <v>364.83</v>
      </c>
      <c r="AA432" s="48" t="s">
        <v>25</v>
      </c>
      <c r="AB432"/>
    </row>
    <row r="433" spans="1:28" x14ac:dyDescent="0.25">
      <c r="A433" s="31" t="s">
        <v>749</v>
      </c>
      <c r="B433" s="31" t="s">
        <v>34</v>
      </c>
      <c r="C433" s="32" t="str">
        <f t="shared" si="40"/>
        <v>Carlos Silva</v>
      </c>
      <c r="D433" s="38" t="s">
        <v>750</v>
      </c>
      <c r="E433" s="33">
        <f t="shared" si="41"/>
        <v>45755</v>
      </c>
      <c r="F433" s="32" t="s">
        <v>22</v>
      </c>
      <c r="G433" s="32" t="str">
        <f t="shared" si="42"/>
        <v>Amanda Costa</v>
      </c>
      <c r="H433" s="32" t="s">
        <v>23</v>
      </c>
      <c r="I433" s="32" t="s">
        <v>88</v>
      </c>
      <c r="J433" s="34">
        <v>3</v>
      </c>
      <c r="K433" s="35">
        <v>650</v>
      </c>
      <c r="L433" s="35">
        <v>0</v>
      </c>
      <c r="M433" s="36">
        <f t="shared" si="44"/>
        <v>1950</v>
      </c>
      <c r="N433" s="32" t="s">
        <v>25</v>
      </c>
      <c r="Q433" s="49" t="s">
        <v>749</v>
      </c>
      <c r="R433" s="49" t="s">
        <v>34</v>
      </c>
      <c r="S433" s="58">
        <f t="shared" si="43"/>
        <v>45755</v>
      </c>
      <c r="T433" s="51" t="s">
        <v>22</v>
      </c>
      <c r="U433" s="50" t="s">
        <v>23</v>
      </c>
      <c r="V433" s="52" t="s">
        <v>88</v>
      </c>
      <c r="W433" s="53">
        <v>3</v>
      </c>
      <c r="X433" s="54">
        <v>650</v>
      </c>
      <c r="Y433" s="54">
        <v>0</v>
      </c>
      <c r="Z433" s="55">
        <f t="shared" si="45"/>
        <v>1950</v>
      </c>
      <c r="AA433" s="56" t="s">
        <v>25</v>
      </c>
      <c r="AB433"/>
    </row>
    <row r="434" spans="1:28" x14ac:dyDescent="0.25">
      <c r="A434" s="26" t="s">
        <v>751</v>
      </c>
      <c r="B434" s="26" t="s">
        <v>101</v>
      </c>
      <c r="C434" s="26" t="str">
        <f t="shared" si="40"/>
        <v>Ana Souza</v>
      </c>
      <c r="D434" s="37" t="s">
        <v>752</v>
      </c>
      <c r="E434" s="27">
        <f t="shared" si="41"/>
        <v>45850</v>
      </c>
      <c r="F434" s="26" t="s">
        <v>22</v>
      </c>
      <c r="G434" s="26" t="str">
        <f t="shared" si="42"/>
        <v>Amanda Costa</v>
      </c>
      <c r="H434" s="26" t="s">
        <v>52</v>
      </c>
      <c r="I434" s="26" t="s">
        <v>99</v>
      </c>
      <c r="J434" s="28">
        <v>5</v>
      </c>
      <c r="K434" s="29">
        <v>79</v>
      </c>
      <c r="L434" s="29">
        <v>0</v>
      </c>
      <c r="M434" s="30">
        <f t="shared" si="44"/>
        <v>395</v>
      </c>
      <c r="N434" s="26" t="s">
        <v>25</v>
      </c>
      <c r="Q434" s="42" t="s">
        <v>751</v>
      </c>
      <c r="R434" s="42" t="s">
        <v>101</v>
      </c>
      <c r="S434" s="57">
        <f t="shared" si="43"/>
        <v>45850</v>
      </c>
      <c r="T434" s="44" t="s">
        <v>22</v>
      </c>
      <c r="U434" s="43" t="s">
        <v>52</v>
      </c>
      <c r="V434" s="42" t="s">
        <v>99</v>
      </c>
      <c r="W434" s="45">
        <v>5</v>
      </c>
      <c r="X434" s="46">
        <v>79</v>
      </c>
      <c r="Y434" s="46">
        <v>0</v>
      </c>
      <c r="Z434" s="47">
        <f t="shared" si="45"/>
        <v>395</v>
      </c>
      <c r="AA434" s="48" t="s">
        <v>25</v>
      </c>
      <c r="AB434"/>
    </row>
    <row r="435" spans="1:28" x14ac:dyDescent="0.25">
      <c r="A435" s="31" t="s">
        <v>753</v>
      </c>
      <c r="B435" s="31" t="s">
        <v>13</v>
      </c>
      <c r="C435" s="32" t="str">
        <f t="shared" si="40"/>
        <v>Lucas Almeida</v>
      </c>
      <c r="D435" s="38" t="s">
        <v>223</v>
      </c>
      <c r="E435" s="33">
        <f t="shared" si="41"/>
        <v>46021</v>
      </c>
      <c r="F435" s="32" t="s">
        <v>39</v>
      </c>
      <c r="G435" s="32" t="str">
        <f t="shared" si="42"/>
        <v>Rodrigo Mello</v>
      </c>
      <c r="H435" s="32" t="s">
        <v>16</v>
      </c>
      <c r="I435" s="32" t="s">
        <v>116</v>
      </c>
      <c r="J435" s="34">
        <v>5</v>
      </c>
      <c r="K435" s="35">
        <v>45</v>
      </c>
      <c r="L435" s="35">
        <v>7.84</v>
      </c>
      <c r="M435" s="36">
        <f t="shared" si="44"/>
        <v>217.16</v>
      </c>
      <c r="N435" s="32" t="s">
        <v>69</v>
      </c>
      <c r="Q435" s="49" t="s">
        <v>753</v>
      </c>
      <c r="R435" s="49" t="s">
        <v>13</v>
      </c>
      <c r="S435" s="58">
        <f t="shared" si="43"/>
        <v>46021</v>
      </c>
      <c r="T435" s="51" t="s">
        <v>39</v>
      </c>
      <c r="U435" s="50" t="s">
        <v>16</v>
      </c>
      <c r="V435" s="52" t="s">
        <v>116</v>
      </c>
      <c r="W435" s="53">
        <v>5</v>
      </c>
      <c r="X435" s="54">
        <v>45</v>
      </c>
      <c r="Y435" s="54">
        <v>7.84</v>
      </c>
      <c r="Z435" s="55">
        <f t="shared" si="45"/>
        <v>217.16</v>
      </c>
      <c r="AA435" s="56" t="s">
        <v>69</v>
      </c>
      <c r="AB435"/>
    </row>
    <row r="436" spans="1:28" x14ac:dyDescent="0.25">
      <c r="A436" s="26" t="s">
        <v>754</v>
      </c>
      <c r="B436" s="26" t="s">
        <v>41</v>
      </c>
      <c r="C436" s="26" t="str">
        <f t="shared" si="40"/>
        <v>João Pereira</v>
      </c>
      <c r="D436" s="37" t="s">
        <v>355</v>
      </c>
      <c r="E436" s="27">
        <f t="shared" si="41"/>
        <v>45895</v>
      </c>
      <c r="F436" s="26" t="s">
        <v>22</v>
      </c>
      <c r="G436" s="26" t="str">
        <f t="shared" si="42"/>
        <v>Amanda Costa</v>
      </c>
      <c r="H436" s="26" t="s">
        <v>52</v>
      </c>
      <c r="I436" s="26" t="s">
        <v>75</v>
      </c>
      <c r="J436" s="28">
        <v>2</v>
      </c>
      <c r="K436" s="29">
        <v>249</v>
      </c>
      <c r="L436" s="29">
        <v>0</v>
      </c>
      <c r="M436" s="30">
        <f t="shared" si="44"/>
        <v>498</v>
      </c>
      <c r="N436" s="26" t="s">
        <v>89</v>
      </c>
      <c r="Q436" s="42" t="s">
        <v>754</v>
      </c>
      <c r="R436" s="42" t="s">
        <v>41</v>
      </c>
      <c r="S436" s="57">
        <f t="shared" si="43"/>
        <v>45895</v>
      </c>
      <c r="T436" s="44" t="s">
        <v>22</v>
      </c>
      <c r="U436" s="43" t="s">
        <v>52</v>
      </c>
      <c r="V436" s="42" t="s">
        <v>75</v>
      </c>
      <c r="W436" s="45">
        <v>2</v>
      </c>
      <c r="X436" s="46">
        <v>249</v>
      </c>
      <c r="Y436" s="46">
        <v>0</v>
      </c>
      <c r="Z436" s="47">
        <f t="shared" si="45"/>
        <v>498</v>
      </c>
      <c r="AA436" s="48" t="s">
        <v>89</v>
      </c>
      <c r="AB436"/>
    </row>
    <row r="437" spans="1:28" x14ac:dyDescent="0.25">
      <c r="A437" s="31" t="s">
        <v>755</v>
      </c>
      <c r="B437" s="31" t="s">
        <v>110</v>
      </c>
      <c r="C437" s="32" t="str">
        <f t="shared" si="40"/>
        <v>Fernanda Lima</v>
      </c>
      <c r="D437" s="38" t="s">
        <v>756</v>
      </c>
      <c r="E437" s="33">
        <f t="shared" si="41"/>
        <v>45731</v>
      </c>
      <c r="F437" s="32" t="s">
        <v>29</v>
      </c>
      <c r="G437" s="32" t="str">
        <f t="shared" si="42"/>
        <v>Camila Rocha</v>
      </c>
      <c r="H437" s="32" t="s">
        <v>16</v>
      </c>
      <c r="I437" s="32" t="s">
        <v>78</v>
      </c>
      <c r="J437" s="34">
        <v>3</v>
      </c>
      <c r="K437" s="35">
        <v>59</v>
      </c>
      <c r="L437" s="35">
        <v>7.63</v>
      </c>
      <c r="M437" s="36">
        <f t="shared" si="44"/>
        <v>169.37</v>
      </c>
      <c r="N437" s="32" t="s">
        <v>89</v>
      </c>
      <c r="Q437" s="49" t="s">
        <v>755</v>
      </c>
      <c r="R437" s="49" t="s">
        <v>110</v>
      </c>
      <c r="S437" s="58">
        <f t="shared" si="43"/>
        <v>45731</v>
      </c>
      <c r="T437" s="51" t="s">
        <v>29</v>
      </c>
      <c r="U437" s="50" t="s">
        <v>16</v>
      </c>
      <c r="V437" s="52" t="s">
        <v>78</v>
      </c>
      <c r="W437" s="53">
        <v>3</v>
      </c>
      <c r="X437" s="54">
        <v>59</v>
      </c>
      <c r="Y437" s="54">
        <v>7.63</v>
      </c>
      <c r="Z437" s="55">
        <f t="shared" si="45"/>
        <v>169.37</v>
      </c>
      <c r="AA437" s="56" t="s">
        <v>89</v>
      </c>
      <c r="AB437"/>
    </row>
    <row r="438" spans="1:28" x14ac:dyDescent="0.25">
      <c r="A438" s="26" t="s">
        <v>757</v>
      </c>
      <c r="B438" s="26" t="s">
        <v>20</v>
      </c>
      <c r="C438" s="26" t="str">
        <f t="shared" si="40"/>
        <v>Beatriz Ribeiro</v>
      </c>
      <c r="D438" s="37" t="s">
        <v>505</v>
      </c>
      <c r="E438" s="27">
        <f t="shared" si="41"/>
        <v>45995</v>
      </c>
      <c r="F438" s="26" t="s">
        <v>15</v>
      </c>
      <c r="G438" s="26" t="str">
        <f t="shared" si="42"/>
        <v>Larissa Dias</v>
      </c>
      <c r="H438" s="26" t="s">
        <v>16</v>
      </c>
      <c r="I438" s="26" t="s">
        <v>103</v>
      </c>
      <c r="J438" s="28">
        <v>1</v>
      </c>
      <c r="K438" s="29">
        <v>89</v>
      </c>
      <c r="L438" s="29">
        <v>11.48</v>
      </c>
      <c r="M438" s="30">
        <f t="shared" si="44"/>
        <v>77.52</v>
      </c>
      <c r="N438" s="26" t="s">
        <v>25</v>
      </c>
      <c r="Q438" s="42" t="s">
        <v>757</v>
      </c>
      <c r="R438" s="42" t="s">
        <v>20</v>
      </c>
      <c r="S438" s="57">
        <f t="shared" si="43"/>
        <v>45995</v>
      </c>
      <c r="T438" s="44" t="s">
        <v>15</v>
      </c>
      <c r="U438" s="43" t="s">
        <v>16</v>
      </c>
      <c r="V438" s="42" t="s">
        <v>103</v>
      </c>
      <c r="W438" s="45">
        <v>1</v>
      </c>
      <c r="X438" s="46">
        <v>89</v>
      </c>
      <c r="Y438" s="46">
        <v>11.48</v>
      </c>
      <c r="Z438" s="47">
        <f t="shared" si="45"/>
        <v>77.52</v>
      </c>
      <c r="AA438" s="48" t="s">
        <v>25</v>
      </c>
      <c r="AB438"/>
    </row>
    <row r="439" spans="1:28" x14ac:dyDescent="0.25">
      <c r="A439" s="31" t="s">
        <v>758</v>
      </c>
      <c r="B439" s="31" t="s">
        <v>63</v>
      </c>
      <c r="C439" s="32" t="str">
        <f t="shared" si="40"/>
        <v>Marcos Rodrigues</v>
      </c>
      <c r="D439" s="38" t="s">
        <v>759</v>
      </c>
      <c r="E439" s="33">
        <f t="shared" si="41"/>
        <v>45720</v>
      </c>
      <c r="F439" s="32" t="s">
        <v>15</v>
      </c>
      <c r="G439" s="32" t="str">
        <f t="shared" si="42"/>
        <v>Larissa Dias</v>
      </c>
      <c r="H439" s="32" t="s">
        <v>16</v>
      </c>
      <c r="I439" s="32" t="s">
        <v>17</v>
      </c>
      <c r="J439" s="34">
        <v>5</v>
      </c>
      <c r="K439" s="35">
        <v>39</v>
      </c>
      <c r="L439" s="35">
        <v>7.69</v>
      </c>
      <c r="M439" s="36">
        <f t="shared" si="44"/>
        <v>187.31</v>
      </c>
      <c r="N439" s="32" t="s">
        <v>49</v>
      </c>
      <c r="Q439" s="49" t="s">
        <v>758</v>
      </c>
      <c r="R439" s="49" t="s">
        <v>63</v>
      </c>
      <c r="S439" s="58">
        <f t="shared" si="43"/>
        <v>45720</v>
      </c>
      <c r="T439" s="51" t="s">
        <v>15</v>
      </c>
      <c r="U439" s="50" t="s">
        <v>16</v>
      </c>
      <c r="V439" s="52" t="s">
        <v>17</v>
      </c>
      <c r="W439" s="53">
        <v>5</v>
      </c>
      <c r="X439" s="54">
        <v>39</v>
      </c>
      <c r="Y439" s="54">
        <v>7.69</v>
      </c>
      <c r="Z439" s="55">
        <f t="shared" si="45"/>
        <v>187.31</v>
      </c>
      <c r="AA439" s="56" t="s">
        <v>49</v>
      </c>
      <c r="AB439"/>
    </row>
    <row r="440" spans="1:28" x14ac:dyDescent="0.25">
      <c r="A440" s="26" t="s">
        <v>760</v>
      </c>
      <c r="B440" s="26" t="s">
        <v>110</v>
      </c>
      <c r="C440" s="26" t="str">
        <f t="shared" si="40"/>
        <v>Fernanda Lima</v>
      </c>
      <c r="D440" s="37" t="s">
        <v>761</v>
      </c>
      <c r="E440" s="27">
        <f t="shared" si="41"/>
        <v>45761</v>
      </c>
      <c r="F440" s="26" t="s">
        <v>39</v>
      </c>
      <c r="G440" s="26" t="str">
        <f t="shared" si="42"/>
        <v>Rodrigo Mello</v>
      </c>
      <c r="H440" s="26" t="s">
        <v>23</v>
      </c>
      <c r="I440" s="26" t="s">
        <v>48</v>
      </c>
      <c r="J440" s="28">
        <v>1</v>
      </c>
      <c r="K440" s="29">
        <v>450</v>
      </c>
      <c r="L440" s="29">
        <v>0</v>
      </c>
      <c r="M440" s="30">
        <f t="shared" si="44"/>
        <v>450</v>
      </c>
      <c r="N440" s="26" t="s">
        <v>65</v>
      </c>
      <c r="Q440" s="42" t="s">
        <v>760</v>
      </c>
      <c r="R440" s="42" t="s">
        <v>110</v>
      </c>
      <c r="S440" s="57">
        <f t="shared" si="43"/>
        <v>45761</v>
      </c>
      <c r="T440" s="44" t="s">
        <v>39</v>
      </c>
      <c r="U440" s="43" t="s">
        <v>23</v>
      </c>
      <c r="V440" s="42" t="s">
        <v>48</v>
      </c>
      <c r="W440" s="45">
        <v>1</v>
      </c>
      <c r="X440" s="46">
        <v>450</v>
      </c>
      <c r="Y440" s="46">
        <v>0</v>
      </c>
      <c r="Z440" s="47">
        <f t="shared" si="45"/>
        <v>450</v>
      </c>
      <c r="AA440" s="48" t="s">
        <v>65</v>
      </c>
      <c r="AB440"/>
    </row>
    <row r="441" spans="1:28" x14ac:dyDescent="0.25">
      <c r="A441" s="31" t="s">
        <v>762</v>
      </c>
      <c r="B441" s="31" t="s">
        <v>110</v>
      </c>
      <c r="C441" s="32" t="str">
        <f t="shared" si="40"/>
        <v>Fernanda Lima</v>
      </c>
      <c r="D441" s="38" t="s">
        <v>246</v>
      </c>
      <c r="E441" s="33">
        <f t="shared" si="41"/>
        <v>46049</v>
      </c>
      <c r="F441" s="32" t="s">
        <v>39</v>
      </c>
      <c r="G441" s="32" t="str">
        <f t="shared" si="42"/>
        <v>Rodrigo Mello</v>
      </c>
      <c r="H441" s="32" t="s">
        <v>23</v>
      </c>
      <c r="I441" s="32" t="s">
        <v>88</v>
      </c>
      <c r="J441" s="34">
        <v>3</v>
      </c>
      <c r="K441" s="35">
        <v>650</v>
      </c>
      <c r="L441" s="35">
        <v>75.23</v>
      </c>
      <c r="M441" s="36">
        <f t="shared" si="44"/>
        <v>1874.77</v>
      </c>
      <c r="N441" s="32" t="s">
        <v>49</v>
      </c>
      <c r="Q441" s="49" t="s">
        <v>762</v>
      </c>
      <c r="R441" s="49" t="s">
        <v>110</v>
      </c>
      <c r="S441" s="58">
        <f t="shared" si="43"/>
        <v>46049</v>
      </c>
      <c r="T441" s="51" t="s">
        <v>39</v>
      </c>
      <c r="U441" s="50" t="s">
        <v>23</v>
      </c>
      <c r="V441" s="52" t="s">
        <v>88</v>
      </c>
      <c r="W441" s="53">
        <v>3</v>
      </c>
      <c r="X441" s="54">
        <v>650</v>
      </c>
      <c r="Y441" s="54">
        <v>75.23</v>
      </c>
      <c r="Z441" s="55">
        <f t="shared" si="45"/>
        <v>1874.77</v>
      </c>
      <c r="AA441" s="56" t="s">
        <v>49</v>
      </c>
      <c r="AB441"/>
    </row>
    <row r="442" spans="1:28" x14ac:dyDescent="0.25">
      <c r="A442" s="26" t="s">
        <v>763</v>
      </c>
      <c r="B442" s="26" t="s">
        <v>110</v>
      </c>
      <c r="C442" s="26" t="str">
        <f t="shared" si="40"/>
        <v>Fernanda Lima</v>
      </c>
      <c r="D442" s="37" t="s">
        <v>764</v>
      </c>
      <c r="E442" s="27">
        <f t="shared" si="41"/>
        <v>45775</v>
      </c>
      <c r="F442" s="26" t="s">
        <v>22</v>
      </c>
      <c r="G442" s="26" t="str">
        <f t="shared" si="42"/>
        <v>Amanda Costa</v>
      </c>
      <c r="H442" s="26" t="s">
        <v>16</v>
      </c>
      <c r="I442" s="26" t="s">
        <v>103</v>
      </c>
      <c r="J442" s="28">
        <v>2</v>
      </c>
      <c r="K442" s="29">
        <v>89</v>
      </c>
      <c r="L442" s="29">
        <v>0.5</v>
      </c>
      <c r="M442" s="30">
        <f t="shared" si="44"/>
        <v>177.5</v>
      </c>
      <c r="N442" s="26" t="s">
        <v>89</v>
      </c>
      <c r="Q442" s="42" t="s">
        <v>763</v>
      </c>
      <c r="R442" s="42" t="s">
        <v>110</v>
      </c>
      <c r="S442" s="57">
        <f t="shared" si="43"/>
        <v>45775</v>
      </c>
      <c r="T442" s="44" t="s">
        <v>22</v>
      </c>
      <c r="U442" s="43" t="s">
        <v>16</v>
      </c>
      <c r="V442" s="42" t="s">
        <v>103</v>
      </c>
      <c r="W442" s="45">
        <v>2</v>
      </c>
      <c r="X442" s="46">
        <v>89</v>
      </c>
      <c r="Y442" s="46">
        <v>0.5</v>
      </c>
      <c r="Z442" s="47">
        <f t="shared" si="45"/>
        <v>177.5</v>
      </c>
      <c r="AA442" s="48" t="s">
        <v>89</v>
      </c>
      <c r="AB442"/>
    </row>
    <row r="443" spans="1:28" x14ac:dyDescent="0.25">
      <c r="A443" s="31" t="s">
        <v>765</v>
      </c>
      <c r="B443" s="31" t="s">
        <v>63</v>
      </c>
      <c r="C443" s="32" t="str">
        <f t="shared" si="40"/>
        <v>Marcos Rodrigues</v>
      </c>
      <c r="D443" s="38" t="s">
        <v>227</v>
      </c>
      <c r="E443" s="33">
        <f t="shared" si="41"/>
        <v>45853</v>
      </c>
      <c r="F443" s="32" t="s">
        <v>22</v>
      </c>
      <c r="G443" s="32" t="str">
        <f t="shared" si="42"/>
        <v>Amanda Costa</v>
      </c>
      <c r="H443" s="32" t="s">
        <v>23</v>
      </c>
      <c r="I443" s="32" t="s">
        <v>24</v>
      </c>
      <c r="J443" s="34">
        <v>4</v>
      </c>
      <c r="K443" s="35">
        <v>180</v>
      </c>
      <c r="L443" s="35">
        <v>50.29</v>
      </c>
      <c r="M443" s="36">
        <f t="shared" si="44"/>
        <v>669.71</v>
      </c>
      <c r="N443" s="32" t="s">
        <v>44</v>
      </c>
      <c r="Q443" s="49" t="s">
        <v>765</v>
      </c>
      <c r="R443" s="49" t="s">
        <v>63</v>
      </c>
      <c r="S443" s="58">
        <f t="shared" si="43"/>
        <v>45853</v>
      </c>
      <c r="T443" s="51" t="s">
        <v>22</v>
      </c>
      <c r="U443" s="50" t="s">
        <v>23</v>
      </c>
      <c r="V443" s="52" t="s">
        <v>24</v>
      </c>
      <c r="W443" s="53">
        <v>4</v>
      </c>
      <c r="X443" s="54">
        <v>180</v>
      </c>
      <c r="Y443" s="54">
        <v>50.29</v>
      </c>
      <c r="Z443" s="55">
        <f t="shared" si="45"/>
        <v>669.71</v>
      </c>
      <c r="AA443" s="56" t="s">
        <v>44</v>
      </c>
      <c r="AB443"/>
    </row>
    <row r="444" spans="1:28" x14ac:dyDescent="0.25">
      <c r="A444" s="26" t="s">
        <v>766</v>
      </c>
      <c r="B444" s="26" t="s">
        <v>13</v>
      </c>
      <c r="C444" s="26" t="str">
        <f t="shared" si="40"/>
        <v>Lucas Almeida</v>
      </c>
      <c r="D444" s="37" t="s">
        <v>537</v>
      </c>
      <c r="E444" s="27">
        <f t="shared" si="41"/>
        <v>45924</v>
      </c>
      <c r="F444" s="26" t="s">
        <v>22</v>
      </c>
      <c r="G444" s="26" t="str">
        <f t="shared" si="42"/>
        <v>Amanda Costa</v>
      </c>
      <c r="H444" s="26" t="s">
        <v>16</v>
      </c>
      <c r="I444" s="26" t="s">
        <v>78</v>
      </c>
      <c r="J444" s="28">
        <v>4</v>
      </c>
      <c r="K444" s="29">
        <v>59</v>
      </c>
      <c r="L444" s="29">
        <v>34.4</v>
      </c>
      <c r="M444" s="30">
        <f t="shared" si="44"/>
        <v>201.6</v>
      </c>
      <c r="N444" s="26" t="s">
        <v>44</v>
      </c>
      <c r="Q444" s="42" t="s">
        <v>766</v>
      </c>
      <c r="R444" s="42" t="s">
        <v>13</v>
      </c>
      <c r="S444" s="57">
        <f t="shared" si="43"/>
        <v>45924</v>
      </c>
      <c r="T444" s="44" t="s">
        <v>22</v>
      </c>
      <c r="U444" s="43" t="s">
        <v>16</v>
      </c>
      <c r="V444" s="42" t="s">
        <v>78</v>
      </c>
      <c r="W444" s="45">
        <v>4</v>
      </c>
      <c r="X444" s="46">
        <v>59</v>
      </c>
      <c r="Y444" s="46">
        <v>34.4</v>
      </c>
      <c r="Z444" s="47">
        <f t="shared" si="45"/>
        <v>201.6</v>
      </c>
      <c r="AA444" s="48" t="s">
        <v>44</v>
      </c>
      <c r="AB444"/>
    </row>
    <row r="445" spans="1:28" x14ac:dyDescent="0.25">
      <c r="A445" s="31" t="s">
        <v>767</v>
      </c>
      <c r="B445" s="31" t="s">
        <v>27</v>
      </c>
      <c r="C445" s="32" t="str">
        <f t="shared" si="40"/>
        <v>Roberto Santos</v>
      </c>
      <c r="D445" s="38" t="s">
        <v>768</v>
      </c>
      <c r="E445" s="33">
        <f t="shared" si="41"/>
        <v>45855</v>
      </c>
      <c r="F445" s="32" t="s">
        <v>29</v>
      </c>
      <c r="G445" s="32" t="str">
        <f t="shared" si="42"/>
        <v>Camila Rocha</v>
      </c>
      <c r="H445" s="32" t="s">
        <v>30</v>
      </c>
      <c r="I445" s="32" t="s">
        <v>106</v>
      </c>
      <c r="J445" s="34">
        <v>5</v>
      </c>
      <c r="K445" s="35">
        <v>299</v>
      </c>
      <c r="L445" s="35">
        <v>0</v>
      </c>
      <c r="M445" s="36">
        <f t="shared" si="44"/>
        <v>1495</v>
      </c>
      <c r="N445" s="32" t="s">
        <v>65</v>
      </c>
      <c r="Q445" s="49" t="s">
        <v>767</v>
      </c>
      <c r="R445" s="49" t="s">
        <v>27</v>
      </c>
      <c r="S445" s="58">
        <f t="shared" si="43"/>
        <v>45855</v>
      </c>
      <c r="T445" s="51" t="s">
        <v>29</v>
      </c>
      <c r="U445" s="50" t="s">
        <v>30</v>
      </c>
      <c r="V445" s="52" t="s">
        <v>106</v>
      </c>
      <c r="W445" s="53">
        <v>5</v>
      </c>
      <c r="X445" s="54">
        <v>299</v>
      </c>
      <c r="Y445" s="54">
        <v>0</v>
      </c>
      <c r="Z445" s="55">
        <f t="shared" si="45"/>
        <v>1495</v>
      </c>
      <c r="AA445" s="56" t="s">
        <v>65</v>
      </c>
      <c r="AB445"/>
    </row>
    <row r="446" spans="1:28" x14ac:dyDescent="0.25">
      <c r="A446" s="26" t="s">
        <v>769</v>
      </c>
      <c r="B446" s="26" t="s">
        <v>55</v>
      </c>
      <c r="C446" s="26" t="str">
        <f t="shared" si="40"/>
        <v>Ricardo Carvalho</v>
      </c>
      <c r="D446" s="37" t="s">
        <v>120</v>
      </c>
      <c r="E446" s="27">
        <f t="shared" si="41"/>
        <v>45730</v>
      </c>
      <c r="F446" s="26" t="s">
        <v>29</v>
      </c>
      <c r="G446" s="26" t="str">
        <f t="shared" si="42"/>
        <v>Camila Rocha</v>
      </c>
      <c r="H446" s="26" t="s">
        <v>30</v>
      </c>
      <c r="I446" s="26" t="s">
        <v>152</v>
      </c>
      <c r="J446" s="28">
        <v>4</v>
      </c>
      <c r="K446" s="29">
        <v>4500</v>
      </c>
      <c r="L446" s="29">
        <v>1954.5</v>
      </c>
      <c r="M446" s="30">
        <f t="shared" si="44"/>
        <v>16045.5</v>
      </c>
      <c r="N446" s="26" t="s">
        <v>89</v>
      </c>
      <c r="Q446" s="42" t="s">
        <v>769</v>
      </c>
      <c r="R446" s="42" t="s">
        <v>55</v>
      </c>
      <c r="S446" s="57">
        <f t="shared" si="43"/>
        <v>45730</v>
      </c>
      <c r="T446" s="44" t="s">
        <v>29</v>
      </c>
      <c r="U446" s="43" t="s">
        <v>30</v>
      </c>
      <c r="V446" s="42" t="s">
        <v>152</v>
      </c>
      <c r="W446" s="45">
        <v>4</v>
      </c>
      <c r="X446" s="46">
        <v>4500</v>
      </c>
      <c r="Y446" s="46">
        <v>1954.5</v>
      </c>
      <c r="Z446" s="47">
        <f t="shared" si="45"/>
        <v>16045.5</v>
      </c>
      <c r="AA446" s="48" t="s">
        <v>89</v>
      </c>
      <c r="AB446"/>
    </row>
    <row r="447" spans="1:28" x14ac:dyDescent="0.25">
      <c r="A447" s="31" t="s">
        <v>770</v>
      </c>
      <c r="B447" s="31" t="s">
        <v>95</v>
      </c>
      <c r="C447" s="32" t="str">
        <f t="shared" si="40"/>
        <v>Maria Oliveira</v>
      </c>
      <c r="D447" s="38" t="s">
        <v>180</v>
      </c>
      <c r="E447" s="33">
        <f t="shared" si="41"/>
        <v>45753</v>
      </c>
      <c r="F447" s="32" t="s">
        <v>22</v>
      </c>
      <c r="G447" s="32" t="str">
        <f t="shared" si="42"/>
        <v>Amanda Costa</v>
      </c>
      <c r="H447" s="32" t="s">
        <v>23</v>
      </c>
      <c r="I447" s="32" t="s">
        <v>43</v>
      </c>
      <c r="J447" s="34">
        <v>5</v>
      </c>
      <c r="K447" s="35">
        <v>350</v>
      </c>
      <c r="L447" s="35">
        <v>0</v>
      </c>
      <c r="M447" s="36">
        <f t="shared" si="44"/>
        <v>1750</v>
      </c>
      <c r="N447" s="32" t="s">
        <v>49</v>
      </c>
      <c r="Q447" s="49" t="s">
        <v>770</v>
      </c>
      <c r="R447" s="49" t="s">
        <v>95</v>
      </c>
      <c r="S447" s="58">
        <f t="shared" si="43"/>
        <v>45753</v>
      </c>
      <c r="T447" s="51" t="s">
        <v>22</v>
      </c>
      <c r="U447" s="50" t="s">
        <v>23</v>
      </c>
      <c r="V447" s="52" t="s">
        <v>43</v>
      </c>
      <c r="W447" s="53">
        <v>5</v>
      </c>
      <c r="X447" s="54">
        <v>350</v>
      </c>
      <c r="Y447" s="54">
        <v>0</v>
      </c>
      <c r="Z447" s="55">
        <f t="shared" si="45"/>
        <v>1750</v>
      </c>
      <c r="AA447" s="56" t="s">
        <v>49</v>
      </c>
      <c r="AB447"/>
    </row>
    <row r="448" spans="1:28" x14ac:dyDescent="0.25">
      <c r="A448" s="26" t="s">
        <v>771</v>
      </c>
      <c r="B448" s="26" t="s">
        <v>27</v>
      </c>
      <c r="C448" s="26" t="str">
        <f t="shared" si="40"/>
        <v>Roberto Santos</v>
      </c>
      <c r="D448" s="37" t="s">
        <v>533</v>
      </c>
      <c r="E448" s="27">
        <f t="shared" si="41"/>
        <v>45932</v>
      </c>
      <c r="F448" s="26" t="s">
        <v>47</v>
      </c>
      <c r="G448" s="26" t="str">
        <f t="shared" si="42"/>
        <v>Bruno Martins</v>
      </c>
      <c r="H448" s="26" t="s">
        <v>16</v>
      </c>
      <c r="I448" s="26" t="s">
        <v>116</v>
      </c>
      <c r="J448" s="28">
        <v>5</v>
      </c>
      <c r="K448" s="29">
        <v>45</v>
      </c>
      <c r="L448" s="29">
        <v>0</v>
      </c>
      <c r="M448" s="30">
        <f t="shared" si="44"/>
        <v>225</v>
      </c>
      <c r="N448" s="26" t="s">
        <v>32</v>
      </c>
      <c r="Q448" s="42" t="s">
        <v>771</v>
      </c>
      <c r="R448" s="42" t="s">
        <v>27</v>
      </c>
      <c r="S448" s="57">
        <f t="shared" si="43"/>
        <v>45932</v>
      </c>
      <c r="T448" s="44" t="s">
        <v>47</v>
      </c>
      <c r="U448" s="43" t="s">
        <v>16</v>
      </c>
      <c r="V448" s="42" t="s">
        <v>116</v>
      </c>
      <c r="W448" s="45">
        <v>5</v>
      </c>
      <c r="X448" s="46">
        <v>45</v>
      </c>
      <c r="Y448" s="46">
        <v>0</v>
      </c>
      <c r="Z448" s="47">
        <f t="shared" si="45"/>
        <v>225</v>
      </c>
      <c r="AA448" s="48" t="s">
        <v>32</v>
      </c>
      <c r="AB448"/>
    </row>
    <row r="449" spans="1:28" x14ac:dyDescent="0.25">
      <c r="A449" s="31" t="s">
        <v>772</v>
      </c>
      <c r="B449" s="31" t="s">
        <v>55</v>
      </c>
      <c r="C449" s="32" t="str">
        <f t="shared" si="40"/>
        <v>Ricardo Carvalho</v>
      </c>
      <c r="D449" s="38" t="s">
        <v>773</v>
      </c>
      <c r="E449" s="33">
        <f t="shared" si="41"/>
        <v>45815</v>
      </c>
      <c r="F449" s="32" t="s">
        <v>15</v>
      </c>
      <c r="G449" s="32" t="str">
        <f t="shared" si="42"/>
        <v>Larissa Dias</v>
      </c>
      <c r="H449" s="32" t="s">
        <v>52</v>
      </c>
      <c r="I449" s="32" t="s">
        <v>61</v>
      </c>
      <c r="J449" s="34">
        <v>4</v>
      </c>
      <c r="K449" s="35">
        <v>199</v>
      </c>
      <c r="L449" s="35">
        <v>0</v>
      </c>
      <c r="M449" s="36">
        <f t="shared" si="44"/>
        <v>796</v>
      </c>
      <c r="N449" s="32" t="s">
        <v>44</v>
      </c>
      <c r="Q449" s="49" t="s">
        <v>772</v>
      </c>
      <c r="R449" s="49" t="s">
        <v>55</v>
      </c>
      <c r="S449" s="58">
        <f t="shared" si="43"/>
        <v>45815</v>
      </c>
      <c r="T449" s="51" t="s">
        <v>15</v>
      </c>
      <c r="U449" s="50" t="s">
        <v>52</v>
      </c>
      <c r="V449" s="52" t="s">
        <v>61</v>
      </c>
      <c r="W449" s="53">
        <v>4</v>
      </c>
      <c r="X449" s="54">
        <v>199</v>
      </c>
      <c r="Y449" s="54">
        <v>0</v>
      </c>
      <c r="Z449" s="55">
        <f t="shared" si="45"/>
        <v>796</v>
      </c>
      <c r="AA449" s="56" t="s">
        <v>44</v>
      </c>
      <c r="AB449"/>
    </row>
    <row r="450" spans="1:28" x14ac:dyDescent="0.25">
      <c r="A450" s="26" t="s">
        <v>774</v>
      </c>
      <c r="B450" s="26" t="s">
        <v>134</v>
      </c>
      <c r="C450" s="26" t="str">
        <f t="shared" si="40"/>
        <v>Ana Souza</v>
      </c>
      <c r="D450" s="37" t="s">
        <v>124</v>
      </c>
      <c r="E450" s="27">
        <f t="shared" si="41"/>
        <v>45888</v>
      </c>
      <c r="F450" s="26" t="s">
        <v>29</v>
      </c>
      <c r="G450" s="26" t="str">
        <f t="shared" si="42"/>
        <v>Camila Rocha</v>
      </c>
      <c r="H450" s="26" t="s">
        <v>16</v>
      </c>
      <c r="I450" s="26" t="s">
        <v>116</v>
      </c>
      <c r="J450" s="28">
        <v>3</v>
      </c>
      <c r="K450" s="29">
        <v>45</v>
      </c>
      <c r="L450" s="29">
        <v>0.94</v>
      </c>
      <c r="M450" s="30">
        <f t="shared" si="44"/>
        <v>134.06</v>
      </c>
      <c r="N450" s="26" t="s">
        <v>32</v>
      </c>
      <c r="Q450" s="42" t="s">
        <v>774</v>
      </c>
      <c r="R450" s="42" t="s">
        <v>101</v>
      </c>
      <c r="S450" s="57">
        <f t="shared" si="43"/>
        <v>45888</v>
      </c>
      <c r="T450" s="44" t="s">
        <v>29</v>
      </c>
      <c r="U450" s="43" t="s">
        <v>16</v>
      </c>
      <c r="V450" s="42" t="s">
        <v>116</v>
      </c>
      <c r="W450" s="45">
        <v>3</v>
      </c>
      <c r="X450" s="46">
        <v>45</v>
      </c>
      <c r="Y450" s="46">
        <v>0.94</v>
      </c>
      <c r="Z450" s="47">
        <f t="shared" si="45"/>
        <v>134.06</v>
      </c>
      <c r="AA450" s="48" t="s">
        <v>32</v>
      </c>
      <c r="AB450"/>
    </row>
    <row r="451" spans="1:28" x14ac:dyDescent="0.25">
      <c r="A451" s="31" t="s">
        <v>775</v>
      </c>
      <c r="B451" s="31" t="s">
        <v>37</v>
      </c>
      <c r="C451" s="32" t="str">
        <f t="shared" ref="C451:C514" si="46">SUBSTITUTE(SUBSTITUTE(SUBSTITUTE(SUBSTITUTE(PROPER(B451)," Da "," ")," De "," ")," Do "," ")," Dos "," ")</f>
        <v>Patricia Gomes</v>
      </c>
      <c r="D451" s="38" t="s">
        <v>549</v>
      </c>
      <c r="E451" s="33">
        <f t="shared" ref="E451:E514" si="47">DATEVALUE(D451)</f>
        <v>45950</v>
      </c>
      <c r="F451" s="32" t="s">
        <v>39</v>
      </c>
      <c r="G451" s="32" t="str">
        <f t="shared" ref="G451:G514" si="48">SUBSTITUTE(SUBSTITUTE(SUBSTITUTE(SUBSTITUTE(PROPER(F451)," Da "," ")," De "," ")," Do "," ")," Dos "," ")</f>
        <v>Rodrigo Mello</v>
      </c>
      <c r="H451" s="32" t="s">
        <v>30</v>
      </c>
      <c r="I451" s="32" t="s">
        <v>31</v>
      </c>
      <c r="J451" s="34">
        <v>2</v>
      </c>
      <c r="K451" s="35">
        <v>2500</v>
      </c>
      <c r="L451" s="35">
        <v>0</v>
      </c>
      <c r="M451" s="36">
        <f t="shared" si="44"/>
        <v>5000</v>
      </c>
      <c r="N451" s="32" t="s">
        <v>18</v>
      </c>
      <c r="Q451" s="49" t="s">
        <v>775</v>
      </c>
      <c r="R451" s="49" t="s">
        <v>37</v>
      </c>
      <c r="S451" s="58">
        <f t="shared" si="43"/>
        <v>45950</v>
      </c>
      <c r="T451" s="51" t="s">
        <v>39</v>
      </c>
      <c r="U451" s="50" t="s">
        <v>30</v>
      </c>
      <c r="V451" s="52" t="s">
        <v>31</v>
      </c>
      <c r="W451" s="53">
        <v>2</v>
      </c>
      <c r="X451" s="54">
        <v>2500</v>
      </c>
      <c r="Y451" s="54">
        <v>0</v>
      </c>
      <c r="Z451" s="55">
        <f t="shared" si="45"/>
        <v>5000</v>
      </c>
      <c r="AA451" s="56" t="s">
        <v>18</v>
      </c>
      <c r="AB451"/>
    </row>
    <row r="452" spans="1:28" x14ac:dyDescent="0.25">
      <c r="A452" s="26" t="s">
        <v>776</v>
      </c>
      <c r="B452" s="26" t="s">
        <v>71</v>
      </c>
      <c r="C452" s="26" t="str">
        <f t="shared" si="46"/>
        <v>Juliana Costa</v>
      </c>
      <c r="D452" s="37" t="s">
        <v>364</v>
      </c>
      <c r="E452" s="27">
        <f t="shared" si="47"/>
        <v>45838</v>
      </c>
      <c r="F452" s="26" t="s">
        <v>15</v>
      </c>
      <c r="G452" s="26" t="str">
        <f t="shared" si="48"/>
        <v>Larissa Dias</v>
      </c>
      <c r="H452" s="26" t="s">
        <v>16</v>
      </c>
      <c r="I452" s="26" t="s">
        <v>116</v>
      </c>
      <c r="J452" s="28">
        <v>2</v>
      </c>
      <c r="K452" s="29">
        <v>45</v>
      </c>
      <c r="L452" s="29">
        <v>0</v>
      </c>
      <c r="M452" s="30">
        <f t="shared" si="44"/>
        <v>90</v>
      </c>
      <c r="N452" s="26" t="s">
        <v>18</v>
      </c>
      <c r="Q452" s="42" t="s">
        <v>776</v>
      </c>
      <c r="R452" s="42" t="s">
        <v>71</v>
      </c>
      <c r="S452" s="57">
        <f t="shared" si="43"/>
        <v>45838</v>
      </c>
      <c r="T452" s="44" t="s">
        <v>15</v>
      </c>
      <c r="U452" s="43" t="s">
        <v>16</v>
      </c>
      <c r="V452" s="42" t="s">
        <v>116</v>
      </c>
      <c r="W452" s="45">
        <v>2</v>
      </c>
      <c r="X452" s="46">
        <v>45</v>
      </c>
      <c r="Y452" s="46">
        <v>0</v>
      </c>
      <c r="Z452" s="47">
        <f t="shared" si="45"/>
        <v>90</v>
      </c>
      <c r="AA452" s="48" t="s">
        <v>18</v>
      </c>
      <c r="AB452"/>
    </row>
    <row r="453" spans="1:28" x14ac:dyDescent="0.25">
      <c r="A453" s="31" t="s">
        <v>777</v>
      </c>
      <c r="B453" s="31" t="s">
        <v>55</v>
      </c>
      <c r="C453" s="32" t="str">
        <f t="shared" si="46"/>
        <v>Ricardo Carvalho</v>
      </c>
      <c r="D453" s="38" t="s">
        <v>286</v>
      </c>
      <c r="E453" s="33">
        <f t="shared" si="47"/>
        <v>45712</v>
      </c>
      <c r="F453" s="32" t="s">
        <v>47</v>
      </c>
      <c r="G453" s="32" t="str">
        <f t="shared" si="48"/>
        <v>Bruno Martins</v>
      </c>
      <c r="H453" s="32" t="s">
        <v>52</v>
      </c>
      <c r="I453" s="32" t="s">
        <v>53</v>
      </c>
      <c r="J453" s="34">
        <v>4</v>
      </c>
      <c r="K453" s="35">
        <v>149</v>
      </c>
      <c r="L453" s="35">
        <v>0.28000000000000003</v>
      </c>
      <c r="M453" s="36">
        <f t="shared" si="44"/>
        <v>595.72</v>
      </c>
      <c r="N453" s="32" t="s">
        <v>44</v>
      </c>
      <c r="Q453" s="49" t="s">
        <v>777</v>
      </c>
      <c r="R453" s="49" t="s">
        <v>55</v>
      </c>
      <c r="S453" s="58">
        <f t="shared" si="43"/>
        <v>45712</v>
      </c>
      <c r="T453" s="51" t="s">
        <v>47</v>
      </c>
      <c r="U453" s="50" t="s">
        <v>52</v>
      </c>
      <c r="V453" s="52" t="s">
        <v>53</v>
      </c>
      <c r="W453" s="53">
        <v>4</v>
      </c>
      <c r="X453" s="54">
        <v>149</v>
      </c>
      <c r="Y453" s="54">
        <v>0.28000000000000003</v>
      </c>
      <c r="Z453" s="55">
        <f t="shared" si="45"/>
        <v>595.72</v>
      </c>
      <c r="AA453" s="56" t="s">
        <v>44</v>
      </c>
      <c r="AB453"/>
    </row>
    <row r="454" spans="1:28" x14ac:dyDescent="0.25">
      <c r="A454" s="26" t="s">
        <v>778</v>
      </c>
      <c r="B454" s="26" t="s">
        <v>95</v>
      </c>
      <c r="C454" s="26" t="str">
        <f t="shared" si="46"/>
        <v>Maria Oliveira</v>
      </c>
      <c r="D454" s="37" t="s">
        <v>779</v>
      </c>
      <c r="E454" s="27">
        <f t="shared" si="47"/>
        <v>45915</v>
      </c>
      <c r="F454" s="26" t="s">
        <v>15</v>
      </c>
      <c r="G454" s="26" t="str">
        <f t="shared" si="48"/>
        <v>Larissa Dias</v>
      </c>
      <c r="H454" s="26" t="s">
        <v>30</v>
      </c>
      <c r="I454" s="26" t="s">
        <v>106</v>
      </c>
      <c r="J454" s="28">
        <v>4</v>
      </c>
      <c r="K454" s="29">
        <v>299</v>
      </c>
      <c r="L454" s="29">
        <v>0</v>
      </c>
      <c r="M454" s="30">
        <f t="shared" si="44"/>
        <v>1196</v>
      </c>
      <c r="N454" s="26" t="s">
        <v>65</v>
      </c>
      <c r="Q454" s="42" t="s">
        <v>778</v>
      </c>
      <c r="R454" s="42" t="s">
        <v>95</v>
      </c>
      <c r="S454" s="57">
        <f t="shared" ref="S454:S517" si="49">DATEVALUE(D454)</f>
        <v>45915</v>
      </c>
      <c r="T454" s="44" t="s">
        <v>15</v>
      </c>
      <c r="U454" s="43" t="s">
        <v>30</v>
      </c>
      <c r="V454" s="42" t="s">
        <v>106</v>
      </c>
      <c r="W454" s="45">
        <v>4</v>
      </c>
      <c r="X454" s="46">
        <v>299</v>
      </c>
      <c r="Y454" s="46">
        <v>0</v>
      </c>
      <c r="Z454" s="47">
        <f t="shared" si="45"/>
        <v>1196</v>
      </c>
      <c r="AA454" s="48" t="s">
        <v>65</v>
      </c>
      <c r="AB454"/>
    </row>
    <row r="455" spans="1:28" x14ac:dyDescent="0.25">
      <c r="A455" s="31" t="s">
        <v>780</v>
      </c>
      <c r="B455" s="31" t="s">
        <v>37</v>
      </c>
      <c r="C455" s="32" t="str">
        <f t="shared" si="46"/>
        <v>Patricia Gomes</v>
      </c>
      <c r="D455" s="38" t="s">
        <v>257</v>
      </c>
      <c r="E455" s="33">
        <f t="shared" si="47"/>
        <v>45816</v>
      </c>
      <c r="F455" s="32" t="s">
        <v>29</v>
      </c>
      <c r="G455" s="32" t="str">
        <f t="shared" si="48"/>
        <v>Camila Rocha</v>
      </c>
      <c r="H455" s="32" t="s">
        <v>16</v>
      </c>
      <c r="I455" s="32" t="s">
        <v>116</v>
      </c>
      <c r="J455" s="34">
        <v>1</v>
      </c>
      <c r="K455" s="35">
        <v>45</v>
      </c>
      <c r="L455" s="35">
        <v>1.54</v>
      </c>
      <c r="M455" s="36">
        <f t="shared" si="44"/>
        <v>43.46</v>
      </c>
      <c r="N455" s="32" t="s">
        <v>25</v>
      </c>
      <c r="Q455" s="49" t="s">
        <v>780</v>
      </c>
      <c r="R455" s="49" t="s">
        <v>37</v>
      </c>
      <c r="S455" s="58">
        <f t="shared" si="49"/>
        <v>45816</v>
      </c>
      <c r="T455" s="51" t="s">
        <v>29</v>
      </c>
      <c r="U455" s="50" t="s">
        <v>16</v>
      </c>
      <c r="V455" s="52" t="s">
        <v>116</v>
      </c>
      <c r="W455" s="53">
        <v>1</v>
      </c>
      <c r="X455" s="54">
        <v>45</v>
      </c>
      <c r="Y455" s="54">
        <v>1.54</v>
      </c>
      <c r="Z455" s="55">
        <f t="shared" si="45"/>
        <v>43.46</v>
      </c>
      <c r="AA455" s="56" t="s">
        <v>25</v>
      </c>
      <c r="AB455"/>
    </row>
    <row r="456" spans="1:28" x14ac:dyDescent="0.25">
      <c r="A456" s="26" t="s">
        <v>781</v>
      </c>
      <c r="B456" s="26" t="s">
        <v>34</v>
      </c>
      <c r="C456" s="26" t="str">
        <f t="shared" si="46"/>
        <v>Carlos Silva</v>
      </c>
      <c r="D456" s="37" t="s">
        <v>782</v>
      </c>
      <c r="E456" s="27">
        <f t="shared" si="47"/>
        <v>45851</v>
      </c>
      <c r="F456" s="26" t="s">
        <v>39</v>
      </c>
      <c r="G456" s="26" t="str">
        <f t="shared" si="48"/>
        <v>Rodrigo Mello</v>
      </c>
      <c r="H456" s="26" t="s">
        <v>30</v>
      </c>
      <c r="I456" s="26" t="s">
        <v>68</v>
      </c>
      <c r="J456" s="28">
        <v>1</v>
      </c>
      <c r="K456" s="29">
        <v>799</v>
      </c>
      <c r="L456" s="29">
        <v>19.64</v>
      </c>
      <c r="M456" s="30">
        <f t="shared" ref="M456:M519" si="50">(J456*K456)-L456</f>
        <v>779.36</v>
      </c>
      <c r="N456" s="26" t="s">
        <v>89</v>
      </c>
      <c r="Q456" s="42" t="s">
        <v>781</v>
      </c>
      <c r="R456" s="42" t="s">
        <v>34</v>
      </c>
      <c r="S456" s="57">
        <f t="shared" si="49"/>
        <v>45851</v>
      </c>
      <c r="T456" s="44" t="s">
        <v>39</v>
      </c>
      <c r="U456" s="43" t="s">
        <v>30</v>
      </c>
      <c r="V456" s="42" t="s">
        <v>68</v>
      </c>
      <c r="W456" s="45">
        <v>1</v>
      </c>
      <c r="X456" s="46">
        <v>799</v>
      </c>
      <c r="Y456" s="46">
        <v>19.64</v>
      </c>
      <c r="Z456" s="47">
        <f t="shared" ref="Z456:Z519" si="51">(W456*X456)-Y456</f>
        <v>779.36</v>
      </c>
      <c r="AA456" s="48" t="s">
        <v>89</v>
      </c>
      <c r="AB456"/>
    </row>
    <row r="457" spans="1:28" x14ac:dyDescent="0.25">
      <c r="A457" s="31" t="s">
        <v>783</v>
      </c>
      <c r="B457" s="31" t="s">
        <v>71</v>
      </c>
      <c r="C457" s="32" t="str">
        <f t="shared" si="46"/>
        <v>Juliana Costa</v>
      </c>
      <c r="D457" s="38" t="s">
        <v>784</v>
      </c>
      <c r="E457" s="33">
        <f t="shared" si="47"/>
        <v>45787</v>
      </c>
      <c r="F457" s="32" t="s">
        <v>39</v>
      </c>
      <c r="G457" s="32" t="str">
        <f t="shared" si="48"/>
        <v>Rodrigo Mello</v>
      </c>
      <c r="H457" s="32" t="s">
        <v>16</v>
      </c>
      <c r="I457" s="32" t="s">
        <v>103</v>
      </c>
      <c r="J457" s="34">
        <v>2</v>
      </c>
      <c r="K457" s="35">
        <v>89</v>
      </c>
      <c r="L457" s="35">
        <v>3.13</v>
      </c>
      <c r="M457" s="36">
        <f t="shared" si="50"/>
        <v>174.87</v>
      </c>
      <c r="N457" s="32" t="s">
        <v>49</v>
      </c>
      <c r="Q457" s="49" t="s">
        <v>783</v>
      </c>
      <c r="R457" s="49" t="s">
        <v>71</v>
      </c>
      <c r="S457" s="58">
        <f t="shared" si="49"/>
        <v>45787</v>
      </c>
      <c r="T457" s="51" t="s">
        <v>39</v>
      </c>
      <c r="U457" s="50" t="s">
        <v>16</v>
      </c>
      <c r="V457" s="52" t="s">
        <v>103</v>
      </c>
      <c r="W457" s="53">
        <v>2</v>
      </c>
      <c r="X457" s="54">
        <v>89</v>
      </c>
      <c r="Y457" s="54">
        <v>3.13</v>
      </c>
      <c r="Z457" s="55">
        <f t="shared" si="51"/>
        <v>174.87</v>
      </c>
      <c r="AA457" s="56" t="s">
        <v>49</v>
      </c>
      <c r="AB457"/>
    </row>
    <row r="458" spans="1:28" x14ac:dyDescent="0.25">
      <c r="A458" s="26" t="s">
        <v>785</v>
      </c>
      <c r="B458" s="26" t="s">
        <v>55</v>
      </c>
      <c r="C458" s="26" t="str">
        <f t="shared" si="46"/>
        <v>Ricardo Carvalho</v>
      </c>
      <c r="D458" s="37" t="s">
        <v>379</v>
      </c>
      <c r="E458" s="27">
        <f t="shared" si="47"/>
        <v>45797</v>
      </c>
      <c r="F458" s="26" t="s">
        <v>47</v>
      </c>
      <c r="G458" s="26" t="str">
        <f t="shared" si="48"/>
        <v>Bruno Martins</v>
      </c>
      <c r="H458" s="26" t="s">
        <v>16</v>
      </c>
      <c r="I458" s="26" t="s">
        <v>103</v>
      </c>
      <c r="J458" s="28">
        <v>2</v>
      </c>
      <c r="K458" s="29">
        <v>89</v>
      </c>
      <c r="L458" s="29">
        <v>5.57</v>
      </c>
      <c r="M458" s="30">
        <f t="shared" si="50"/>
        <v>172.43</v>
      </c>
      <c r="N458" s="26" t="s">
        <v>32</v>
      </c>
      <c r="Q458" s="42" t="s">
        <v>785</v>
      </c>
      <c r="R458" s="42" t="s">
        <v>55</v>
      </c>
      <c r="S458" s="57">
        <f t="shared" si="49"/>
        <v>45797</v>
      </c>
      <c r="T458" s="44" t="s">
        <v>47</v>
      </c>
      <c r="U458" s="43" t="s">
        <v>16</v>
      </c>
      <c r="V458" s="42" t="s">
        <v>103</v>
      </c>
      <c r="W458" s="45">
        <v>2</v>
      </c>
      <c r="X458" s="46">
        <v>89</v>
      </c>
      <c r="Y458" s="46">
        <v>5.57</v>
      </c>
      <c r="Z458" s="47">
        <f t="shared" si="51"/>
        <v>172.43</v>
      </c>
      <c r="AA458" s="48" t="s">
        <v>32</v>
      </c>
      <c r="AB458"/>
    </row>
    <row r="459" spans="1:28" x14ac:dyDescent="0.25">
      <c r="A459" s="31" t="s">
        <v>786</v>
      </c>
      <c r="B459" s="31" t="s">
        <v>110</v>
      </c>
      <c r="C459" s="32" t="str">
        <f t="shared" si="46"/>
        <v>Fernanda Lima</v>
      </c>
      <c r="D459" s="38" t="s">
        <v>787</v>
      </c>
      <c r="E459" s="33">
        <f t="shared" si="47"/>
        <v>45819</v>
      </c>
      <c r="F459" s="32" t="s">
        <v>22</v>
      </c>
      <c r="G459" s="32" t="str">
        <f t="shared" si="48"/>
        <v>Amanda Costa</v>
      </c>
      <c r="H459" s="32" t="s">
        <v>52</v>
      </c>
      <c r="I459" s="32" t="s">
        <v>99</v>
      </c>
      <c r="J459" s="34">
        <v>1</v>
      </c>
      <c r="K459" s="35">
        <v>79</v>
      </c>
      <c r="L459" s="35">
        <v>4.28</v>
      </c>
      <c r="M459" s="36">
        <f t="shared" si="50"/>
        <v>74.72</v>
      </c>
      <c r="N459" s="32" t="s">
        <v>49</v>
      </c>
      <c r="Q459" s="49" t="s">
        <v>786</v>
      </c>
      <c r="R459" s="49" t="s">
        <v>110</v>
      </c>
      <c r="S459" s="58">
        <f t="shared" si="49"/>
        <v>45819</v>
      </c>
      <c r="T459" s="51" t="s">
        <v>22</v>
      </c>
      <c r="U459" s="50" t="s">
        <v>52</v>
      </c>
      <c r="V459" s="52" t="s">
        <v>99</v>
      </c>
      <c r="W459" s="53">
        <v>1</v>
      </c>
      <c r="X459" s="54">
        <v>79</v>
      </c>
      <c r="Y459" s="54">
        <v>4.28</v>
      </c>
      <c r="Z459" s="55">
        <f t="shared" si="51"/>
        <v>74.72</v>
      </c>
      <c r="AA459" s="56" t="s">
        <v>49</v>
      </c>
      <c r="AB459"/>
    </row>
    <row r="460" spans="1:28" x14ac:dyDescent="0.25">
      <c r="A460" s="26" t="s">
        <v>788</v>
      </c>
      <c r="B460" s="26" t="s">
        <v>71</v>
      </c>
      <c r="C460" s="26" t="str">
        <f t="shared" si="46"/>
        <v>Juliana Costa</v>
      </c>
      <c r="D460" s="37" t="s">
        <v>789</v>
      </c>
      <c r="E460" s="27">
        <f t="shared" si="47"/>
        <v>45773</v>
      </c>
      <c r="F460" s="26" t="s">
        <v>15</v>
      </c>
      <c r="G460" s="26" t="str">
        <f t="shared" si="48"/>
        <v>Larissa Dias</v>
      </c>
      <c r="H460" s="26" t="s">
        <v>30</v>
      </c>
      <c r="I460" s="26" t="s">
        <v>106</v>
      </c>
      <c r="J460" s="28">
        <v>1</v>
      </c>
      <c r="K460" s="29">
        <v>299</v>
      </c>
      <c r="L460" s="29">
        <v>0</v>
      </c>
      <c r="M460" s="30">
        <f t="shared" si="50"/>
        <v>299</v>
      </c>
      <c r="N460" s="26" t="s">
        <v>44</v>
      </c>
      <c r="Q460" s="42" t="s">
        <v>788</v>
      </c>
      <c r="R460" s="42" t="s">
        <v>71</v>
      </c>
      <c r="S460" s="57">
        <f t="shared" si="49"/>
        <v>45773</v>
      </c>
      <c r="T460" s="44" t="s">
        <v>15</v>
      </c>
      <c r="U460" s="43" t="s">
        <v>30</v>
      </c>
      <c r="V460" s="42" t="s">
        <v>106</v>
      </c>
      <c r="W460" s="45">
        <v>1</v>
      </c>
      <c r="X460" s="46">
        <v>299</v>
      </c>
      <c r="Y460" s="46">
        <v>0</v>
      </c>
      <c r="Z460" s="47">
        <f t="shared" si="51"/>
        <v>299</v>
      </c>
      <c r="AA460" s="48" t="s">
        <v>44</v>
      </c>
      <c r="AB460"/>
    </row>
    <row r="461" spans="1:28" x14ac:dyDescent="0.25">
      <c r="A461" s="31" t="s">
        <v>790</v>
      </c>
      <c r="B461" s="31" t="s">
        <v>27</v>
      </c>
      <c r="C461" s="32" t="str">
        <f t="shared" si="46"/>
        <v>Roberto Santos</v>
      </c>
      <c r="D461" s="38" t="s">
        <v>388</v>
      </c>
      <c r="E461" s="33">
        <f t="shared" si="47"/>
        <v>45790</v>
      </c>
      <c r="F461" s="32" t="s">
        <v>47</v>
      </c>
      <c r="G461" s="32" t="str">
        <f t="shared" si="48"/>
        <v>Bruno Martins</v>
      </c>
      <c r="H461" s="32" t="s">
        <v>52</v>
      </c>
      <c r="I461" s="32" t="s">
        <v>99</v>
      </c>
      <c r="J461" s="34">
        <v>4</v>
      </c>
      <c r="K461" s="35">
        <v>79</v>
      </c>
      <c r="L461" s="35">
        <v>0</v>
      </c>
      <c r="M461" s="36">
        <f t="shared" si="50"/>
        <v>316</v>
      </c>
      <c r="N461" s="32" t="s">
        <v>25</v>
      </c>
      <c r="Q461" s="49" t="s">
        <v>790</v>
      </c>
      <c r="R461" s="49" t="s">
        <v>27</v>
      </c>
      <c r="S461" s="58">
        <f t="shared" si="49"/>
        <v>45790</v>
      </c>
      <c r="T461" s="51" t="s">
        <v>47</v>
      </c>
      <c r="U461" s="50" t="s">
        <v>52</v>
      </c>
      <c r="V461" s="52" t="s">
        <v>99</v>
      </c>
      <c r="W461" s="53">
        <v>4</v>
      </c>
      <c r="X461" s="54">
        <v>79</v>
      </c>
      <c r="Y461" s="54">
        <v>0</v>
      </c>
      <c r="Z461" s="55">
        <f t="shared" si="51"/>
        <v>316</v>
      </c>
      <c r="AA461" s="56" t="s">
        <v>25</v>
      </c>
      <c r="AB461"/>
    </row>
    <row r="462" spans="1:28" x14ac:dyDescent="0.25">
      <c r="A462" s="26" t="s">
        <v>791</v>
      </c>
      <c r="B462" s="26" t="s">
        <v>110</v>
      </c>
      <c r="C462" s="26" t="str">
        <f t="shared" si="46"/>
        <v>Fernanda Lima</v>
      </c>
      <c r="D462" s="37" t="s">
        <v>792</v>
      </c>
      <c r="E462" s="27">
        <f t="shared" si="47"/>
        <v>45739</v>
      </c>
      <c r="F462" s="26" t="s">
        <v>15</v>
      </c>
      <c r="G462" s="26" t="str">
        <f t="shared" si="48"/>
        <v>Larissa Dias</v>
      </c>
      <c r="H462" s="26" t="s">
        <v>30</v>
      </c>
      <c r="I462" s="26" t="s">
        <v>106</v>
      </c>
      <c r="J462" s="28">
        <v>3</v>
      </c>
      <c r="K462" s="29">
        <v>299</v>
      </c>
      <c r="L462" s="29">
        <v>0</v>
      </c>
      <c r="M462" s="30">
        <f t="shared" si="50"/>
        <v>897</v>
      </c>
      <c r="N462" s="26" t="s">
        <v>89</v>
      </c>
      <c r="Q462" s="42" t="s">
        <v>791</v>
      </c>
      <c r="R462" s="42" t="s">
        <v>110</v>
      </c>
      <c r="S462" s="57">
        <f t="shared" si="49"/>
        <v>45739</v>
      </c>
      <c r="T462" s="44" t="s">
        <v>15</v>
      </c>
      <c r="U462" s="43" t="s">
        <v>30</v>
      </c>
      <c r="V462" s="42" t="s">
        <v>106</v>
      </c>
      <c r="W462" s="45">
        <v>3</v>
      </c>
      <c r="X462" s="46">
        <v>299</v>
      </c>
      <c r="Y462" s="46">
        <v>0</v>
      </c>
      <c r="Z462" s="47">
        <f t="shared" si="51"/>
        <v>897</v>
      </c>
      <c r="AA462" s="48" t="s">
        <v>89</v>
      </c>
      <c r="AB462"/>
    </row>
    <row r="463" spans="1:28" x14ac:dyDescent="0.25">
      <c r="A463" s="31" t="s">
        <v>793</v>
      </c>
      <c r="B463" s="31" t="s">
        <v>71</v>
      </c>
      <c r="C463" s="32" t="str">
        <f t="shared" si="46"/>
        <v>Juliana Costa</v>
      </c>
      <c r="D463" s="38" t="s">
        <v>56</v>
      </c>
      <c r="E463" s="33">
        <f t="shared" si="47"/>
        <v>45965</v>
      </c>
      <c r="F463" s="32" t="s">
        <v>39</v>
      </c>
      <c r="G463" s="32" t="str">
        <f t="shared" si="48"/>
        <v>Rodrigo Mello</v>
      </c>
      <c r="H463" s="32" t="s">
        <v>16</v>
      </c>
      <c r="I463" s="32" t="s">
        <v>17</v>
      </c>
      <c r="J463" s="34">
        <v>1</v>
      </c>
      <c r="K463" s="35">
        <v>39</v>
      </c>
      <c r="L463" s="35">
        <v>0</v>
      </c>
      <c r="M463" s="36">
        <f t="shared" si="50"/>
        <v>39</v>
      </c>
      <c r="N463" s="32" t="s">
        <v>32</v>
      </c>
      <c r="Q463" s="49" t="s">
        <v>793</v>
      </c>
      <c r="R463" s="49" t="s">
        <v>71</v>
      </c>
      <c r="S463" s="58">
        <f t="shared" si="49"/>
        <v>45965</v>
      </c>
      <c r="T463" s="51" t="s">
        <v>39</v>
      </c>
      <c r="U463" s="50" t="s">
        <v>16</v>
      </c>
      <c r="V463" s="52" t="s">
        <v>17</v>
      </c>
      <c r="W463" s="53">
        <v>1</v>
      </c>
      <c r="X463" s="54">
        <v>39</v>
      </c>
      <c r="Y463" s="54">
        <v>0</v>
      </c>
      <c r="Z463" s="55">
        <f t="shared" si="51"/>
        <v>39</v>
      </c>
      <c r="AA463" s="56" t="s">
        <v>32</v>
      </c>
      <c r="AB463"/>
    </row>
    <row r="464" spans="1:28" x14ac:dyDescent="0.25">
      <c r="A464" s="26" t="s">
        <v>794</v>
      </c>
      <c r="B464" s="26" t="s">
        <v>34</v>
      </c>
      <c r="C464" s="26" t="str">
        <f t="shared" si="46"/>
        <v>Carlos Silva</v>
      </c>
      <c r="D464" s="37" t="s">
        <v>591</v>
      </c>
      <c r="E464" s="27">
        <f t="shared" si="47"/>
        <v>45947</v>
      </c>
      <c r="F464" s="26" t="s">
        <v>29</v>
      </c>
      <c r="G464" s="26" t="str">
        <f t="shared" si="48"/>
        <v>Camila Rocha</v>
      </c>
      <c r="H464" s="26" t="s">
        <v>52</v>
      </c>
      <c r="I464" s="26" t="s">
        <v>75</v>
      </c>
      <c r="J464" s="28">
        <v>1</v>
      </c>
      <c r="K464" s="29">
        <v>249</v>
      </c>
      <c r="L464" s="29">
        <v>15.06</v>
      </c>
      <c r="M464" s="30">
        <f t="shared" si="50"/>
        <v>233.94</v>
      </c>
      <c r="N464" s="26" t="s">
        <v>44</v>
      </c>
      <c r="Q464" s="42" t="s">
        <v>794</v>
      </c>
      <c r="R464" s="42" t="s">
        <v>34</v>
      </c>
      <c r="S464" s="57">
        <f t="shared" si="49"/>
        <v>45947</v>
      </c>
      <c r="T464" s="44" t="s">
        <v>29</v>
      </c>
      <c r="U464" s="43" t="s">
        <v>52</v>
      </c>
      <c r="V464" s="42" t="s">
        <v>75</v>
      </c>
      <c r="W464" s="45">
        <v>1</v>
      </c>
      <c r="X464" s="46">
        <v>249</v>
      </c>
      <c r="Y464" s="46">
        <v>15.06</v>
      </c>
      <c r="Z464" s="47">
        <f t="shared" si="51"/>
        <v>233.94</v>
      </c>
      <c r="AA464" s="48" t="s">
        <v>44</v>
      </c>
      <c r="AB464"/>
    </row>
    <row r="465" spans="1:28" x14ac:dyDescent="0.25">
      <c r="A465" s="31" t="s">
        <v>795</v>
      </c>
      <c r="B465" s="31" t="s">
        <v>34</v>
      </c>
      <c r="C465" s="32" t="str">
        <f t="shared" si="46"/>
        <v>Carlos Silva</v>
      </c>
      <c r="D465" s="38" t="s">
        <v>796</v>
      </c>
      <c r="E465" s="33">
        <f t="shared" si="47"/>
        <v>45907</v>
      </c>
      <c r="F465" s="32" t="s">
        <v>22</v>
      </c>
      <c r="G465" s="32" t="str">
        <f t="shared" si="48"/>
        <v>Amanda Costa</v>
      </c>
      <c r="H465" s="32" t="s">
        <v>23</v>
      </c>
      <c r="I465" s="32" t="s">
        <v>48</v>
      </c>
      <c r="J465" s="34">
        <v>3</v>
      </c>
      <c r="K465" s="35">
        <v>450</v>
      </c>
      <c r="L465" s="35">
        <v>0</v>
      </c>
      <c r="M465" s="36">
        <f t="shared" si="50"/>
        <v>1350</v>
      </c>
      <c r="N465" s="32" t="s">
        <v>49</v>
      </c>
      <c r="Q465" s="49" t="s">
        <v>795</v>
      </c>
      <c r="R465" s="49" t="s">
        <v>34</v>
      </c>
      <c r="S465" s="58">
        <f t="shared" si="49"/>
        <v>45907</v>
      </c>
      <c r="T465" s="51" t="s">
        <v>22</v>
      </c>
      <c r="U465" s="50" t="s">
        <v>23</v>
      </c>
      <c r="V465" s="52" t="s">
        <v>48</v>
      </c>
      <c r="W465" s="53">
        <v>3</v>
      </c>
      <c r="X465" s="54">
        <v>450</v>
      </c>
      <c r="Y465" s="54">
        <v>0</v>
      </c>
      <c r="Z465" s="55">
        <f t="shared" si="51"/>
        <v>1350</v>
      </c>
      <c r="AA465" s="56" t="s">
        <v>49</v>
      </c>
      <c r="AB465"/>
    </row>
    <row r="466" spans="1:28" x14ac:dyDescent="0.25">
      <c r="A466" s="26" t="s">
        <v>797</v>
      </c>
      <c r="B466" s="26" t="s">
        <v>37</v>
      </c>
      <c r="C466" s="26" t="str">
        <f t="shared" si="46"/>
        <v>Patricia Gomes</v>
      </c>
      <c r="D466" s="37" t="s">
        <v>542</v>
      </c>
      <c r="E466" s="27">
        <f t="shared" si="47"/>
        <v>45675</v>
      </c>
      <c r="F466" s="26" t="s">
        <v>15</v>
      </c>
      <c r="G466" s="26" t="str">
        <f t="shared" si="48"/>
        <v>Larissa Dias</v>
      </c>
      <c r="H466" s="26" t="s">
        <v>23</v>
      </c>
      <c r="I466" s="26" t="s">
        <v>48</v>
      </c>
      <c r="J466" s="28">
        <v>4</v>
      </c>
      <c r="K466" s="29">
        <v>450</v>
      </c>
      <c r="L466" s="29">
        <v>6.57</v>
      </c>
      <c r="M466" s="30">
        <f t="shared" si="50"/>
        <v>1793.43</v>
      </c>
      <c r="N466" s="26" t="s">
        <v>18</v>
      </c>
      <c r="Q466" s="42" t="s">
        <v>797</v>
      </c>
      <c r="R466" s="42" t="s">
        <v>37</v>
      </c>
      <c r="S466" s="57">
        <f t="shared" si="49"/>
        <v>45675</v>
      </c>
      <c r="T466" s="44" t="s">
        <v>15</v>
      </c>
      <c r="U466" s="43" t="s">
        <v>23</v>
      </c>
      <c r="V466" s="42" t="s">
        <v>48</v>
      </c>
      <c r="W466" s="45">
        <v>4</v>
      </c>
      <c r="X466" s="46">
        <v>450</v>
      </c>
      <c r="Y466" s="46">
        <v>6.57</v>
      </c>
      <c r="Z466" s="47">
        <f t="shared" si="51"/>
        <v>1793.43</v>
      </c>
      <c r="AA466" s="48" t="s">
        <v>18</v>
      </c>
      <c r="AB466"/>
    </row>
    <row r="467" spans="1:28" x14ac:dyDescent="0.25">
      <c r="A467" s="31" t="s">
        <v>798</v>
      </c>
      <c r="B467" s="31" t="s">
        <v>13</v>
      </c>
      <c r="C467" s="32" t="str">
        <f t="shared" si="46"/>
        <v>Lucas Almeida</v>
      </c>
      <c r="D467" s="38" t="s">
        <v>64</v>
      </c>
      <c r="E467" s="33">
        <f t="shared" si="47"/>
        <v>45847</v>
      </c>
      <c r="F467" s="32" t="s">
        <v>47</v>
      </c>
      <c r="G467" s="32" t="str">
        <f t="shared" si="48"/>
        <v>Bruno Martins</v>
      </c>
      <c r="H467" s="32" t="s">
        <v>52</v>
      </c>
      <c r="I467" s="32" t="s">
        <v>61</v>
      </c>
      <c r="J467" s="34">
        <v>2</v>
      </c>
      <c r="K467" s="35">
        <v>199</v>
      </c>
      <c r="L467" s="35">
        <v>0</v>
      </c>
      <c r="M467" s="36">
        <f t="shared" si="50"/>
        <v>398</v>
      </c>
      <c r="N467" s="32" t="s">
        <v>69</v>
      </c>
      <c r="Q467" s="49" t="s">
        <v>798</v>
      </c>
      <c r="R467" s="49" t="s">
        <v>13</v>
      </c>
      <c r="S467" s="58">
        <f t="shared" si="49"/>
        <v>45847</v>
      </c>
      <c r="T467" s="51" t="s">
        <v>47</v>
      </c>
      <c r="U467" s="50" t="s">
        <v>52</v>
      </c>
      <c r="V467" s="52" t="s">
        <v>61</v>
      </c>
      <c r="W467" s="53">
        <v>2</v>
      </c>
      <c r="X467" s="54">
        <v>199</v>
      </c>
      <c r="Y467" s="54">
        <v>0</v>
      </c>
      <c r="Z467" s="55">
        <f t="shared" si="51"/>
        <v>398</v>
      </c>
      <c r="AA467" s="56" t="s">
        <v>69</v>
      </c>
      <c r="AB467"/>
    </row>
    <row r="468" spans="1:28" x14ac:dyDescent="0.25">
      <c r="A468" s="26" t="s">
        <v>799</v>
      </c>
      <c r="B468" s="26" t="s">
        <v>71</v>
      </c>
      <c r="C468" s="26" t="str">
        <f t="shared" si="46"/>
        <v>Juliana Costa</v>
      </c>
      <c r="D468" s="37" t="s">
        <v>671</v>
      </c>
      <c r="E468" s="27">
        <f t="shared" si="47"/>
        <v>46042</v>
      </c>
      <c r="F468" s="26" t="s">
        <v>22</v>
      </c>
      <c r="G468" s="26" t="str">
        <f t="shared" si="48"/>
        <v>Amanda Costa</v>
      </c>
      <c r="H468" s="26" t="s">
        <v>16</v>
      </c>
      <c r="I468" s="26" t="s">
        <v>103</v>
      </c>
      <c r="J468" s="28">
        <v>2</v>
      </c>
      <c r="K468" s="29">
        <v>89</v>
      </c>
      <c r="L468" s="29">
        <v>0</v>
      </c>
      <c r="M468" s="30">
        <f t="shared" si="50"/>
        <v>178</v>
      </c>
      <c r="N468" s="26" t="s">
        <v>32</v>
      </c>
      <c r="Q468" s="42" t="s">
        <v>799</v>
      </c>
      <c r="R468" s="42" t="s">
        <v>71</v>
      </c>
      <c r="S468" s="57">
        <f t="shared" si="49"/>
        <v>46042</v>
      </c>
      <c r="T468" s="44" t="s">
        <v>22</v>
      </c>
      <c r="U468" s="43" t="s">
        <v>16</v>
      </c>
      <c r="V468" s="42" t="s">
        <v>103</v>
      </c>
      <c r="W468" s="45">
        <v>2</v>
      </c>
      <c r="X468" s="46">
        <v>89</v>
      </c>
      <c r="Y468" s="46">
        <v>0</v>
      </c>
      <c r="Z468" s="47">
        <f t="shared" si="51"/>
        <v>178</v>
      </c>
      <c r="AA468" s="48" t="s">
        <v>32</v>
      </c>
      <c r="AB468"/>
    </row>
    <row r="469" spans="1:28" x14ac:dyDescent="0.25">
      <c r="A469" s="31" t="s">
        <v>800</v>
      </c>
      <c r="B469" s="31" t="s">
        <v>41</v>
      </c>
      <c r="C469" s="32" t="str">
        <f t="shared" si="46"/>
        <v>João Pereira</v>
      </c>
      <c r="D469" s="38" t="s">
        <v>180</v>
      </c>
      <c r="E469" s="33">
        <f t="shared" si="47"/>
        <v>45753</v>
      </c>
      <c r="F469" s="32" t="s">
        <v>15</v>
      </c>
      <c r="G469" s="32" t="str">
        <f t="shared" si="48"/>
        <v>Larissa Dias</v>
      </c>
      <c r="H469" s="32" t="s">
        <v>16</v>
      </c>
      <c r="I469" s="32" t="s">
        <v>103</v>
      </c>
      <c r="J469" s="34">
        <v>4</v>
      </c>
      <c r="K469" s="35">
        <v>89</v>
      </c>
      <c r="L469" s="35">
        <v>0</v>
      </c>
      <c r="M469" s="36">
        <f t="shared" si="50"/>
        <v>356</v>
      </c>
      <c r="N469" s="32" t="s">
        <v>44</v>
      </c>
      <c r="Q469" s="49" t="s">
        <v>800</v>
      </c>
      <c r="R469" s="49" t="s">
        <v>41</v>
      </c>
      <c r="S469" s="58">
        <f t="shared" si="49"/>
        <v>45753</v>
      </c>
      <c r="T469" s="51" t="s">
        <v>15</v>
      </c>
      <c r="U469" s="50" t="s">
        <v>16</v>
      </c>
      <c r="V469" s="52" t="s">
        <v>103</v>
      </c>
      <c r="W469" s="53">
        <v>4</v>
      </c>
      <c r="X469" s="54">
        <v>89</v>
      </c>
      <c r="Y469" s="54">
        <v>0</v>
      </c>
      <c r="Z469" s="55">
        <f t="shared" si="51"/>
        <v>356</v>
      </c>
      <c r="AA469" s="56" t="s">
        <v>44</v>
      </c>
      <c r="AB469"/>
    </row>
    <row r="470" spans="1:28" x14ac:dyDescent="0.25">
      <c r="A470" s="26" t="s">
        <v>801</v>
      </c>
      <c r="B470" s="26" t="s">
        <v>37</v>
      </c>
      <c r="C470" s="26" t="str">
        <f t="shared" si="46"/>
        <v>Patricia Gomes</v>
      </c>
      <c r="D470" s="37" t="s">
        <v>802</v>
      </c>
      <c r="E470" s="27">
        <f t="shared" si="47"/>
        <v>45849</v>
      </c>
      <c r="F470" s="26" t="s">
        <v>22</v>
      </c>
      <c r="G470" s="26" t="str">
        <f t="shared" si="48"/>
        <v>Amanda Costa</v>
      </c>
      <c r="H470" s="26" t="s">
        <v>23</v>
      </c>
      <c r="I470" s="26" t="s">
        <v>24</v>
      </c>
      <c r="J470" s="28">
        <v>4</v>
      </c>
      <c r="K470" s="29">
        <v>180</v>
      </c>
      <c r="L470" s="29">
        <v>16.82</v>
      </c>
      <c r="M470" s="30">
        <f t="shared" si="50"/>
        <v>703.18</v>
      </c>
      <c r="N470" s="26" t="s">
        <v>65</v>
      </c>
      <c r="Q470" s="42" t="s">
        <v>801</v>
      </c>
      <c r="R470" s="42" t="s">
        <v>37</v>
      </c>
      <c r="S470" s="57">
        <f t="shared" si="49"/>
        <v>45849</v>
      </c>
      <c r="T470" s="44" t="s">
        <v>22</v>
      </c>
      <c r="U470" s="43" t="s">
        <v>23</v>
      </c>
      <c r="V470" s="42" t="s">
        <v>24</v>
      </c>
      <c r="W470" s="45">
        <v>4</v>
      </c>
      <c r="X470" s="46">
        <v>180</v>
      </c>
      <c r="Y470" s="46">
        <v>16.82</v>
      </c>
      <c r="Z470" s="47">
        <f t="shared" si="51"/>
        <v>703.18</v>
      </c>
      <c r="AA470" s="48" t="s">
        <v>65</v>
      </c>
      <c r="AB470"/>
    </row>
    <row r="471" spans="1:28" x14ac:dyDescent="0.25">
      <c r="A471" s="31" t="s">
        <v>803</v>
      </c>
      <c r="B471" s="31" t="s">
        <v>27</v>
      </c>
      <c r="C471" s="32" t="str">
        <f t="shared" si="46"/>
        <v>Roberto Santos</v>
      </c>
      <c r="D471" s="38" t="s">
        <v>454</v>
      </c>
      <c r="E471" s="33">
        <f t="shared" si="47"/>
        <v>45993</v>
      </c>
      <c r="F471" s="32" t="s">
        <v>39</v>
      </c>
      <c r="G471" s="32" t="str">
        <f t="shared" si="48"/>
        <v>Rodrigo Mello</v>
      </c>
      <c r="H471" s="32" t="s">
        <v>30</v>
      </c>
      <c r="I471" s="32" t="s">
        <v>31</v>
      </c>
      <c r="J471" s="34">
        <v>2</v>
      </c>
      <c r="K471" s="35">
        <v>2500</v>
      </c>
      <c r="L471" s="35">
        <v>359.67</v>
      </c>
      <c r="M471" s="36">
        <f t="shared" si="50"/>
        <v>4640.33</v>
      </c>
      <c r="N471" s="32" t="s">
        <v>32</v>
      </c>
      <c r="Q471" s="49" t="s">
        <v>803</v>
      </c>
      <c r="R471" s="49" t="s">
        <v>27</v>
      </c>
      <c r="S471" s="58">
        <f t="shared" si="49"/>
        <v>45993</v>
      </c>
      <c r="T471" s="51" t="s">
        <v>39</v>
      </c>
      <c r="U471" s="50" t="s">
        <v>30</v>
      </c>
      <c r="V471" s="52" t="s">
        <v>31</v>
      </c>
      <c r="W471" s="53">
        <v>2</v>
      </c>
      <c r="X471" s="54">
        <v>2500</v>
      </c>
      <c r="Y471" s="54">
        <v>359.67</v>
      </c>
      <c r="Z471" s="55">
        <f t="shared" si="51"/>
        <v>4640.33</v>
      </c>
      <c r="AA471" s="56" t="s">
        <v>32</v>
      </c>
      <c r="AB471"/>
    </row>
    <row r="472" spans="1:28" x14ac:dyDescent="0.25">
      <c r="A472" s="26" t="s">
        <v>804</v>
      </c>
      <c r="B472" s="26" t="s">
        <v>34</v>
      </c>
      <c r="C472" s="26" t="str">
        <f t="shared" si="46"/>
        <v>Carlos Silva</v>
      </c>
      <c r="D472" s="37" t="s">
        <v>805</v>
      </c>
      <c r="E472" s="27">
        <f t="shared" si="47"/>
        <v>45869</v>
      </c>
      <c r="F472" s="26" t="s">
        <v>22</v>
      </c>
      <c r="G472" s="26" t="str">
        <f t="shared" si="48"/>
        <v>Amanda Costa</v>
      </c>
      <c r="H472" s="26" t="s">
        <v>30</v>
      </c>
      <c r="I472" s="26" t="s">
        <v>152</v>
      </c>
      <c r="J472" s="28">
        <v>1</v>
      </c>
      <c r="K472" s="29">
        <v>4500</v>
      </c>
      <c r="L472" s="29">
        <v>0</v>
      </c>
      <c r="M472" s="30">
        <f t="shared" si="50"/>
        <v>4500</v>
      </c>
      <c r="N472" s="26" t="s">
        <v>65</v>
      </c>
      <c r="Q472" s="42" t="s">
        <v>804</v>
      </c>
      <c r="R472" s="42" t="s">
        <v>34</v>
      </c>
      <c r="S472" s="57">
        <f t="shared" si="49"/>
        <v>45869</v>
      </c>
      <c r="T472" s="44" t="s">
        <v>22</v>
      </c>
      <c r="U472" s="43" t="s">
        <v>30</v>
      </c>
      <c r="V472" s="42" t="s">
        <v>152</v>
      </c>
      <c r="W472" s="45">
        <v>1</v>
      </c>
      <c r="X472" s="46">
        <v>4500</v>
      </c>
      <c r="Y472" s="46">
        <v>0</v>
      </c>
      <c r="Z472" s="47">
        <f t="shared" si="51"/>
        <v>4500</v>
      </c>
      <c r="AA472" s="48" t="s">
        <v>65</v>
      </c>
      <c r="AB472"/>
    </row>
    <row r="473" spans="1:28" x14ac:dyDescent="0.25">
      <c r="A473" s="31" t="s">
        <v>806</v>
      </c>
      <c r="B473" s="31" t="s">
        <v>41</v>
      </c>
      <c r="C473" s="32" t="str">
        <f t="shared" si="46"/>
        <v>João Pereira</v>
      </c>
      <c r="D473" s="38" t="s">
        <v>618</v>
      </c>
      <c r="E473" s="33">
        <f t="shared" si="47"/>
        <v>45757</v>
      </c>
      <c r="F473" s="32" t="s">
        <v>15</v>
      </c>
      <c r="G473" s="32" t="str">
        <f t="shared" si="48"/>
        <v>Larissa Dias</v>
      </c>
      <c r="H473" s="32" t="s">
        <v>30</v>
      </c>
      <c r="I473" s="32" t="s">
        <v>68</v>
      </c>
      <c r="J473" s="34">
        <v>2</v>
      </c>
      <c r="K473" s="35">
        <v>799</v>
      </c>
      <c r="L473" s="35">
        <v>0</v>
      </c>
      <c r="M473" s="36">
        <f t="shared" si="50"/>
        <v>1598</v>
      </c>
      <c r="N473" s="32" t="s">
        <v>25</v>
      </c>
      <c r="Q473" s="49" t="s">
        <v>806</v>
      </c>
      <c r="R473" s="49" t="s">
        <v>41</v>
      </c>
      <c r="S473" s="58">
        <f t="shared" si="49"/>
        <v>45757</v>
      </c>
      <c r="T473" s="51" t="s">
        <v>15</v>
      </c>
      <c r="U473" s="50" t="s">
        <v>30</v>
      </c>
      <c r="V473" s="52" t="s">
        <v>68</v>
      </c>
      <c r="W473" s="53">
        <v>2</v>
      </c>
      <c r="X473" s="54">
        <v>799</v>
      </c>
      <c r="Y473" s="54">
        <v>0</v>
      </c>
      <c r="Z473" s="55">
        <f t="shared" si="51"/>
        <v>1598</v>
      </c>
      <c r="AA473" s="56" t="s">
        <v>25</v>
      </c>
      <c r="AB473"/>
    </row>
    <row r="474" spans="1:28" x14ac:dyDescent="0.25">
      <c r="A474" s="26" t="s">
        <v>807</v>
      </c>
      <c r="B474" s="26" t="s">
        <v>55</v>
      </c>
      <c r="C474" s="26" t="str">
        <f t="shared" si="46"/>
        <v>Ricardo Carvalho</v>
      </c>
      <c r="D474" s="37" t="s">
        <v>286</v>
      </c>
      <c r="E474" s="27">
        <f t="shared" si="47"/>
        <v>45712</v>
      </c>
      <c r="F474" s="26" t="s">
        <v>29</v>
      </c>
      <c r="G474" s="26" t="str">
        <f t="shared" si="48"/>
        <v>Camila Rocha</v>
      </c>
      <c r="H474" s="26" t="s">
        <v>16</v>
      </c>
      <c r="I474" s="26" t="s">
        <v>103</v>
      </c>
      <c r="J474" s="28">
        <v>1</v>
      </c>
      <c r="K474" s="29">
        <v>89</v>
      </c>
      <c r="L474" s="29">
        <v>5.23</v>
      </c>
      <c r="M474" s="30">
        <f t="shared" si="50"/>
        <v>83.77</v>
      </c>
      <c r="N474" s="26" t="s">
        <v>44</v>
      </c>
      <c r="Q474" s="42" t="s">
        <v>807</v>
      </c>
      <c r="R474" s="42" t="s">
        <v>55</v>
      </c>
      <c r="S474" s="57">
        <f t="shared" si="49"/>
        <v>45712</v>
      </c>
      <c r="T474" s="44" t="s">
        <v>29</v>
      </c>
      <c r="U474" s="43" t="s">
        <v>16</v>
      </c>
      <c r="V474" s="42" t="s">
        <v>103</v>
      </c>
      <c r="W474" s="45">
        <v>1</v>
      </c>
      <c r="X474" s="46">
        <v>89</v>
      </c>
      <c r="Y474" s="46">
        <v>5.23</v>
      </c>
      <c r="Z474" s="47">
        <f t="shared" si="51"/>
        <v>83.77</v>
      </c>
      <c r="AA474" s="48" t="s">
        <v>44</v>
      </c>
      <c r="AB474"/>
    </row>
    <row r="475" spans="1:28" x14ac:dyDescent="0.25">
      <c r="A475" s="31" t="s">
        <v>808</v>
      </c>
      <c r="B475" s="31" t="s">
        <v>34</v>
      </c>
      <c r="C475" s="32" t="str">
        <f t="shared" si="46"/>
        <v>Carlos Silva</v>
      </c>
      <c r="D475" s="38" t="s">
        <v>809</v>
      </c>
      <c r="E475" s="33">
        <f t="shared" si="47"/>
        <v>45994</v>
      </c>
      <c r="F475" s="32" t="s">
        <v>29</v>
      </c>
      <c r="G475" s="32" t="str">
        <f t="shared" si="48"/>
        <v>Camila Rocha</v>
      </c>
      <c r="H475" s="32" t="s">
        <v>30</v>
      </c>
      <c r="I475" s="32" t="s">
        <v>68</v>
      </c>
      <c r="J475" s="34">
        <v>5</v>
      </c>
      <c r="K475" s="35">
        <v>799</v>
      </c>
      <c r="L475" s="35">
        <v>0</v>
      </c>
      <c r="M475" s="36">
        <f t="shared" si="50"/>
        <v>3995</v>
      </c>
      <c r="N475" s="32" t="s">
        <v>49</v>
      </c>
      <c r="Q475" s="49" t="s">
        <v>808</v>
      </c>
      <c r="R475" s="49" t="s">
        <v>34</v>
      </c>
      <c r="S475" s="58">
        <f t="shared" si="49"/>
        <v>45994</v>
      </c>
      <c r="T475" s="51" t="s">
        <v>29</v>
      </c>
      <c r="U475" s="50" t="s">
        <v>30</v>
      </c>
      <c r="V475" s="52" t="s">
        <v>68</v>
      </c>
      <c r="W475" s="53">
        <v>5</v>
      </c>
      <c r="X475" s="54">
        <v>799</v>
      </c>
      <c r="Y475" s="54">
        <v>0</v>
      </c>
      <c r="Z475" s="55">
        <f t="shared" si="51"/>
        <v>3995</v>
      </c>
      <c r="AA475" s="56" t="s">
        <v>49</v>
      </c>
      <c r="AB475"/>
    </row>
    <row r="476" spans="1:28" x14ac:dyDescent="0.25">
      <c r="A476" s="26" t="s">
        <v>810</v>
      </c>
      <c r="B476" s="26" t="s">
        <v>55</v>
      </c>
      <c r="C476" s="26" t="str">
        <f t="shared" si="46"/>
        <v>Ricardo Carvalho</v>
      </c>
      <c r="D476" s="37" t="s">
        <v>72</v>
      </c>
      <c r="E476" s="27">
        <f t="shared" si="47"/>
        <v>45765</v>
      </c>
      <c r="F476" s="26" t="s">
        <v>39</v>
      </c>
      <c r="G476" s="26" t="str">
        <f t="shared" si="48"/>
        <v>Rodrigo Mello</v>
      </c>
      <c r="H476" s="26" t="s">
        <v>30</v>
      </c>
      <c r="I476" s="26" t="s">
        <v>31</v>
      </c>
      <c r="J476" s="28">
        <v>4</v>
      </c>
      <c r="K476" s="29">
        <v>2500</v>
      </c>
      <c r="L476" s="29">
        <v>162.63999999999999</v>
      </c>
      <c r="M476" s="30">
        <f t="shared" si="50"/>
        <v>9837.36</v>
      </c>
      <c r="N476" s="26" t="s">
        <v>89</v>
      </c>
      <c r="Q476" s="42" t="s">
        <v>810</v>
      </c>
      <c r="R476" s="42" t="s">
        <v>55</v>
      </c>
      <c r="S476" s="57">
        <f t="shared" si="49"/>
        <v>45765</v>
      </c>
      <c r="T476" s="44" t="s">
        <v>39</v>
      </c>
      <c r="U476" s="43" t="s">
        <v>30</v>
      </c>
      <c r="V476" s="42" t="s">
        <v>31</v>
      </c>
      <c r="W476" s="45">
        <v>4</v>
      </c>
      <c r="X476" s="46">
        <v>2500</v>
      </c>
      <c r="Y476" s="46">
        <v>162.63999999999999</v>
      </c>
      <c r="Z476" s="47">
        <f t="shared" si="51"/>
        <v>9837.36</v>
      </c>
      <c r="AA476" s="48" t="s">
        <v>89</v>
      </c>
      <c r="AB476"/>
    </row>
    <row r="477" spans="1:28" x14ac:dyDescent="0.25">
      <c r="A477" s="31" t="s">
        <v>811</v>
      </c>
      <c r="B477" s="31" t="s">
        <v>110</v>
      </c>
      <c r="C477" s="32" t="str">
        <f t="shared" si="46"/>
        <v>Fernanda Lima</v>
      </c>
      <c r="D477" s="38" t="s">
        <v>748</v>
      </c>
      <c r="E477" s="33">
        <f t="shared" si="47"/>
        <v>45900</v>
      </c>
      <c r="F477" s="32" t="s">
        <v>29</v>
      </c>
      <c r="G477" s="32" t="str">
        <f t="shared" si="48"/>
        <v>Camila Rocha</v>
      </c>
      <c r="H477" s="32" t="s">
        <v>52</v>
      </c>
      <c r="I477" s="32" t="s">
        <v>75</v>
      </c>
      <c r="J477" s="34">
        <v>4</v>
      </c>
      <c r="K477" s="35">
        <v>249</v>
      </c>
      <c r="L477" s="35">
        <v>96.84</v>
      </c>
      <c r="M477" s="36">
        <f t="shared" si="50"/>
        <v>899.16</v>
      </c>
      <c r="N477" s="32" t="s">
        <v>89</v>
      </c>
      <c r="Q477" s="49" t="s">
        <v>811</v>
      </c>
      <c r="R477" s="49" t="s">
        <v>110</v>
      </c>
      <c r="S477" s="58">
        <f t="shared" si="49"/>
        <v>45900</v>
      </c>
      <c r="T477" s="51" t="s">
        <v>29</v>
      </c>
      <c r="U477" s="50" t="s">
        <v>52</v>
      </c>
      <c r="V477" s="52" t="s">
        <v>75</v>
      </c>
      <c r="W477" s="53">
        <v>4</v>
      </c>
      <c r="X477" s="54">
        <v>249</v>
      </c>
      <c r="Y477" s="54">
        <v>96.84</v>
      </c>
      <c r="Z477" s="55">
        <f t="shared" si="51"/>
        <v>899.16</v>
      </c>
      <c r="AA477" s="56" t="s">
        <v>89</v>
      </c>
      <c r="AB477"/>
    </row>
    <row r="478" spans="1:28" x14ac:dyDescent="0.25">
      <c r="A478" s="26" t="s">
        <v>812</v>
      </c>
      <c r="B478" s="26" t="s">
        <v>71</v>
      </c>
      <c r="C478" s="26" t="str">
        <f t="shared" si="46"/>
        <v>Juliana Costa</v>
      </c>
      <c r="D478" s="37" t="s">
        <v>813</v>
      </c>
      <c r="E478" s="27">
        <f t="shared" si="47"/>
        <v>45660</v>
      </c>
      <c r="F478" s="26" t="s">
        <v>22</v>
      </c>
      <c r="G478" s="26" t="str">
        <f t="shared" si="48"/>
        <v>Amanda Costa</v>
      </c>
      <c r="H478" s="26" t="s">
        <v>16</v>
      </c>
      <c r="I478" s="26" t="s">
        <v>103</v>
      </c>
      <c r="J478" s="28">
        <v>1</v>
      </c>
      <c r="K478" s="29">
        <v>89</v>
      </c>
      <c r="L478" s="29">
        <v>2.2999999999999998</v>
      </c>
      <c r="M478" s="30">
        <f t="shared" si="50"/>
        <v>86.7</v>
      </c>
      <c r="N478" s="26" t="s">
        <v>32</v>
      </c>
      <c r="Q478" s="42" t="s">
        <v>812</v>
      </c>
      <c r="R478" s="42" t="s">
        <v>71</v>
      </c>
      <c r="S478" s="57">
        <f t="shared" si="49"/>
        <v>45660</v>
      </c>
      <c r="T478" s="44" t="s">
        <v>22</v>
      </c>
      <c r="U478" s="43" t="s">
        <v>16</v>
      </c>
      <c r="V478" s="42" t="s">
        <v>103</v>
      </c>
      <c r="W478" s="45">
        <v>1</v>
      </c>
      <c r="X478" s="46">
        <v>89</v>
      </c>
      <c r="Y478" s="46">
        <v>2.2999999999999998</v>
      </c>
      <c r="Z478" s="47">
        <f t="shared" si="51"/>
        <v>86.7</v>
      </c>
      <c r="AA478" s="48" t="s">
        <v>32</v>
      </c>
      <c r="AB478"/>
    </row>
    <row r="479" spans="1:28" x14ac:dyDescent="0.25">
      <c r="A479" s="31" t="s">
        <v>814</v>
      </c>
      <c r="B479" s="31" t="s">
        <v>20</v>
      </c>
      <c r="C479" s="32" t="str">
        <f t="shared" si="46"/>
        <v>Beatriz Ribeiro</v>
      </c>
      <c r="D479" s="38" t="s">
        <v>362</v>
      </c>
      <c r="E479" s="33">
        <f t="shared" si="47"/>
        <v>45980</v>
      </c>
      <c r="F479" s="32" t="s">
        <v>39</v>
      </c>
      <c r="G479" s="32" t="str">
        <f t="shared" si="48"/>
        <v>Rodrigo Mello</v>
      </c>
      <c r="H479" s="32" t="s">
        <v>23</v>
      </c>
      <c r="I479" s="32" t="s">
        <v>24</v>
      </c>
      <c r="J479" s="34">
        <v>2</v>
      </c>
      <c r="K479" s="35">
        <v>180</v>
      </c>
      <c r="L479" s="35">
        <v>0</v>
      </c>
      <c r="M479" s="36">
        <f t="shared" si="50"/>
        <v>360</v>
      </c>
      <c r="N479" s="32" t="s">
        <v>69</v>
      </c>
      <c r="Q479" s="49" t="s">
        <v>814</v>
      </c>
      <c r="R479" s="49" t="s">
        <v>20</v>
      </c>
      <c r="S479" s="58">
        <f t="shared" si="49"/>
        <v>45980</v>
      </c>
      <c r="T479" s="51" t="s">
        <v>39</v>
      </c>
      <c r="U479" s="50" t="s">
        <v>23</v>
      </c>
      <c r="V479" s="52" t="s">
        <v>24</v>
      </c>
      <c r="W479" s="53">
        <v>2</v>
      </c>
      <c r="X479" s="54">
        <v>180</v>
      </c>
      <c r="Y479" s="54">
        <v>0</v>
      </c>
      <c r="Z479" s="55">
        <f t="shared" si="51"/>
        <v>360</v>
      </c>
      <c r="AA479" s="56" t="s">
        <v>69</v>
      </c>
      <c r="AB479"/>
    </row>
    <row r="480" spans="1:28" x14ac:dyDescent="0.25">
      <c r="A480" s="26" t="s">
        <v>815</v>
      </c>
      <c r="B480" s="26" t="s">
        <v>34</v>
      </c>
      <c r="C480" s="26" t="str">
        <f t="shared" si="46"/>
        <v>Carlos Silva</v>
      </c>
      <c r="D480" s="37" t="s">
        <v>708</v>
      </c>
      <c r="E480" s="27">
        <f t="shared" si="47"/>
        <v>45977</v>
      </c>
      <c r="F480" s="26" t="s">
        <v>29</v>
      </c>
      <c r="G480" s="26" t="str">
        <f t="shared" si="48"/>
        <v>Camila Rocha</v>
      </c>
      <c r="H480" s="26" t="s">
        <v>52</v>
      </c>
      <c r="I480" s="26" t="s">
        <v>99</v>
      </c>
      <c r="J480" s="28">
        <v>5</v>
      </c>
      <c r="K480" s="29">
        <v>79</v>
      </c>
      <c r="L480" s="29">
        <v>31.72</v>
      </c>
      <c r="M480" s="30">
        <f t="shared" si="50"/>
        <v>363.28</v>
      </c>
      <c r="N480" s="26" t="s">
        <v>25</v>
      </c>
      <c r="Q480" s="42" t="s">
        <v>815</v>
      </c>
      <c r="R480" s="42" t="s">
        <v>34</v>
      </c>
      <c r="S480" s="57">
        <f t="shared" si="49"/>
        <v>45977</v>
      </c>
      <c r="T480" s="44" t="s">
        <v>29</v>
      </c>
      <c r="U480" s="43" t="s">
        <v>52</v>
      </c>
      <c r="V480" s="42" t="s">
        <v>99</v>
      </c>
      <c r="W480" s="45">
        <v>5</v>
      </c>
      <c r="X480" s="46">
        <v>79</v>
      </c>
      <c r="Y480" s="46">
        <v>31.72</v>
      </c>
      <c r="Z480" s="47">
        <f t="shared" si="51"/>
        <v>363.28</v>
      </c>
      <c r="AA480" s="48" t="s">
        <v>25</v>
      </c>
      <c r="AB480"/>
    </row>
    <row r="481" spans="1:28" x14ac:dyDescent="0.25">
      <c r="A481" s="31" t="s">
        <v>816</v>
      </c>
      <c r="B481" s="31" t="s">
        <v>41</v>
      </c>
      <c r="C481" s="32" t="str">
        <f t="shared" si="46"/>
        <v>João Pereira</v>
      </c>
      <c r="D481" s="38" t="s">
        <v>433</v>
      </c>
      <c r="E481" s="33">
        <f t="shared" si="47"/>
        <v>45738</v>
      </c>
      <c r="F481" s="32" t="s">
        <v>15</v>
      </c>
      <c r="G481" s="32" t="str">
        <f t="shared" si="48"/>
        <v>Larissa Dias</v>
      </c>
      <c r="H481" s="32" t="s">
        <v>30</v>
      </c>
      <c r="I481" s="32" t="s">
        <v>68</v>
      </c>
      <c r="J481" s="34">
        <v>5</v>
      </c>
      <c r="K481" s="35">
        <v>799</v>
      </c>
      <c r="L481" s="35">
        <v>0</v>
      </c>
      <c r="M481" s="36">
        <f t="shared" si="50"/>
        <v>3995</v>
      </c>
      <c r="N481" s="32" t="s">
        <v>44</v>
      </c>
      <c r="Q481" s="49" t="s">
        <v>816</v>
      </c>
      <c r="R481" s="49" t="s">
        <v>41</v>
      </c>
      <c r="S481" s="58">
        <f t="shared" si="49"/>
        <v>45738</v>
      </c>
      <c r="T481" s="51" t="s">
        <v>15</v>
      </c>
      <c r="U481" s="50" t="s">
        <v>30</v>
      </c>
      <c r="V481" s="52" t="s">
        <v>68</v>
      </c>
      <c r="W481" s="53">
        <v>5</v>
      </c>
      <c r="X481" s="54">
        <v>799</v>
      </c>
      <c r="Y481" s="54">
        <v>0</v>
      </c>
      <c r="Z481" s="55">
        <f t="shared" si="51"/>
        <v>3995</v>
      </c>
      <c r="AA481" s="56" t="s">
        <v>44</v>
      </c>
      <c r="AB481"/>
    </row>
    <row r="482" spans="1:28" x14ac:dyDescent="0.25">
      <c r="A482" s="26" t="s">
        <v>817</v>
      </c>
      <c r="B482" s="26" t="s">
        <v>55</v>
      </c>
      <c r="C482" s="26" t="str">
        <f t="shared" si="46"/>
        <v>Ricardo Carvalho</v>
      </c>
      <c r="D482" s="37" t="s">
        <v>539</v>
      </c>
      <c r="E482" s="27">
        <f t="shared" si="47"/>
        <v>46011</v>
      </c>
      <c r="F482" s="26" t="s">
        <v>15</v>
      </c>
      <c r="G482" s="26" t="str">
        <f t="shared" si="48"/>
        <v>Larissa Dias</v>
      </c>
      <c r="H482" s="26" t="s">
        <v>16</v>
      </c>
      <c r="I482" s="26" t="s">
        <v>17</v>
      </c>
      <c r="J482" s="28">
        <v>3</v>
      </c>
      <c r="K482" s="29">
        <v>39</v>
      </c>
      <c r="L482" s="29">
        <v>0</v>
      </c>
      <c r="M482" s="30">
        <f t="shared" si="50"/>
        <v>117</v>
      </c>
      <c r="N482" s="26" t="s">
        <v>69</v>
      </c>
      <c r="Q482" s="42" t="s">
        <v>817</v>
      </c>
      <c r="R482" s="42" t="s">
        <v>55</v>
      </c>
      <c r="S482" s="57">
        <f t="shared" si="49"/>
        <v>46011</v>
      </c>
      <c r="T482" s="44" t="s">
        <v>15</v>
      </c>
      <c r="U482" s="43" t="s">
        <v>16</v>
      </c>
      <c r="V482" s="42" t="s">
        <v>17</v>
      </c>
      <c r="W482" s="45">
        <v>3</v>
      </c>
      <c r="X482" s="46">
        <v>39</v>
      </c>
      <c r="Y482" s="46">
        <v>0</v>
      </c>
      <c r="Z482" s="47">
        <f t="shared" si="51"/>
        <v>117</v>
      </c>
      <c r="AA482" s="48" t="s">
        <v>69</v>
      </c>
      <c r="AB482"/>
    </row>
    <row r="483" spans="1:28" x14ac:dyDescent="0.25">
      <c r="A483" s="31" t="s">
        <v>818</v>
      </c>
      <c r="B483" s="31" t="s">
        <v>277</v>
      </c>
      <c r="C483" s="32" t="str">
        <f t="shared" si="46"/>
        <v>Carlos Silva</v>
      </c>
      <c r="D483" s="38" t="s">
        <v>652</v>
      </c>
      <c r="E483" s="33">
        <f t="shared" si="47"/>
        <v>45935</v>
      </c>
      <c r="F483" s="32" t="s">
        <v>15</v>
      </c>
      <c r="G483" s="32" t="str">
        <f t="shared" si="48"/>
        <v>Larissa Dias</v>
      </c>
      <c r="H483" s="32" t="s">
        <v>30</v>
      </c>
      <c r="I483" s="32" t="s">
        <v>31</v>
      </c>
      <c r="J483" s="34">
        <v>5</v>
      </c>
      <c r="K483" s="35">
        <v>2500</v>
      </c>
      <c r="L483" s="35">
        <v>983.87</v>
      </c>
      <c r="M483" s="36">
        <f t="shared" si="50"/>
        <v>11516.13</v>
      </c>
      <c r="N483" s="32" t="s">
        <v>25</v>
      </c>
      <c r="Q483" s="49" t="s">
        <v>818</v>
      </c>
      <c r="R483" s="49" t="s">
        <v>34</v>
      </c>
      <c r="S483" s="58">
        <f t="shared" si="49"/>
        <v>45935</v>
      </c>
      <c r="T483" s="51" t="s">
        <v>15</v>
      </c>
      <c r="U483" s="50" t="s">
        <v>30</v>
      </c>
      <c r="V483" s="52" t="s">
        <v>31</v>
      </c>
      <c r="W483" s="53">
        <v>5</v>
      </c>
      <c r="X483" s="54">
        <v>2500</v>
      </c>
      <c r="Y483" s="54">
        <v>983.87</v>
      </c>
      <c r="Z483" s="55">
        <f t="shared" si="51"/>
        <v>11516.13</v>
      </c>
      <c r="AA483" s="56" t="s">
        <v>25</v>
      </c>
      <c r="AB483"/>
    </row>
    <row r="484" spans="1:28" x14ac:dyDescent="0.25">
      <c r="A484" s="26" t="s">
        <v>819</v>
      </c>
      <c r="B484" s="26" t="s">
        <v>1689</v>
      </c>
      <c r="C484" s="26" t="str">
        <f t="shared" si="46"/>
        <v>Sem Dados</v>
      </c>
      <c r="D484" s="37" t="s">
        <v>469</v>
      </c>
      <c r="E484" s="27">
        <f t="shared" si="47"/>
        <v>46057</v>
      </c>
      <c r="F484" s="26" t="s">
        <v>39</v>
      </c>
      <c r="G484" s="26" t="str">
        <f t="shared" si="48"/>
        <v>Rodrigo Mello</v>
      </c>
      <c r="H484" s="26" t="s">
        <v>52</v>
      </c>
      <c r="I484" s="26" t="s">
        <v>53</v>
      </c>
      <c r="J484" s="28">
        <v>1</v>
      </c>
      <c r="K484" s="29">
        <v>149</v>
      </c>
      <c r="L484" s="29">
        <v>16.32</v>
      </c>
      <c r="M484" s="30">
        <f t="shared" si="50"/>
        <v>132.68</v>
      </c>
      <c r="N484" s="26" t="s">
        <v>44</v>
      </c>
      <c r="Q484" s="42" t="s">
        <v>819</v>
      </c>
      <c r="R484" s="42" t="s">
        <v>1689</v>
      </c>
      <c r="S484" s="57">
        <f t="shared" si="49"/>
        <v>46057</v>
      </c>
      <c r="T484" s="44" t="s">
        <v>39</v>
      </c>
      <c r="U484" s="43" t="s">
        <v>52</v>
      </c>
      <c r="V484" s="42" t="s">
        <v>53</v>
      </c>
      <c r="W484" s="45">
        <v>1</v>
      </c>
      <c r="X484" s="46">
        <v>149</v>
      </c>
      <c r="Y484" s="46">
        <v>16.32</v>
      </c>
      <c r="Z484" s="47">
        <f t="shared" si="51"/>
        <v>132.68</v>
      </c>
      <c r="AA484" s="48" t="s">
        <v>44</v>
      </c>
      <c r="AB484"/>
    </row>
    <row r="485" spans="1:28" x14ac:dyDescent="0.25">
      <c r="A485" s="31" t="s">
        <v>820</v>
      </c>
      <c r="B485" s="31" t="s">
        <v>95</v>
      </c>
      <c r="C485" s="32" t="str">
        <f t="shared" si="46"/>
        <v>Maria Oliveira</v>
      </c>
      <c r="D485" s="38" t="s">
        <v>591</v>
      </c>
      <c r="E485" s="33">
        <f t="shared" si="47"/>
        <v>45947</v>
      </c>
      <c r="F485" s="32" t="s">
        <v>22</v>
      </c>
      <c r="G485" s="32" t="str">
        <f t="shared" si="48"/>
        <v>Amanda Costa</v>
      </c>
      <c r="H485" s="32" t="s">
        <v>30</v>
      </c>
      <c r="I485" s="32" t="s">
        <v>31</v>
      </c>
      <c r="J485" s="34">
        <v>4</v>
      </c>
      <c r="K485" s="35">
        <v>2500</v>
      </c>
      <c r="L485" s="35">
        <v>0</v>
      </c>
      <c r="M485" s="36">
        <f t="shared" si="50"/>
        <v>10000</v>
      </c>
      <c r="N485" s="32" t="s">
        <v>44</v>
      </c>
      <c r="Q485" s="49" t="s">
        <v>820</v>
      </c>
      <c r="R485" s="49" t="s">
        <v>95</v>
      </c>
      <c r="S485" s="58">
        <f t="shared" si="49"/>
        <v>45947</v>
      </c>
      <c r="T485" s="51" t="s">
        <v>22</v>
      </c>
      <c r="U485" s="50" t="s">
        <v>30</v>
      </c>
      <c r="V485" s="52" t="s">
        <v>31</v>
      </c>
      <c r="W485" s="53">
        <v>4</v>
      </c>
      <c r="X485" s="54">
        <v>2500</v>
      </c>
      <c r="Y485" s="54">
        <v>0</v>
      </c>
      <c r="Z485" s="55">
        <f t="shared" si="51"/>
        <v>10000</v>
      </c>
      <c r="AA485" s="56" t="s">
        <v>44</v>
      </c>
      <c r="AB485"/>
    </row>
    <row r="486" spans="1:28" x14ac:dyDescent="0.25">
      <c r="A486" s="26" t="s">
        <v>821</v>
      </c>
      <c r="B486" s="26" t="s">
        <v>41</v>
      </c>
      <c r="C486" s="26" t="str">
        <f t="shared" si="46"/>
        <v>João Pereira</v>
      </c>
      <c r="D486" s="37" t="s">
        <v>579</v>
      </c>
      <c r="E486" s="27">
        <f t="shared" si="47"/>
        <v>45909</v>
      </c>
      <c r="F486" s="26" t="s">
        <v>29</v>
      </c>
      <c r="G486" s="26" t="str">
        <f t="shared" si="48"/>
        <v>Camila Rocha</v>
      </c>
      <c r="H486" s="26" t="s">
        <v>23</v>
      </c>
      <c r="I486" s="26" t="s">
        <v>88</v>
      </c>
      <c r="J486" s="28">
        <v>2</v>
      </c>
      <c r="K486" s="29">
        <v>650</v>
      </c>
      <c r="L486" s="29">
        <v>56.56</v>
      </c>
      <c r="M486" s="30">
        <f t="shared" si="50"/>
        <v>1243.44</v>
      </c>
      <c r="N486" s="26" t="s">
        <v>25</v>
      </c>
      <c r="Q486" s="42" t="s">
        <v>821</v>
      </c>
      <c r="R486" s="42" t="s">
        <v>41</v>
      </c>
      <c r="S486" s="57">
        <f t="shared" si="49"/>
        <v>45909</v>
      </c>
      <c r="T486" s="44" t="s">
        <v>29</v>
      </c>
      <c r="U486" s="43" t="s">
        <v>23</v>
      </c>
      <c r="V486" s="42" t="s">
        <v>88</v>
      </c>
      <c r="W486" s="45">
        <v>2</v>
      </c>
      <c r="X486" s="46">
        <v>650</v>
      </c>
      <c r="Y486" s="46">
        <v>56.56</v>
      </c>
      <c r="Z486" s="47">
        <f t="shared" si="51"/>
        <v>1243.44</v>
      </c>
      <c r="AA486" s="48" t="s">
        <v>25</v>
      </c>
      <c r="AB486"/>
    </row>
    <row r="487" spans="1:28" x14ac:dyDescent="0.25">
      <c r="A487" s="31" t="s">
        <v>822</v>
      </c>
      <c r="B487" s="31" t="s">
        <v>27</v>
      </c>
      <c r="C487" s="32" t="str">
        <f t="shared" si="46"/>
        <v>Roberto Santos</v>
      </c>
      <c r="D487" s="38" t="s">
        <v>85</v>
      </c>
      <c r="E487" s="33">
        <f t="shared" si="47"/>
        <v>45715</v>
      </c>
      <c r="F487" s="32" t="s">
        <v>29</v>
      </c>
      <c r="G487" s="32" t="str">
        <f t="shared" si="48"/>
        <v>Camila Rocha</v>
      </c>
      <c r="H487" s="32" t="s">
        <v>30</v>
      </c>
      <c r="I487" s="32" t="s">
        <v>31</v>
      </c>
      <c r="J487" s="34">
        <v>1</v>
      </c>
      <c r="K487" s="35">
        <v>2500</v>
      </c>
      <c r="L487" s="35">
        <v>0</v>
      </c>
      <c r="M487" s="36">
        <f t="shared" si="50"/>
        <v>2500</v>
      </c>
      <c r="N487" s="32" t="s">
        <v>89</v>
      </c>
      <c r="Q487" s="49" t="s">
        <v>822</v>
      </c>
      <c r="R487" s="49" t="s">
        <v>27</v>
      </c>
      <c r="S487" s="58">
        <f t="shared" si="49"/>
        <v>45715</v>
      </c>
      <c r="T487" s="51" t="s">
        <v>29</v>
      </c>
      <c r="U487" s="50" t="s">
        <v>30</v>
      </c>
      <c r="V487" s="52" t="s">
        <v>31</v>
      </c>
      <c r="W487" s="53">
        <v>1</v>
      </c>
      <c r="X487" s="54">
        <v>2500</v>
      </c>
      <c r="Y487" s="54">
        <v>0</v>
      </c>
      <c r="Z487" s="55">
        <f t="shared" si="51"/>
        <v>2500</v>
      </c>
      <c r="AA487" s="56" t="s">
        <v>89</v>
      </c>
      <c r="AB487"/>
    </row>
    <row r="488" spans="1:28" x14ac:dyDescent="0.25">
      <c r="A488" s="26" t="s">
        <v>823</v>
      </c>
      <c r="B488" s="26" t="s">
        <v>55</v>
      </c>
      <c r="C488" s="26" t="str">
        <f t="shared" si="46"/>
        <v>Ricardo Carvalho</v>
      </c>
      <c r="D488" s="37" t="s">
        <v>537</v>
      </c>
      <c r="E488" s="27">
        <f t="shared" si="47"/>
        <v>45924</v>
      </c>
      <c r="F488" s="26" t="s">
        <v>47</v>
      </c>
      <c r="G488" s="26" t="str">
        <f t="shared" si="48"/>
        <v>Bruno Martins</v>
      </c>
      <c r="H488" s="26" t="s">
        <v>16</v>
      </c>
      <c r="I488" s="26" t="s">
        <v>78</v>
      </c>
      <c r="J488" s="28">
        <v>4</v>
      </c>
      <c r="K488" s="29">
        <v>59</v>
      </c>
      <c r="L488" s="29">
        <v>34.89</v>
      </c>
      <c r="M488" s="30">
        <f t="shared" si="50"/>
        <v>201.11</v>
      </c>
      <c r="N488" s="26" t="s">
        <v>89</v>
      </c>
      <c r="Q488" s="42" t="s">
        <v>823</v>
      </c>
      <c r="R488" s="42" t="s">
        <v>55</v>
      </c>
      <c r="S488" s="57">
        <f t="shared" si="49"/>
        <v>45924</v>
      </c>
      <c r="T488" s="44" t="s">
        <v>47</v>
      </c>
      <c r="U488" s="43" t="s">
        <v>16</v>
      </c>
      <c r="V488" s="42" t="s">
        <v>78</v>
      </c>
      <c r="W488" s="45">
        <v>4</v>
      </c>
      <c r="X488" s="46">
        <v>59</v>
      </c>
      <c r="Y488" s="46">
        <v>34.89</v>
      </c>
      <c r="Z488" s="47">
        <f t="shared" si="51"/>
        <v>201.11</v>
      </c>
      <c r="AA488" s="48" t="s">
        <v>89</v>
      </c>
      <c r="AB488"/>
    </row>
    <row r="489" spans="1:28" x14ac:dyDescent="0.25">
      <c r="A489" s="31" t="s">
        <v>824</v>
      </c>
      <c r="B489" s="31" t="s">
        <v>37</v>
      </c>
      <c r="C489" s="32" t="str">
        <f t="shared" si="46"/>
        <v>Patricia Gomes</v>
      </c>
      <c r="D489" s="38" t="s">
        <v>825</v>
      </c>
      <c r="E489" s="33">
        <f t="shared" si="47"/>
        <v>45968</v>
      </c>
      <c r="F489" s="32" t="s">
        <v>47</v>
      </c>
      <c r="G489" s="32" t="str">
        <f t="shared" si="48"/>
        <v>Bruno Martins</v>
      </c>
      <c r="H489" s="32" t="s">
        <v>52</v>
      </c>
      <c r="I489" s="32" t="s">
        <v>99</v>
      </c>
      <c r="J489" s="34">
        <v>4</v>
      </c>
      <c r="K489" s="35">
        <v>79</v>
      </c>
      <c r="L489" s="35">
        <v>27.24</v>
      </c>
      <c r="M489" s="36">
        <f t="shared" si="50"/>
        <v>288.76</v>
      </c>
      <c r="N489" s="32" t="s">
        <v>49</v>
      </c>
      <c r="Q489" s="49" t="s">
        <v>824</v>
      </c>
      <c r="R489" s="49" t="s">
        <v>37</v>
      </c>
      <c r="S489" s="58">
        <f t="shared" si="49"/>
        <v>45968</v>
      </c>
      <c r="T489" s="51" t="s">
        <v>47</v>
      </c>
      <c r="U489" s="50" t="s">
        <v>52</v>
      </c>
      <c r="V489" s="52" t="s">
        <v>99</v>
      </c>
      <c r="W489" s="53">
        <v>4</v>
      </c>
      <c r="X489" s="54">
        <v>79</v>
      </c>
      <c r="Y489" s="54">
        <v>27.24</v>
      </c>
      <c r="Z489" s="55">
        <f t="shared" si="51"/>
        <v>288.76</v>
      </c>
      <c r="AA489" s="56" t="s">
        <v>49</v>
      </c>
      <c r="AB489"/>
    </row>
    <row r="490" spans="1:28" x14ac:dyDescent="0.25">
      <c r="A490" s="26" t="s">
        <v>826</v>
      </c>
      <c r="B490" s="26" t="s">
        <v>37</v>
      </c>
      <c r="C490" s="26" t="str">
        <f t="shared" si="46"/>
        <v>Patricia Gomes</v>
      </c>
      <c r="D490" s="37" t="s">
        <v>198</v>
      </c>
      <c r="E490" s="27">
        <f t="shared" si="47"/>
        <v>45702</v>
      </c>
      <c r="F490" s="26" t="s">
        <v>47</v>
      </c>
      <c r="G490" s="26" t="str">
        <f t="shared" si="48"/>
        <v>Bruno Martins</v>
      </c>
      <c r="H490" s="26" t="s">
        <v>30</v>
      </c>
      <c r="I490" s="26" t="s">
        <v>31</v>
      </c>
      <c r="J490" s="28">
        <v>5</v>
      </c>
      <c r="K490" s="29">
        <v>2500</v>
      </c>
      <c r="L490" s="29">
        <v>0</v>
      </c>
      <c r="M490" s="30">
        <f t="shared" si="50"/>
        <v>12500</v>
      </c>
      <c r="N490" s="26" t="s">
        <v>69</v>
      </c>
      <c r="Q490" s="42" t="s">
        <v>826</v>
      </c>
      <c r="R490" s="42" t="s">
        <v>37</v>
      </c>
      <c r="S490" s="57">
        <f t="shared" si="49"/>
        <v>45702</v>
      </c>
      <c r="T490" s="44" t="s">
        <v>47</v>
      </c>
      <c r="U490" s="43" t="s">
        <v>30</v>
      </c>
      <c r="V490" s="42" t="s">
        <v>31</v>
      </c>
      <c r="W490" s="45">
        <v>5</v>
      </c>
      <c r="X490" s="46">
        <v>2500</v>
      </c>
      <c r="Y490" s="46">
        <v>0</v>
      </c>
      <c r="Z490" s="47">
        <f t="shared" si="51"/>
        <v>12500</v>
      </c>
      <c r="AA490" s="48" t="s">
        <v>69</v>
      </c>
      <c r="AB490"/>
    </row>
    <row r="491" spans="1:28" x14ac:dyDescent="0.25">
      <c r="A491" s="31" t="s">
        <v>827</v>
      </c>
      <c r="B491" s="31" t="s">
        <v>13</v>
      </c>
      <c r="C491" s="32" t="str">
        <f t="shared" si="46"/>
        <v>Lucas Almeida</v>
      </c>
      <c r="D491" s="38" t="s">
        <v>828</v>
      </c>
      <c r="E491" s="33">
        <f t="shared" si="47"/>
        <v>45878</v>
      </c>
      <c r="F491" s="32" t="s">
        <v>15</v>
      </c>
      <c r="G491" s="32" t="str">
        <f t="shared" si="48"/>
        <v>Larissa Dias</v>
      </c>
      <c r="H491" s="32" t="s">
        <v>23</v>
      </c>
      <c r="I491" s="32" t="s">
        <v>24</v>
      </c>
      <c r="J491" s="34">
        <v>5</v>
      </c>
      <c r="K491" s="35">
        <v>180</v>
      </c>
      <c r="L491" s="35">
        <v>0</v>
      </c>
      <c r="M491" s="36">
        <f t="shared" si="50"/>
        <v>900</v>
      </c>
      <c r="N491" s="32" t="s">
        <v>49</v>
      </c>
      <c r="Q491" s="49" t="s">
        <v>827</v>
      </c>
      <c r="R491" s="49" t="s">
        <v>13</v>
      </c>
      <c r="S491" s="58">
        <f t="shared" si="49"/>
        <v>45878</v>
      </c>
      <c r="T491" s="51" t="s">
        <v>15</v>
      </c>
      <c r="U491" s="50" t="s">
        <v>23</v>
      </c>
      <c r="V491" s="52" t="s">
        <v>24</v>
      </c>
      <c r="W491" s="53">
        <v>5</v>
      </c>
      <c r="X491" s="54">
        <v>180</v>
      </c>
      <c r="Y491" s="54">
        <v>0</v>
      </c>
      <c r="Z491" s="55">
        <f t="shared" si="51"/>
        <v>900</v>
      </c>
      <c r="AA491" s="56" t="s">
        <v>49</v>
      </c>
      <c r="AB491"/>
    </row>
    <row r="492" spans="1:28" x14ac:dyDescent="0.25">
      <c r="A492" s="26" t="s">
        <v>829</v>
      </c>
      <c r="B492" s="26" t="s">
        <v>71</v>
      </c>
      <c r="C492" s="26" t="str">
        <f t="shared" si="46"/>
        <v>Juliana Costa</v>
      </c>
      <c r="D492" s="37" t="s">
        <v>364</v>
      </c>
      <c r="E492" s="27">
        <f t="shared" si="47"/>
        <v>45838</v>
      </c>
      <c r="F492" s="26" t="s">
        <v>47</v>
      </c>
      <c r="G492" s="26" t="str">
        <f t="shared" si="48"/>
        <v>Bruno Martins</v>
      </c>
      <c r="H492" s="26" t="s">
        <v>16</v>
      </c>
      <c r="I492" s="26" t="s">
        <v>17</v>
      </c>
      <c r="J492" s="28">
        <v>1</v>
      </c>
      <c r="K492" s="29">
        <v>39</v>
      </c>
      <c r="L492" s="29">
        <v>0</v>
      </c>
      <c r="M492" s="30">
        <f t="shared" si="50"/>
        <v>39</v>
      </c>
      <c r="N492" s="26" t="s">
        <v>44</v>
      </c>
      <c r="Q492" s="42" t="s">
        <v>829</v>
      </c>
      <c r="R492" s="42" t="s">
        <v>71</v>
      </c>
      <c r="S492" s="57">
        <f t="shared" si="49"/>
        <v>45838</v>
      </c>
      <c r="T492" s="44" t="s">
        <v>47</v>
      </c>
      <c r="U492" s="43" t="s">
        <v>16</v>
      </c>
      <c r="V492" s="42" t="s">
        <v>17</v>
      </c>
      <c r="W492" s="45">
        <v>1</v>
      </c>
      <c r="X492" s="46">
        <v>39</v>
      </c>
      <c r="Y492" s="46">
        <v>0</v>
      </c>
      <c r="Z492" s="47">
        <f t="shared" si="51"/>
        <v>39</v>
      </c>
      <c r="AA492" s="48" t="s">
        <v>44</v>
      </c>
      <c r="AB492"/>
    </row>
    <row r="493" spans="1:28" x14ac:dyDescent="0.25">
      <c r="A493" s="31" t="s">
        <v>830</v>
      </c>
      <c r="B493" s="31" t="s">
        <v>37</v>
      </c>
      <c r="C493" s="32" t="str">
        <f t="shared" si="46"/>
        <v>Patricia Gomes</v>
      </c>
      <c r="D493" s="38" t="s">
        <v>516</v>
      </c>
      <c r="E493" s="33">
        <f t="shared" si="47"/>
        <v>45706</v>
      </c>
      <c r="F493" s="32" t="s">
        <v>47</v>
      </c>
      <c r="G493" s="32" t="str">
        <f t="shared" si="48"/>
        <v>Bruno Martins</v>
      </c>
      <c r="H493" s="32" t="s">
        <v>16</v>
      </c>
      <c r="I493" s="32" t="s">
        <v>78</v>
      </c>
      <c r="J493" s="34">
        <v>2</v>
      </c>
      <c r="K493" s="35">
        <v>59</v>
      </c>
      <c r="L493" s="35">
        <v>0</v>
      </c>
      <c r="M493" s="36">
        <f t="shared" si="50"/>
        <v>118</v>
      </c>
      <c r="N493" s="32" t="s">
        <v>49</v>
      </c>
      <c r="Q493" s="49" t="s">
        <v>830</v>
      </c>
      <c r="R493" s="49" t="s">
        <v>37</v>
      </c>
      <c r="S493" s="58">
        <f t="shared" si="49"/>
        <v>45706</v>
      </c>
      <c r="T493" s="51" t="s">
        <v>47</v>
      </c>
      <c r="U493" s="50" t="s">
        <v>16</v>
      </c>
      <c r="V493" s="52" t="s">
        <v>78</v>
      </c>
      <c r="W493" s="53">
        <v>2</v>
      </c>
      <c r="X493" s="54">
        <v>59</v>
      </c>
      <c r="Y493" s="54">
        <v>0</v>
      </c>
      <c r="Z493" s="55">
        <f t="shared" si="51"/>
        <v>118</v>
      </c>
      <c r="AA493" s="56" t="s">
        <v>49</v>
      </c>
      <c r="AB493"/>
    </row>
    <row r="494" spans="1:28" x14ac:dyDescent="0.25">
      <c r="A494" s="26" t="s">
        <v>831</v>
      </c>
      <c r="B494" s="26" t="s">
        <v>37</v>
      </c>
      <c r="C494" s="26" t="str">
        <f t="shared" si="46"/>
        <v>Patricia Gomes</v>
      </c>
      <c r="D494" s="37" t="s">
        <v>832</v>
      </c>
      <c r="E494" s="27">
        <f t="shared" si="47"/>
        <v>45971</v>
      </c>
      <c r="F494" s="26" t="s">
        <v>39</v>
      </c>
      <c r="G494" s="26" t="str">
        <f t="shared" si="48"/>
        <v>Rodrigo Mello</v>
      </c>
      <c r="H494" s="26" t="s">
        <v>30</v>
      </c>
      <c r="I494" s="26" t="s">
        <v>152</v>
      </c>
      <c r="J494" s="28">
        <v>2</v>
      </c>
      <c r="K494" s="29">
        <v>4500</v>
      </c>
      <c r="L494" s="29">
        <v>470.76</v>
      </c>
      <c r="M494" s="30">
        <f t="shared" si="50"/>
        <v>8529.24</v>
      </c>
      <c r="N494" s="26" t="s">
        <v>49</v>
      </c>
      <c r="Q494" s="42" t="s">
        <v>831</v>
      </c>
      <c r="R494" s="42" t="s">
        <v>37</v>
      </c>
      <c r="S494" s="57">
        <f t="shared" si="49"/>
        <v>45971</v>
      </c>
      <c r="T494" s="44" t="s">
        <v>39</v>
      </c>
      <c r="U494" s="43" t="s">
        <v>30</v>
      </c>
      <c r="V494" s="42" t="s">
        <v>152</v>
      </c>
      <c r="W494" s="45">
        <v>2</v>
      </c>
      <c r="X494" s="46">
        <v>4500</v>
      </c>
      <c r="Y494" s="46">
        <v>470.76</v>
      </c>
      <c r="Z494" s="47">
        <f t="shared" si="51"/>
        <v>8529.24</v>
      </c>
      <c r="AA494" s="48" t="s">
        <v>49</v>
      </c>
      <c r="AB494"/>
    </row>
    <row r="495" spans="1:28" x14ac:dyDescent="0.25">
      <c r="A495" s="31" t="s">
        <v>833</v>
      </c>
      <c r="B495" s="31" t="s">
        <v>95</v>
      </c>
      <c r="C495" s="32" t="str">
        <f t="shared" si="46"/>
        <v>Maria Oliveira</v>
      </c>
      <c r="D495" s="38" t="s">
        <v>634</v>
      </c>
      <c r="E495" s="33">
        <f t="shared" si="47"/>
        <v>46009</v>
      </c>
      <c r="F495" s="32" t="s">
        <v>39</v>
      </c>
      <c r="G495" s="32" t="str">
        <f t="shared" si="48"/>
        <v>Rodrigo Mello</v>
      </c>
      <c r="H495" s="32" t="s">
        <v>23</v>
      </c>
      <c r="I495" s="32" t="s">
        <v>24</v>
      </c>
      <c r="J495" s="34">
        <v>4</v>
      </c>
      <c r="K495" s="35">
        <v>180</v>
      </c>
      <c r="L495" s="35">
        <v>0</v>
      </c>
      <c r="M495" s="36">
        <f t="shared" si="50"/>
        <v>720</v>
      </c>
      <c r="N495" s="32" t="s">
        <v>49</v>
      </c>
      <c r="Q495" s="49" t="s">
        <v>833</v>
      </c>
      <c r="R495" s="49" t="s">
        <v>95</v>
      </c>
      <c r="S495" s="58">
        <f t="shared" si="49"/>
        <v>46009</v>
      </c>
      <c r="T495" s="51" t="s">
        <v>39</v>
      </c>
      <c r="U495" s="50" t="s">
        <v>23</v>
      </c>
      <c r="V495" s="52" t="s">
        <v>24</v>
      </c>
      <c r="W495" s="53">
        <v>4</v>
      </c>
      <c r="X495" s="54">
        <v>180</v>
      </c>
      <c r="Y495" s="54">
        <v>0</v>
      </c>
      <c r="Z495" s="55">
        <f t="shared" si="51"/>
        <v>720</v>
      </c>
      <c r="AA495" s="56" t="s">
        <v>49</v>
      </c>
      <c r="AB495"/>
    </row>
    <row r="496" spans="1:28" x14ac:dyDescent="0.25">
      <c r="A496" s="26" t="s">
        <v>834</v>
      </c>
      <c r="B496" s="26" t="s">
        <v>27</v>
      </c>
      <c r="C496" s="26" t="str">
        <f t="shared" si="46"/>
        <v>Roberto Santos</v>
      </c>
      <c r="D496" s="37" t="s">
        <v>835</v>
      </c>
      <c r="E496" s="27">
        <f t="shared" si="47"/>
        <v>45750</v>
      </c>
      <c r="F496" s="26" t="s">
        <v>39</v>
      </c>
      <c r="G496" s="26" t="str">
        <f t="shared" si="48"/>
        <v>Rodrigo Mello</v>
      </c>
      <c r="H496" s="26" t="s">
        <v>16</v>
      </c>
      <c r="I496" s="26" t="s">
        <v>103</v>
      </c>
      <c r="J496" s="28">
        <v>3</v>
      </c>
      <c r="K496" s="29">
        <v>89</v>
      </c>
      <c r="L496" s="29">
        <v>0</v>
      </c>
      <c r="M496" s="30">
        <f t="shared" si="50"/>
        <v>267</v>
      </c>
      <c r="N496" s="26" t="s">
        <v>44</v>
      </c>
      <c r="Q496" s="42" t="s">
        <v>834</v>
      </c>
      <c r="R496" s="42" t="s">
        <v>27</v>
      </c>
      <c r="S496" s="57">
        <f t="shared" si="49"/>
        <v>45750</v>
      </c>
      <c r="T496" s="44" t="s">
        <v>39</v>
      </c>
      <c r="U496" s="43" t="s">
        <v>16</v>
      </c>
      <c r="V496" s="42" t="s">
        <v>103</v>
      </c>
      <c r="W496" s="45">
        <v>3</v>
      </c>
      <c r="X496" s="46">
        <v>89</v>
      </c>
      <c r="Y496" s="46">
        <v>0</v>
      </c>
      <c r="Z496" s="47">
        <f t="shared" si="51"/>
        <v>267</v>
      </c>
      <c r="AA496" s="48" t="s">
        <v>44</v>
      </c>
      <c r="AB496"/>
    </row>
    <row r="497" spans="1:28" x14ac:dyDescent="0.25">
      <c r="A497" s="31" t="s">
        <v>836</v>
      </c>
      <c r="B497" s="31" t="s">
        <v>41</v>
      </c>
      <c r="C497" s="32" t="str">
        <f t="shared" si="46"/>
        <v>João Pereira</v>
      </c>
      <c r="D497" s="38" t="s">
        <v>96</v>
      </c>
      <c r="E497" s="33">
        <f t="shared" si="47"/>
        <v>45879</v>
      </c>
      <c r="F497" s="32" t="s">
        <v>15</v>
      </c>
      <c r="G497" s="32" t="str">
        <f t="shared" si="48"/>
        <v>Larissa Dias</v>
      </c>
      <c r="H497" s="32" t="s">
        <v>16</v>
      </c>
      <c r="I497" s="32" t="s">
        <v>103</v>
      </c>
      <c r="J497" s="34">
        <v>1</v>
      </c>
      <c r="K497" s="35">
        <v>89</v>
      </c>
      <c r="L497" s="35">
        <v>0</v>
      </c>
      <c r="M497" s="36">
        <f t="shared" si="50"/>
        <v>89</v>
      </c>
      <c r="N497" s="32" t="s">
        <v>49</v>
      </c>
      <c r="Q497" s="49" t="s">
        <v>836</v>
      </c>
      <c r="R497" s="49" t="s">
        <v>41</v>
      </c>
      <c r="S497" s="58">
        <f t="shared" si="49"/>
        <v>45879</v>
      </c>
      <c r="T497" s="51" t="s">
        <v>15</v>
      </c>
      <c r="U497" s="50" t="s">
        <v>16</v>
      </c>
      <c r="V497" s="52" t="s">
        <v>103</v>
      </c>
      <c r="W497" s="53">
        <v>1</v>
      </c>
      <c r="X497" s="54">
        <v>89</v>
      </c>
      <c r="Y497" s="54">
        <v>0</v>
      </c>
      <c r="Z497" s="55">
        <f t="shared" si="51"/>
        <v>89</v>
      </c>
      <c r="AA497" s="56" t="s">
        <v>49</v>
      </c>
      <c r="AB497"/>
    </row>
    <row r="498" spans="1:28" x14ac:dyDescent="0.25">
      <c r="A498" s="26" t="s">
        <v>837</v>
      </c>
      <c r="B498" s="26" t="s">
        <v>63</v>
      </c>
      <c r="C498" s="26" t="str">
        <f t="shared" si="46"/>
        <v>Marcos Rodrigues</v>
      </c>
      <c r="D498" s="37" t="s">
        <v>537</v>
      </c>
      <c r="E498" s="27">
        <f t="shared" si="47"/>
        <v>45924</v>
      </c>
      <c r="F498" s="26" t="s">
        <v>39</v>
      </c>
      <c r="G498" s="26" t="str">
        <f t="shared" si="48"/>
        <v>Rodrigo Mello</v>
      </c>
      <c r="H498" s="26" t="s">
        <v>16</v>
      </c>
      <c r="I498" s="26" t="s">
        <v>103</v>
      </c>
      <c r="J498" s="28">
        <v>1</v>
      </c>
      <c r="K498" s="29">
        <v>89</v>
      </c>
      <c r="L498" s="29">
        <v>0</v>
      </c>
      <c r="M498" s="30">
        <f t="shared" si="50"/>
        <v>89</v>
      </c>
      <c r="N498" s="26" t="s">
        <v>18</v>
      </c>
      <c r="Q498" s="42" t="s">
        <v>837</v>
      </c>
      <c r="R498" s="42" t="s">
        <v>63</v>
      </c>
      <c r="S498" s="57">
        <f t="shared" si="49"/>
        <v>45924</v>
      </c>
      <c r="T498" s="44" t="s">
        <v>39</v>
      </c>
      <c r="U498" s="43" t="s">
        <v>16</v>
      </c>
      <c r="V498" s="42" t="s">
        <v>103</v>
      </c>
      <c r="W498" s="45">
        <v>1</v>
      </c>
      <c r="X498" s="46">
        <v>89</v>
      </c>
      <c r="Y498" s="46">
        <v>0</v>
      </c>
      <c r="Z498" s="47">
        <f t="shared" si="51"/>
        <v>89</v>
      </c>
      <c r="AA498" s="48" t="s">
        <v>18</v>
      </c>
      <c r="AB498"/>
    </row>
    <row r="499" spans="1:28" x14ac:dyDescent="0.25">
      <c r="A499" s="31" t="s">
        <v>838</v>
      </c>
      <c r="B499" s="31" t="s">
        <v>71</v>
      </c>
      <c r="C499" s="32" t="str">
        <f t="shared" si="46"/>
        <v>Juliana Costa</v>
      </c>
      <c r="D499" s="38" t="s">
        <v>828</v>
      </c>
      <c r="E499" s="33">
        <f t="shared" si="47"/>
        <v>45878</v>
      </c>
      <c r="F499" s="32" t="s">
        <v>29</v>
      </c>
      <c r="G499" s="32" t="str">
        <f t="shared" si="48"/>
        <v>Camila Rocha</v>
      </c>
      <c r="H499" s="32" t="s">
        <v>30</v>
      </c>
      <c r="I499" s="32" t="s">
        <v>106</v>
      </c>
      <c r="J499" s="34">
        <v>1</v>
      </c>
      <c r="K499" s="35">
        <v>299</v>
      </c>
      <c r="L499" s="35">
        <v>0</v>
      </c>
      <c r="M499" s="36">
        <f t="shared" si="50"/>
        <v>299</v>
      </c>
      <c r="N499" s="32" t="s">
        <v>25</v>
      </c>
      <c r="Q499" s="49" t="s">
        <v>838</v>
      </c>
      <c r="R499" s="49" t="s">
        <v>71</v>
      </c>
      <c r="S499" s="58">
        <f t="shared" si="49"/>
        <v>45878</v>
      </c>
      <c r="T499" s="51" t="s">
        <v>29</v>
      </c>
      <c r="U499" s="50" t="s">
        <v>30</v>
      </c>
      <c r="V499" s="52" t="s">
        <v>106</v>
      </c>
      <c r="W499" s="53">
        <v>1</v>
      </c>
      <c r="X499" s="54">
        <v>299</v>
      </c>
      <c r="Y499" s="54">
        <v>0</v>
      </c>
      <c r="Z499" s="55">
        <f t="shared" si="51"/>
        <v>299</v>
      </c>
      <c r="AA499" s="56" t="s">
        <v>25</v>
      </c>
      <c r="AB499"/>
    </row>
    <row r="500" spans="1:28" x14ac:dyDescent="0.25">
      <c r="A500" s="26" t="s">
        <v>839</v>
      </c>
      <c r="B500" s="26" t="s">
        <v>55</v>
      </c>
      <c r="C500" s="26" t="str">
        <f t="shared" si="46"/>
        <v>Ricardo Carvalho</v>
      </c>
      <c r="D500" s="37" t="s">
        <v>805</v>
      </c>
      <c r="E500" s="27">
        <f t="shared" si="47"/>
        <v>45869</v>
      </c>
      <c r="F500" s="26" t="s">
        <v>29</v>
      </c>
      <c r="G500" s="26" t="str">
        <f t="shared" si="48"/>
        <v>Camila Rocha</v>
      </c>
      <c r="H500" s="26" t="s">
        <v>30</v>
      </c>
      <c r="I500" s="26" t="s">
        <v>31</v>
      </c>
      <c r="J500" s="28">
        <v>1</v>
      </c>
      <c r="K500" s="29">
        <v>2500</v>
      </c>
      <c r="L500" s="29">
        <v>0</v>
      </c>
      <c r="M500" s="30">
        <f t="shared" si="50"/>
        <v>2500</v>
      </c>
      <c r="N500" s="26" t="s">
        <v>65</v>
      </c>
      <c r="Q500" s="42" t="s">
        <v>839</v>
      </c>
      <c r="R500" s="42" t="s">
        <v>55</v>
      </c>
      <c r="S500" s="57">
        <f t="shared" si="49"/>
        <v>45869</v>
      </c>
      <c r="T500" s="44" t="s">
        <v>29</v>
      </c>
      <c r="U500" s="43" t="s">
        <v>30</v>
      </c>
      <c r="V500" s="42" t="s">
        <v>31</v>
      </c>
      <c r="W500" s="45">
        <v>1</v>
      </c>
      <c r="X500" s="46">
        <v>2500</v>
      </c>
      <c r="Y500" s="46">
        <v>0</v>
      </c>
      <c r="Z500" s="47">
        <f t="shared" si="51"/>
        <v>2500</v>
      </c>
      <c r="AA500" s="48" t="s">
        <v>65</v>
      </c>
      <c r="AB500"/>
    </row>
    <row r="501" spans="1:28" x14ac:dyDescent="0.25">
      <c r="A501" s="31" t="s">
        <v>840</v>
      </c>
      <c r="B501" s="31" t="s">
        <v>101</v>
      </c>
      <c r="C501" s="32" t="str">
        <f t="shared" si="46"/>
        <v>Ana Souza</v>
      </c>
      <c r="D501" s="38" t="s">
        <v>161</v>
      </c>
      <c r="E501" s="33">
        <f t="shared" si="47"/>
        <v>45716</v>
      </c>
      <c r="F501" s="32" t="s">
        <v>39</v>
      </c>
      <c r="G501" s="32" t="str">
        <f t="shared" si="48"/>
        <v>Rodrigo Mello</v>
      </c>
      <c r="H501" s="32" t="s">
        <v>30</v>
      </c>
      <c r="I501" s="32" t="s">
        <v>31</v>
      </c>
      <c r="J501" s="34">
        <v>3</v>
      </c>
      <c r="K501" s="35">
        <v>2500</v>
      </c>
      <c r="L501" s="35">
        <v>0</v>
      </c>
      <c r="M501" s="36">
        <f t="shared" si="50"/>
        <v>7500</v>
      </c>
      <c r="N501" s="32" t="s">
        <v>89</v>
      </c>
      <c r="Q501" s="49" t="s">
        <v>840</v>
      </c>
      <c r="R501" s="49" t="s">
        <v>101</v>
      </c>
      <c r="S501" s="58">
        <f t="shared" si="49"/>
        <v>45716</v>
      </c>
      <c r="T501" s="51" t="s">
        <v>39</v>
      </c>
      <c r="U501" s="50" t="s">
        <v>30</v>
      </c>
      <c r="V501" s="52" t="s">
        <v>31</v>
      </c>
      <c r="W501" s="53">
        <v>3</v>
      </c>
      <c r="X501" s="54">
        <v>2500</v>
      </c>
      <c r="Y501" s="54">
        <v>0</v>
      </c>
      <c r="Z501" s="55">
        <f t="shared" si="51"/>
        <v>7500</v>
      </c>
      <c r="AA501" s="56" t="s">
        <v>89</v>
      </c>
      <c r="AB501"/>
    </row>
    <row r="502" spans="1:28" x14ac:dyDescent="0.25">
      <c r="A502" s="26" t="s">
        <v>841</v>
      </c>
      <c r="B502" s="26" t="s">
        <v>95</v>
      </c>
      <c r="C502" s="26" t="str">
        <f t="shared" si="46"/>
        <v>Maria Oliveira</v>
      </c>
      <c r="D502" s="37" t="s">
        <v>60</v>
      </c>
      <c r="E502" s="27">
        <f t="shared" si="47"/>
        <v>45763</v>
      </c>
      <c r="F502" s="26" t="s">
        <v>22</v>
      </c>
      <c r="G502" s="26" t="str">
        <f t="shared" si="48"/>
        <v>Amanda Costa</v>
      </c>
      <c r="H502" s="26" t="s">
        <v>16</v>
      </c>
      <c r="I502" s="26" t="s">
        <v>17</v>
      </c>
      <c r="J502" s="28">
        <v>4</v>
      </c>
      <c r="K502" s="29">
        <v>39</v>
      </c>
      <c r="L502" s="29">
        <v>5.92</v>
      </c>
      <c r="M502" s="30">
        <f t="shared" si="50"/>
        <v>150.08000000000001</v>
      </c>
      <c r="N502" s="26" t="s">
        <v>44</v>
      </c>
      <c r="Q502" s="42" t="s">
        <v>841</v>
      </c>
      <c r="R502" s="42" t="s">
        <v>95</v>
      </c>
      <c r="S502" s="57">
        <f t="shared" si="49"/>
        <v>45763</v>
      </c>
      <c r="T502" s="44" t="s">
        <v>22</v>
      </c>
      <c r="U502" s="43" t="s">
        <v>16</v>
      </c>
      <c r="V502" s="42" t="s">
        <v>17</v>
      </c>
      <c r="W502" s="45">
        <v>4</v>
      </c>
      <c r="X502" s="46">
        <v>39</v>
      </c>
      <c r="Y502" s="46">
        <v>5.92</v>
      </c>
      <c r="Z502" s="47">
        <f t="shared" si="51"/>
        <v>150.08000000000001</v>
      </c>
      <c r="AA502" s="48" t="s">
        <v>44</v>
      </c>
      <c r="AB502"/>
    </row>
    <row r="503" spans="1:28" x14ac:dyDescent="0.25">
      <c r="A503" s="31" t="s">
        <v>842</v>
      </c>
      <c r="B503" s="31" t="s">
        <v>27</v>
      </c>
      <c r="C503" s="32" t="str">
        <f t="shared" si="46"/>
        <v>Roberto Santos</v>
      </c>
      <c r="D503" s="38" t="s">
        <v>190</v>
      </c>
      <c r="E503" s="33">
        <f t="shared" si="47"/>
        <v>45928</v>
      </c>
      <c r="F503" s="32" t="s">
        <v>47</v>
      </c>
      <c r="G503" s="32" t="str">
        <f t="shared" si="48"/>
        <v>Bruno Martins</v>
      </c>
      <c r="H503" s="32" t="s">
        <v>52</v>
      </c>
      <c r="I503" s="32" t="s">
        <v>99</v>
      </c>
      <c r="J503" s="34">
        <v>3</v>
      </c>
      <c r="K503" s="35">
        <v>79</v>
      </c>
      <c r="L503" s="35">
        <v>10.119999999999999</v>
      </c>
      <c r="M503" s="36">
        <f t="shared" si="50"/>
        <v>226.88</v>
      </c>
      <c r="N503" s="32" t="s">
        <v>69</v>
      </c>
      <c r="Q503" s="49" t="s">
        <v>842</v>
      </c>
      <c r="R503" s="49" t="s">
        <v>27</v>
      </c>
      <c r="S503" s="58">
        <f t="shared" si="49"/>
        <v>45928</v>
      </c>
      <c r="T503" s="51" t="s">
        <v>47</v>
      </c>
      <c r="U503" s="50" t="s">
        <v>52</v>
      </c>
      <c r="V503" s="52" t="s">
        <v>99</v>
      </c>
      <c r="W503" s="53">
        <v>3</v>
      </c>
      <c r="X503" s="54">
        <v>79</v>
      </c>
      <c r="Y503" s="54">
        <v>10.119999999999999</v>
      </c>
      <c r="Z503" s="55">
        <f t="shared" si="51"/>
        <v>226.88</v>
      </c>
      <c r="AA503" s="56" t="s">
        <v>69</v>
      </c>
      <c r="AB503"/>
    </row>
    <row r="504" spans="1:28" x14ac:dyDescent="0.25">
      <c r="A504" s="26" t="s">
        <v>843</v>
      </c>
      <c r="B504" s="26" t="s">
        <v>95</v>
      </c>
      <c r="C504" s="26" t="str">
        <f t="shared" si="46"/>
        <v>Maria Oliveira</v>
      </c>
      <c r="D504" s="37" t="s">
        <v>446</v>
      </c>
      <c r="E504" s="27">
        <f t="shared" si="47"/>
        <v>45946</v>
      </c>
      <c r="F504" s="26" t="s">
        <v>22</v>
      </c>
      <c r="G504" s="26" t="str">
        <f t="shared" si="48"/>
        <v>Amanda Costa</v>
      </c>
      <c r="H504" s="26" t="s">
        <v>52</v>
      </c>
      <c r="I504" s="26" t="s">
        <v>61</v>
      </c>
      <c r="J504" s="28">
        <v>2</v>
      </c>
      <c r="K504" s="29">
        <v>199</v>
      </c>
      <c r="L504" s="29">
        <v>0</v>
      </c>
      <c r="M504" s="30">
        <f t="shared" si="50"/>
        <v>398</v>
      </c>
      <c r="N504" s="26" t="s">
        <v>89</v>
      </c>
      <c r="Q504" s="42" t="s">
        <v>843</v>
      </c>
      <c r="R504" s="42" t="s">
        <v>95</v>
      </c>
      <c r="S504" s="57">
        <f t="shared" si="49"/>
        <v>45946</v>
      </c>
      <c r="T504" s="44" t="s">
        <v>22</v>
      </c>
      <c r="U504" s="43" t="s">
        <v>52</v>
      </c>
      <c r="V504" s="42" t="s">
        <v>61</v>
      </c>
      <c r="W504" s="45">
        <v>2</v>
      </c>
      <c r="X504" s="46">
        <v>199</v>
      </c>
      <c r="Y504" s="46">
        <v>0</v>
      </c>
      <c r="Z504" s="47">
        <f t="shared" si="51"/>
        <v>398</v>
      </c>
      <c r="AA504" s="48" t="s">
        <v>89</v>
      </c>
      <c r="AB504"/>
    </row>
    <row r="505" spans="1:28" x14ac:dyDescent="0.25">
      <c r="A505" s="31" t="s">
        <v>844</v>
      </c>
      <c r="B505" s="31" t="s">
        <v>41</v>
      </c>
      <c r="C505" s="32" t="str">
        <f t="shared" si="46"/>
        <v>João Pereira</v>
      </c>
      <c r="D505" s="38" t="s">
        <v>412</v>
      </c>
      <c r="E505" s="33">
        <f t="shared" si="47"/>
        <v>45991</v>
      </c>
      <c r="F505" s="32" t="s">
        <v>39</v>
      </c>
      <c r="G505" s="32" t="str">
        <f t="shared" si="48"/>
        <v>Rodrigo Mello</v>
      </c>
      <c r="H505" s="32" t="s">
        <v>30</v>
      </c>
      <c r="I505" s="32" t="s">
        <v>152</v>
      </c>
      <c r="J505" s="34">
        <v>4</v>
      </c>
      <c r="K505" s="35">
        <v>4500</v>
      </c>
      <c r="L505" s="35">
        <v>1143.76</v>
      </c>
      <c r="M505" s="36">
        <f t="shared" si="50"/>
        <v>16856.240000000002</v>
      </c>
      <c r="N505" s="32" t="s">
        <v>65</v>
      </c>
      <c r="Q505" s="49" t="s">
        <v>844</v>
      </c>
      <c r="R505" s="49" t="s">
        <v>41</v>
      </c>
      <c r="S505" s="58">
        <f t="shared" si="49"/>
        <v>45991</v>
      </c>
      <c r="T505" s="51" t="s">
        <v>39</v>
      </c>
      <c r="U505" s="50" t="s">
        <v>30</v>
      </c>
      <c r="V505" s="52" t="s">
        <v>152</v>
      </c>
      <c r="W505" s="53">
        <v>4</v>
      </c>
      <c r="X505" s="54">
        <v>4500</v>
      </c>
      <c r="Y505" s="54">
        <v>1143.76</v>
      </c>
      <c r="Z505" s="55">
        <f t="shared" si="51"/>
        <v>16856.240000000002</v>
      </c>
      <c r="AA505" s="56" t="s">
        <v>65</v>
      </c>
      <c r="AB505"/>
    </row>
    <row r="506" spans="1:28" x14ac:dyDescent="0.25">
      <c r="A506" s="26" t="s">
        <v>845</v>
      </c>
      <c r="B506" s="26" t="s">
        <v>20</v>
      </c>
      <c r="C506" s="26" t="str">
        <f t="shared" si="46"/>
        <v>Beatriz Ribeiro</v>
      </c>
      <c r="D506" s="37" t="s">
        <v>243</v>
      </c>
      <c r="E506" s="27">
        <f t="shared" si="47"/>
        <v>45880</v>
      </c>
      <c r="F506" s="26" t="s">
        <v>39</v>
      </c>
      <c r="G506" s="26" t="str">
        <f t="shared" si="48"/>
        <v>Rodrigo Mello</v>
      </c>
      <c r="H506" s="26" t="s">
        <v>23</v>
      </c>
      <c r="I506" s="26" t="s">
        <v>24</v>
      </c>
      <c r="J506" s="28">
        <v>4</v>
      </c>
      <c r="K506" s="29">
        <v>180</v>
      </c>
      <c r="L506" s="29">
        <v>84.2</v>
      </c>
      <c r="M506" s="30">
        <f t="shared" si="50"/>
        <v>635.79999999999995</v>
      </c>
      <c r="N506" s="26" t="s">
        <v>49</v>
      </c>
      <c r="Q506" s="42" t="s">
        <v>845</v>
      </c>
      <c r="R506" s="42" t="s">
        <v>20</v>
      </c>
      <c r="S506" s="57">
        <f t="shared" si="49"/>
        <v>45880</v>
      </c>
      <c r="T506" s="44" t="s">
        <v>39</v>
      </c>
      <c r="U506" s="43" t="s">
        <v>23</v>
      </c>
      <c r="V506" s="42" t="s">
        <v>24</v>
      </c>
      <c r="W506" s="45">
        <v>4</v>
      </c>
      <c r="X506" s="46">
        <v>180</v>
      </c>
      <c r="Y506" s="46">
        <v>84.2</v>
      </c>
      <c r="Z506" s="47">
        <f t="shared" si="51"/>
        <v>635.79999999999995</v>
      </c>
      <c r="AA506" s="48" t="s">
        <v>49</v>
      </c>
      <c r="AB506"/>
    </row>
    <row r="507" spans="1:28" x14ac:dyDescent="0.25">
      <c r="A507" s="31" t="s">
        <v>846</v>
      </c>
      <c r="B507" s="31" t="s">
        <v>71</v>
      </c>
      <c r="C507" s="32" t="str">
        <f t="shared" si="46"/>
        <v>Juliana Costa</v>
      </c>
      <c r="D507" s="38" t="s">
        <v>248</v>
      </c>
      <c r="E507" s="33">
        <f t="shared" si="47"/>
        <v>45962</v>
      </c>
      <c r="F507" s="32" t="s">
        <v>39</v>
      </c>
      <c r="G507" s="32" t="str">
        <f t="shared" si="48"/>
        <v>Rodrigo Mello</v>
      </c>
      <c r="H507" s="32" t="s">
        <v>30</v>
      </c>
      <c r="I507" s="32" t="s">
        <v>68</v>
      </c>
      <c r="J507" s="34">
        <v>4</v>
      </c>
      <c r="K507" s="35">
        <v>799</v>
      </c>
      <c r="L507" s="35">
        <v>0</v>
      </c>
      <c r="M507" s="36">
        <f t="shared" si="50"/>
        <v>3196</v>
      </c>
      <c r="N507" s="32" t="s">
        <v>44</v>
      </c>
      <c r="Q507" s="49" t="s">
        <v>846</v>
      </c>
      <c r="R507" s="49" t="s">
        <v>71</v>
      </c>
      <c r="S507" s="58">
        <f t="shared" si="49"/>
        <v>45962</v>
      </c>
      <c r="T507" s="51" t="s">
        <v>39</v>
      </c>
      <c r="U507" s="50" t="s">
        <v>30</v>
      </c>
      <c r="V507" s="52" t="s">
        <v>68</v>
      </c>
      <c r="W507" s="53">
        <v>4</v>
      </c>
      <c r="X507" s="54">
        <v>799</v>
      </c>
      <c r="Y507" s="54">
        <v>0</v>
      </c>
      <c r="Z507" s="55">
        <f t="shared" si="51"/>
        <v>3196</v>
      </c>
      <c r="AA507" s="56" t="s">
        <v>44</v>
      </c>
      <c r="AB507"/>
    </row>
    <row r="508" spans="1:28" x14ac:dyDescent="0.25">
      <c r="A508" s="26" t="s">
        <v>847</v>
      </c>
      <c r="B508" s="26" t="s">
        <v>27</v>
      </c>
      <c r="C508" s="26" t="str">
        <f t="shared" si="46"/>
        <v>Roberto Santos</v>
      </c>
      <c r="D508" s="37" t="s">
        <v>1690</v>
      </c>
      <c r="E508" s="27">
        <f t="shared" si="47"/>
        <v>46016</v>
      </c>
      <c r="F508" s="26" t="s">
        <v>22</v>
      </c>
      <c r="G508" s="26" t="str">
        <f t="shared" si="48"/>
        <v>Amanda Costa</v>
      </c>
      <c r="H508" s="26" t="s">
        <v>23</v>
      </c>
      <c r="I508" s="26" t="s">
        <v>24</v>
      </c>
      <c r="J508" s="28">
        <v>2</v>
      </c>
      <c r="K508" s="29">
        <v>180</v>
      </c>
      <c r="L508" s="29">
        <v>12.01</v>
      </c>
      <c r="M508" s="30">
        <f t="shared" si="50"/>
        <v>347.99</v>
      </c>
      <c r="N508" s="26" t="s">
        <v>25</v>
      </c>
      <c r="Q508" s="42" t="s">
        <v>847</v>
      </c>
      <c r="R508" s="42" t="s">
        <v>27</v>
      </c>
      <c r="S508" s="57">
        <f t="shared" si="49"/>
        <v>46016</v>
      </c>
      <c r="T508" s="44" t="s">
        <v>22</v>
      </c>
      <c r="U508" s="43" t="s">
        <v>23</v>
      </c>
      <c r="V508" s="42" t="s">
        <v>24</v>
      </c>
      <c r="W508" s="45">
        <v>2</v>
      </c>
      <c r="X508" s="46">
        <v>180</v>
      </c>
      <c r="Y508" s="46">
        <v>12.01</v>
      </c>
      <c r="Z508" s="47">
        <f t="shared" si="51"/>
        <v>347.99</v>
      </c>
      <c r="AA508" s="48" t="s">
        <v>25</v>
      </c>
      <c r="AB508"/>
    </row>
    <row r="509" spans="1:28" x14ac:dyDescent="0.25">
      <c r="A509" s="31" t="s">
        <v>848</v>
      </c>
      <c r="B509" s="31" t="s">
        <v>27</v>
      </c>
      <c r="C509" s="32" t="str">
        <f t="shared" si="46"/>
        <v>Roberto Santos</v>
      </c>
      <c r="D509" s="38" t="s">
        <v>688</v>
      </c>
      <c r="E509" s="33">
        <f t="shared" si="47"/>
        <v>45943</v>
      </c>
      <c r="F509" s="32" t="s">
        <v>39</v>
      </c>
      <c r="G509" s="32" t="str">
        <f t="shared" si="48"/>
        <v>Rodrigo Mello</v>
      </c>
      <c r="H509" s="32" t="s">
        <v>52</v>
      </c>
      <c r="I509" s="32" t="s">
        <v>99</v>
      </c>
      <c r="J509" s="34">
        <v>5</v>
      </c>
      <c r="K509" s="35">
        <v>79</v>
      </c>
      <c r="L509" s="35">
        <v>0</v>
      </c>
      <c r="M509" s="36">
        <f t="shared" si="50"/>
        <v>395</v>
      </c>
      <c r="N509" s="32" t="s">
        <v>18</v>
      </c>
      <c r="Q509" s="49" t="s">
        <v>848</v>
      </c>
      <c r="R509" s="49" t="s">
        <v>27</v>
      </c>
      <c r="S509" s="58">
        <f t="shared" si="49"/>
        <v>45943</v>
      </c>
      <c r="T509" s="51" t="s">
        <v>39</v>
      </c>
      <c r="U509" s="50" t="s">
        <v>52</v>
      </c>
      <c r="V509" s="52" t="s">
        <v>99</v>
      </c>
      <c r="W509" s="53">
        <v>5</v>
      </c>
      <c r="X509" s="54">
        <v>79</v>
      </c>
      <c r="Y509" s="54">
        <v>0</v>
      </c>
      <c r="Z509" s="55">
        <f t="shared" si="51"/>
        <v>395</v>
      </c>
      <c r="AA509" s="56" t="s">
        <v>18</v>
      </c>
      <c r="AB509"/>
    </row>
    <row r="510" spans="1:28" x14ac:dyDescent="0.25">
      <c r="A510" s="26" t="s">
        <v>849</v>
      </c>
      <c r="B510" s="26" t="s">
        <v>20</v>
      </c>
      <c r="C510" s="26" t="str">
        <f t="shared" si="46"/>
        <v>Beatriz Ribeiro</v>
      </c>
      <c r="D510" s="37" t="s">
        <v>132</v>
      </c>
      <c r="E510" s="27">
        <f t="shared" si="47"/>
        <v>45747</v>
      </c>
      <c r="F510" s="26" t="s">
        <v>29</v>
      </c>
      <c r="G510" s="26" t="str">
        <f t="shared" si="48"/>
        <v>Camila Rocha</v>
      </c>
      <c r="H510" s="26" t="s">
        <v>30</v>
      </c>
      <c r="I510" s="26" t="s">
        <v>31</v>
      </c>
      <c r="J510" s="28">
        <v>5</v>
      </c>
      <c r="K510" s="29">
        <v>2500</v>
      </c>
      <c r="L510" s="29">
        <v>80.58</v>
      </c>
      <c r="M510" s="30">
        <f t="shared" si="50"/>
        <v>12419.42</v>
      </c>
      <c r="N510" s="26" t="s">
        <v>44</v>
      </c>
      <c r="Q510" s="42" t="s">
        <v>849</v>
      </c>
      <c r="R510" s="42" t="s">
        <v>20</v>
      </c>
      <c r="S510" s="57">
        <f t="shared" si="49"/>
        <v>45747</v>
      </c>
      <c r="T510" s="44" t="s">
        <v>29</v>
      </c>
      <c r="U510" s="43" t="s">
        <v>30</v>
      </c>
      <c r="V510" s="42" t="s">
        <v>31</v>
      </c>
      <c r="W510" s="45">
        <v>5</v>
      </c>
      <c r="X510" s="46">
        <v>2500</v>
      </c>
      <c r="Y510" s="46">
        <v>80.58</v>
      </c>
      <c r="Z510" s="47">
        <f t="shared" si="51"/>
        <v>12419.42</v>
      </c>
      <c r="AA510" s="48" t="s">
        <v>44</v>
      </c>
      <c r="AB510"/>
    </row>
    <row r="511" spans="1:28" x14ac:dyDescent="0.25">
      <c r="A511" s="31" t="s">
        <v>850</v>
      </c>
      <c r="B511" s="31" t="s">
        <v>55</v>
      </c>
      <c r="C511" s="32" t="str">
        <f t="shared" si="46"/>
        <v>Ricardo Carvalho</v>
      </c>
      <c r="D511" s="38" t="s">
        <v>851</v>
      </c>
      <c r="E511" s="33">
        <f t="shared" si="47"/>
        <v>45937</v>
      </c>
      <c r="F511" s="32" t="s">
        <v>47</v>
      </c>
      <c r="G511" s="32" t="str">
        <f t="shared" si="48"/>
        <v>Bruno Martins</v>
      </c>
      <c r="H511" s="32" t="s">
        <v>16</v>
      </c>
      <c r="I511" s="32" t="s">
        <v>116</v>
      </c>
      <c r="J511" s="34">
        <v>5</v>
      </c>
      <c r="K511" s="35">
        <v>45</v>
      </c>
      <c r="L511" s="35">
        <v>23.56</v>
      </c>
      <c r="M511" s="36">
        <f t="shared" si="50"/>
        <v>201.44</v>
      </c>
      <c r="N511" s="32" t="s">
        <v>69</v>
      </c>
      <c r="Q511" s="49" t="s">
        <v>850</v>
      </c>
      <c r="R511" s="49" t="s">
        <v>55</v>
      </c>
      <c r="S511" s="58">
        <f t="shared" si="49"/>
        <v>45937</v>
      </c>
      <c r="T511" s="51" t="s">
        <v>47</v>
      </c>
      <c r="U511" s="50" t="s">
        <v>16</v>
      </c>
      <c r="V511" s="52" t="s">
        <v>116</v>
      </c>
      <c r="W511" s="53">
        <v>5</v>
      </c>
      <c r="X511" s="54">
        <v>45</v>
      </c>
      <c r="Y511" s="54">
        <v>23.56</v>
      </c>
      <c r="Z511" s="55">
        <f t="shared" si="51"/>
        <v>201.44</v>
      </c>
      <c r="AA511" s="56" t="s">
        <v>69</v>
      </c>
      <c r="AB511"/>
    </row>
    <row r="512" spans="1:28" x14ac:dyDescent="0.25">
      <c r="A512" s="26" t="s">
        <v>852</v>
      </c>
      <c r="B512" s="26" t="s">
        <v>37</v>
      </c>
      <c r="C512" s="26" t="str">
        <f t="shared" si="46"/>
        <v>Patricia Gomes</v>
      </c>
      <c r="D512" s="37" t="s">
        <v>599</v>
      </c>
      <c r="E512" s="27">
        <f t="shared" si="47"/>
        <v>45944</v>
      </c>
      <c r="F512" s="26" t="s">
        <v>39</v>
      </c>
      <c r="G512" s="26" t="str">
        <f t="shared" si="48"/>
        <v>Rodrigo Mello</v>
      </c>
      <c r="H512" s="26" t="s">
        <v>52</v>
      </c>
      <c r="I512" s="26" t="s">
        <v>75</v>
      </c>
      <c r="J512" s="28">
        <v>5</v>
      </c>
      <c r="K512" s="29">
        <v>249</v>
      </c>
      <c r="L512" s="29">
        <v>65.94</v>
      </c>
      <c r="M512" s="30">
        <f t="shared" si="50"/>
        <v>1179.06</v>
      </c>
      <c r="N512" s="26" t="s">
        <v>69</v>
      </c>
      <c r="Q512" s="42" t="s">
        <v>852</v>
      </c>
      <c r="R512" s="42" t="s">
        <v>37</v>
      </c>
      <c r="S512" s="57">
        <f t="shared" si="49"/>
        <v>45944</v>
      </c>
      <c r="T512" s="44" t="s">
        <v>39</v>
      </c>
      <c r="U512" s="43" t="s">
        <v>52</v>
      </c>
      <c r="V512" s="42" t="s">
        <v>75</v>
      </c>
      <c r="W512" s="45">
        <v>5</v>
      </c>
      <c r="X512" s="46">
        <v>249</v>
      </c>
      <c r="Y512" s="46">
        <v>65.94</v>
      </c>
      <c r="Z512" s="47">
        <f t="shared" si="51"/>
        <v>1179.06</v>
      </c>
      <c r="AA512" s="48" t="s">
        <v>69</v>
      </c>
      <c r="AB512"/>
    </row>
    <row r="513" spans="1:28" x14ac:dyDescent="0.25">
      <c r="A513" s="31" t="s">
        <v>853</v>
      </c>
      <c r="B513" s="31" t="s">
        <v>110</v>
      </c>
      <c r="C513" s="32" t="str">
        <f t="shared" si="46"/>
        <v>Fernanda Lima</v>
      </c>
      <c r="D513" s="38" t="s">
        <v>650</v>
      </c>
      <c r="E513" s="33">
        <f t="shared" si="47"/>
        <v>45974</v>
      </c>
      <c r="F513" s="32" t="s">
        <v>15</v>
      </c>
      <c r="G513" s="32" t="str">
        <f t="shared" si="48"/>
        <v>Larissa Dias</v>
      </c>
      <c r="H513" s="32" t="s">
        <v>16</v>
      </c>
      <c r="I513" s="32" t="s">
        <v>116</v>
      </c>
      <c r="J513" s="34">
        <v>5</v>
      </c>
      <c r="K513" s="35">
        <v>45</v>
      </c>
      <c r="L513" s="35">
        <v>0</v>
      </c>
      <c r="M513" s="36">
        <f t="shared" si="50"/>
        <v>225</v>
      </c>
      <c r="N513" s="32" t="s">
        <v>65</v>
      </c>
      <c r="Q513" s="49" t="s">
        <v>853</v>
      </c>
      <c r="R513" s="49" t="s">
        <v>110</v>
      </c>
      <c r="S513" s="58">
        <f t="shared" si="49"/>
        <v>45974</v>
      </c>
      <c r="T513" s="51" t="s">
        <v>15</v>
      </c>
      <c r="U513" s="50" t="s">
        <v>16</v>
      </c>
      <c r="V513" s="52" t="s">
        <v>116</v>
      </c>
      <c r="W513" s="53">
        <v>5</v>
      </c>
      <c r="X513" s="54">
        <v>45</v>
      </c>
      <c r="Y513" s="54">
        <v>0</v>
      </c>
      <c r="Z513" s="55">
        <f t="shared" si="51"/>
        <v>225</v>
      </c>
      <c r="AA513" s="56" t="s">
        <v>65</v>
      </c>
      <c r="AB513"/>
    </row>
    <row r="514" spans="1:28" x14ac:dyDescent="0.25">
      <c r="A514" s="26" t="s">
        <v>854</v>
      </c>
      <c r="B514" s="26" t="s">
        <v>95</v>
      </c>
      <c r="C514" s="26" t="str">
        <f t="shared" si="46"/>
        <v>Maria Oliveira</v>
      </c>
      <c r="D514" s="37" t="s">
        <v>855</v>
      </c>
      <c r="E514" s="27">
        <f t="shared" si="47"/>
        <v>46052</v>
      </c>
      <c r="F514" s="26" t="s">
        <v>15</v>
      </c>
      <c r="G514" s="26" t="str">
        <f t="shared" si="48"/>
        <v>Larissa Dias</v>
      </c>
      <c r="H514" s="26" t="s">
        <v>30</v>
      </c>
      <c r="I514" s="26" t="s">
        <v>68</v>
      </c>
      <c r="J514" s="28">
        <v>4</v>
      </c>
      <c r="K514" s="29">
        <v>799</v>
      </c>
      <c r="L514" s="29">
        <v>0</v>
      </c>
      <c r="M514" s="30">
        <f t="shared" si="50"/>
        <v>3196</v>
      </c>
      <c r="N514" s="26" t="s">
        <v>32</v>
      </c>
      <c r="Q514" s="42" t="s">
        <v>854</v>
      </c>
      <c r="R514" s="42" t="s">
        <v>95</v>
      </c>
      <c r="S514" s="57">
        <f t="shared" si="49"/>
        <v>46052</v>
      </c>
      <c r="T514" s="44" t="s">
        <v>15</v>
      </c>
      <c r="U514" s="43" t="s">
        <v>30</v>
      </c>
      <c r="V514" s="42" t="s">
        <v>68</v>
      </c>
      <c r="W514" s="45">
        <v>4</v>
      </c>
      <c r="X514" s="46">
        <v>799</v>
      </c>
      <c r="Y514" s="46">
        <v>0</v>
      </c>
      <c r="Z514" s="47">
        <f t="shared" si="51"/>
        <v>3196</v>
      </c>
      <c r="AA514" s="48" t="s">
        <v>32</v>
      </c>
      <c r="AB514"/>
    </row>
    <row r="515" spans="1:28" x14ac:dyDescent="0.25">
      <c r="A515" s="31" t="s">
        <v>856</v>
      </c>
      <c r="B515" s="31" t="s">
        <v>110</v>
      </c>
      <c r="C515" s="32" t="str">
        <f t="shared" ref="C515:C578" si="52">SUBSTITUTE(SUBSTITUTE(SUBSTITUTE(SUBSTITUTE(PROPER(B515)," Da "," ")," De "," ")," Do "," ")," Dos "," ")</f>
        <v>Fernanda Lima</v>
      </c>
      <c r="D515" s="38" t="s">
        <v>857</v>
      </c>
      <c r="E515" s="33">
        <f t="shared" ref="E515:E578" si="53">DATEVALUE(D515)</f>
        <v>45837</v>
      </c>
      <c r="F515" s="32" t="s">
        <v>15</v>
      </c>
      <c r="G515" s="32" t="str">
        <f t="shared" ref="G515:G578" si="54">SUBSTITUTE(SUBSTITUTE(SUBSTITUTE(SUBSTITUTE(PROPER(F515)," Da "," ")," De "," ")," Do "," ")," Dos "," ")</f>
        <v>Larissa Dias</v>
      </c>
      <c r="H515" s="32" t="s">
        <v>30</v>
      </c>
      <c r="I515" s="32" t="s">
        <v>31</v>
      </c>
      <c r="J515" s="34">
        <v>2</v>
      </c>
      <c r="K515" s="35">
        <v>2500</v>
      </c>
      <c r="L515" s="35">
        <v>0</v>
      </c>
      <c r="M515" s="36">
        <f t="shared" si="50"/>
        <v>5000</v>
      </c>
      <c r="N515" s="32" t="s">
        <v>49</v>
      </c>
      <c r="Q515" s="49" t="s">
        <v>856</v>
      </c>
      <c r="R515" s="49" t="s">
        <v>110</v>
      </c>
      <c r="S515" s="58">
        <f t="shared" si="49"/>
        <v>45837</v>
      </c>
      <c r="T515" s="51" t="s">
        <v>15</v>
      </c>
      <c r="U515" s="50" t="s">
        <v>30</v>
      </c>
      <c r="V515" s="52" t="s">
        <v>31</v>
      </c>
      <c r="W515" s="53">
        <v>2</v>
      </c>
      <c r="X515" s="54">
        <v>2500</v>
      </c>
      <c r="Y515" s="54">
        <v>0</v>
      </c>
      <c r="Z515" s="55">
        <f t="shared" si="51"/>
        <v>5000</v>
      </c>
      <c r="AA515" s="56" t="s">
        <v>49</v>
      </c>
      <c r="AB515"/>
    </row>
    <row r="516" spans="1:28" x14ac:dyDescent="0.25">
      <c r="A516" s="26" t="s">
        <v>858</v>
      </c>
      <c r="B516" s="26" t="s">
        <v>27</v>
      </c>
      <c r="C516" s="26" t="str">
        <f t="shared" si="52"/>
        <v>Roberto Santos</v>
      </c>
      <c r="D516" s="37" t="s">
        <v>148</v>
      </c>
      <c r="E516" s="27">
        <f t="shared" si="53"/>
        <v>45798</v>
      </c>
      <c r="F516" s="26" t="s">
        <v>39</v>
      </c>
      <c r="G516" s="26" t="str">
        <f t="shared" si="54"/>
        <v>Rodrigo Mello</v>
      </c>
      <c r="H516" s="26" t="s">
        <v>23</v>
      </c>
      <c r="I516" s="26" t="s">
        <v>48</v>
      </c>
      <c r="J516" s="28">
        <v>3</v>
      </c>
      <c r="K516" s="29">
        <v>450</v>
      </c>
      <c r="L516" s="29">
        <v>112.36</v>
      </c>
      <c r="M516" s="30">
        <f t="shared" si="50"/>
        <v>1237.6400000000001</v>
      </c>
      <c r="N516" s="26" t="s">
        <v>65</v>
      </c>
      <c r="Q516" s="42" t="s">
        <v>858</v>
      </c>
      <c r="R516" s="42" t="s">
        <v>27</v>
      </c>
      <c r="S516" s="57">
        <f t="shared" si="49"/>
        <v>45798</v>
      </c>
      <c r="T516" s="44" t="s">
        <v>39</v>
      </c>
      <c r="U516" s="43" t="s">
        <v>23</v>
      </c>
      <c r="V516" s="42" t="s">
        <v>48</v>
      </c>
      <c r="W516" s="45">
        <v>3</v>
      </c>
      <c r="X516" s="46">
        <v>450</v>
      </c>
      <c r="Y516" s="46">
        <v>112.36</v>
      </c>
      <c r="Z516" s="47">
        <f t="shared" si="51"/>
        <v>1237.6400000000001</v>
      </c>
      <c r="AA516" s="48" t="s">
        <v>65</v>
      </c>
      <c r="AB516"/>
    </row>
    <row r="517" spans="1:28" x14ac:dyDescent="0.25">
      <c r="A517" s="31" t="s">
        <v>859</v>
      </c>
      <c r="B517" s="31" t="s">
        <v>110</v>
      </c>
      <c r="C517" s="32" t="str">
        <f t="shared" si="52"/>
        <v>Fernanda Lima</v>
      </c>
      <c r="D517" s="38" t="s">
        <v>860</v>
      </c>
      <c r="E517" s="33">
        <f t="shared" si="53"/>
        <v>45672</v>
      </c>
      <c r="F517" s="32" t="s">
        <v>47</v>
      </c>
      <c r="G517" s="32" t="str">
        <f t="shared" si="54"/>
        <v>Bruno Martins</v>
      </c>
      <c r="H517" s="32" t="s">
        <v>30</v>
      </c>
      <c r="I517" s="32" t="s">
        <v>152</v>
      </c>
      <c r="J517" s="34">
        <v>2</v>
      </c>
      <c r="K517" s="35">
        <v>4500</v>
      </c>
      <c r="L517" s="35">
        <v>1064.29</v>
      </c>
      <c r="M517" s="36">
        <f t="shared" si="50"/>
        <v>7935.71</v>
      </c>
      <c r="N517" s="32" t="s">
        <v>25</v>
      </c>
      <c r="Q517" s="49" t="s">
        <v>859</v>
      </c>
      <c r="R517" s="49" t="s">
        <v>110</v>
      </c>
      <c r="S517" s="58">
        <f t="shared" si="49"/>
        <v>45672</v>
      </c>
      <c r="T517" s="51" t="s">
        <v>47</v>
      </c>
      <c r="U517" s="50" t="s">
        <v>30</v>
      </c>
      <c r="V517" s="52" t="s">
        <v>152</v>
      </c>
      <c r="W517" s="53">
        <v>2</v>
      </c>
      <c r="X517" s="54">
        <v>4500</v>
      </c>
      <c r="Y517" s="54">
        <v>1064.29</v>
      </c>
      <c r="Z517" s="55">
        <f t="shared" si="51"/>
        <v>7935.71</v>
      </c>
      <c r="AA517" s="56" t="s">
        <v>25</v>
      </c>
      <c r="AB517"/>
    </row>
    <row r="518" spans="1:28" x14ac:dyDescent="0.25">
      <c r="A518" s="26" t="s">
        <v>861</v>
      </c>
      <c r="B518" s="26" t="s">
        <v>13</v>
      </c>
      <c r="C518" s="26" t="str">
        <f t="shared" si="52"/>
        <v>Lucas Almeida</v>
      </c>
      <c r="D518" s="37" t="s">
        <v>401</v>
      </c>
      <c r="E518" s="27">
        <f t="shared" si="53"/>
        <v>45772</v>
      </c>
      <c r="F518" s="26" t="s">
        <v>47</v>
      </c>
      <c r="G518" s="26" t="str">
        <f t="shared" si="54"/>
        <v>Bruno Martins</v>
      </c>
      <c r="H518" s="26" t="s">
        <v>52</v>
      </c>
      <c r="I518" s="26" t="s">
        <v>53</v>
      </c>
      <c r="J518" s="28">
        <v>4</v>
      </c>
      <c r="K518" s="29">
        <v>149</v>
      </c>
      <c r="L518" s="29">
        <v>0</v>
      </c>
      <c r="M518" s="30">
        <f t="shared" si="50"/>
        <v>596</v>
      </c>
      <c r="N518" s="26" t="s">
        <v>25</v>
      </c>
      <c r="Q518" s="42" t="s">
        <v>861</v>
      </c>
      <c r="R518" s="42" t="s">
        <v>13</v>
      </c>
      <c r="S518" s="57">
        <f t="shared" ref="S518:S581" si="55">DATEVALUE(D518)</f>
        <v>45772</v>
      </c>
      <c r="T518" s="44" t="s">
        <v>47</v>
      </c>
      <c r="U518" s="43" t="s">
        <v>52</v>
      </c>
      <c r="V518" s="42" t="s">
        <v>53</v>
      </c>
      <c r="W518" s="45">
        <v>4</v>
      </c>
      <c r="X518" s="46">
        <v>149</v>
      </c>
      <c r="Y518" s="46">
        <v>0</v>
      </c>
      <c r="Z518" s="47">
        <f t="shared" si="51"/>
        <v>596</v>
      </c>
      <c r="AA518" s="48" t="s">
        <v>25</v>
      </c>
      <c r="AB518"/>
    </row>
    <row r="519" spans="1:28" x14ac:dyDescent="0.25">
      <c r="A519" s="31" t="s">
        <v>862</v>
      </c>
      <c r="B519" s="31" t="s">
        <v>37</v>
      </c>
      <c r="C519" s="32" t="str">
        <f t="shared" si="52"/>
        <v>Patricia Gomes</v>
      </c>
      <c r="D519" s="38" t="s">
        <v>329</v>
      </c>
      <c r="E519" s="33">
        <f t="shared" si="53"/>
        <v>46036</v>
      </c>
      <c r="F519" s="32" t="s">
        <v>47</v>
      </c>
      <c r="G519" s="32" t="str">
        <f t="shared" si="54"/>
        <v>Bruno Martins</v>
      </c>
      <c r="H519" s="32" t="s">
        <v>23</v>
      </c>
      <c r="I519" s="32" t="s">
        <v>48</v>
      </c>
      <c r="J519" s="34">
        <v>1</v>
      </c>
      <c r="K519" s="35">
        <v>450</v>
      </c>
      <c r="L519" s="35">
        <v>63.87</v>
      </c>
      <c r="M519" s="36">
        <f t="shared" si="50"/>
        <v>386.13</v>
      </c>
      <c r="N519" s="32" t="s">
        <v>49</v>
      </c>
      <c r="Q519" s="49" t="s">
        <v>862</v>
      </c>
      <c r="R519" s="49" t="s">
        <v>37</v>
      </c>
      <c r="S519" s="58">
        <f t="shared" si="55"/>
        <v>46036</v>
      </c>
      <c r="T519" s="51" t="s">
        <v>47</v>
      </c>
      <c r="U519" s="50" t="s">
        <v>23</v>
      </c>
      <c r="V519" s="52" t="s">
        <v>48</v>
      </c>
      <c r="W519" s="53">
        <v>1</v>
      </c>
      <c r="X519" s="54">
        <v>450</v>
      </c>
      <c r="Y519" s="54">
        <v>63.87</v>
      </c>
      <c r="Z519" s="55">
        <f t="shared" si="51"/>
        <v>386.13</v>
      </c>
      <c r="AA519" s="56" t="s">
        <v>49</v>
      </c>
      <c r="AB519"/>
    </row>
    <row r="520" spans="1:28" x14ac:dyDescent="0.25">
      <c r="A520" s="26" t="s">
        <v>863</v>
      </c>
      <c r="B520" s="26" t="s">
        <v>55</v>
      </c>
      <c r="C520" s="26" t="str">
        <f t="shared" si="52"/>
        <v>Ricardo Carvalho</v>
      </c>
      <c r="D520" s="37" t="s">
        <v>409</v>
      </c>
      <c r="E520" s="27">
        <f t="shared" si="53"/>
        <v>45885</v>
      </c>
      <c r="F520" s="26" t="s">
        <v>22</v>
      </c>
      <c r="G520" s="26" t="str">
        <f t="shared" si="54"/>
        <v>Amanda Costa</v>
      </c>
      <c r="H520" s="26" t="s">
        <v>52</v>
      </c>
      <c r="I520" s="26" t="s">
        <v>53</v>
      </c>
      <c r="J520" s="28">
        <v>4</v>
      </c>
      <c r="K520" s="29">
        <v>149</v>
      </c>
      <c r="L520" s="29">
        <v>65.86</v>
      </c>
      <c r="M520" s="30">
        <f t="shared" ref="M520:M583" si="56">(J520*K520)-L520</f>
        <v>530.14</v>
      </c>
      <c r="N520" s="26" t="s">
        <v>89</v>
      </c>
      <c r="Q520" s="42" t="s">
        <v>863</v>
      </c>
      <c r="R520" s="42" t="s">
        <v>55</v>
      </c>
      <c r="S520" s="57">
        <f t="shared" si="55"/>
        <v>45885</v>
      </c>
      <c r="T520" s="44" t="s">
        <v>22</v>
      </c>
      <c r="U520" s="43" t="s">
        <v>52</v>
      </c>
      <c r="V520" s="42" t="s">
        <v>53</v>
      </c>
      <c r="W520" s="45">
        <v>4</v>
      </c>
      <c r="X520" s="46">
        <v>149</v>
      </c>
      <c r="Y520" s="46">
        <v>65.86</v>
      </c>
      <c r="Z520" s="47">
        <f t="shared" ref="Z520:Z583" si="57">(W520*X520)-Y520</f>
        <v>530.14</v>
      </c>
      <c r="AA520" s="48" t="s">
        <v>89</v>
      </c>
      <c r="AB520"/>
    </row>
    <row r="521" spans="1:28" x14ac:dyDescent="0.25">
      <c r="A521" s="31" t="s">
        <v>864</v>
      </c>
      <c r="B521" s="31" t="s">
        <v>277</v>
      </c>
      <c r="C521" s="32" t="str">
        <f t="shared" si="52"/>
        <v>Carlos Silva</v>
      </c>
      <c r="D521" s="38" t="s">
        <v>865</v>
      </c>
      <c r="E521" s="33">
        <f t="shared" si="53"/>
        <v>45899</v>
      </c>
      <c r="F521" s="32" t="s">
        <v>29</v>
      </c>
      <c r="G521" s="32" t="str">
        <f t="shared" si="54"/>
        <v>Camila Rocha</v>
      </c>
      <c r="H521" s="32" t="s">
        <v>23</v>
      </c>
      <c r="I521" s="32" t="s">
        <v>43</v>
      </c>
      <c r="J521" s="34">
        <v>1</v>
      </c>
      <c r="K521" s="35">
        <v>350</v>
      </c>
      <c r="L521" s="35">
        <v>43.51</v>
      </c>
      <c r="M521" s="36">
        <f t="shared" si="56"/>
        <v>306.49</v>
      </c>
      <c r="N521" s="32" t="s">
        <v>65</v>
      </c>
      <c r="Q521" s="49" t="s">
        <v>864</v>
      </c>
      <c r="R521" s="49" t="s">
        <v>34</v>
      </c>
      <c r="S521" s="58">
        <f t="shared" si="55"/>
        <v>45899</v>
      </c>
      <c r="T521" s="51" t="s">
        <v>29</v>
      </c>
      <c r="U521" s="50" t="s">
        <v>23</v>
      </c>
      <c r="V521" s="52" t="s">
        <v>43</v>
      </c>
      <c r="W521" s="53">
        <v>1</v>
      </c>
      <c r="X521" s="54">
        <v>350</v>
      </c>
      <c r="Y521" s="54">
        <v>43.51</v>
      </c>
      <c r="Z521" s="55">
        <f t="shared" si="57"/>
        <v>306.49</v>
      </c>
      <c r="AA521" s="56" t="s">
        <v>65</v>
      </c>
      <c r="AB521"/>
    </row>
    <row r="522" spans="1:28" x14ac:dyDescent="0.25">
      <c r="A522" s="26" t="s">
        <v>866</v>
      </c>
      <c r="B522" s="26" t="s">
        <v>34</v>
      </c>
      <c r="C522" s="26" t="str">
        <f t="shared" si="52"/>
        <v>Carlos Silva</v>
      </c>
      <c r="D522" s="37" t="s">
        <v>415</v>
      </c>
      <c r="E522" s="27">
        <f t="shared" si="53"/>
        <v>45842</v>
      </c>
      <c r="F522" s="26" t="s">
        <v>29</v>
      </c>
      <c r="G522" s="26" t="str">
        <f t="shared" si="54"/>
        <v>Camila Rocha</v>
      </c>
      <c r="H522" s="26" t="s">
        <v>23</v>
      </c>
      <c r="I522" s="26" t="s">
        <v>24</v>
      </c>
      <c r="J522" s="28">
        <v>3</v>
      </c>
      <c r="K522" s="29">
        <v>180</v>
      </c>
      <c r="L522" s="29">
        <v>53.85</v>
      </c>
      <c r="M522" s="30">
        <f t="shared" si="56"/>
        <v>486.15</v>
      </c>
      <c r="N522" s="26" t="s">
        <v>32</v>
      </c>
      <c r="Q522" s="42" t="s">
        <v>866</v>
      </c>
      <c r="R522" s="42" t="s">
        <v>34</v>
      </c>
      <c r="S522" s="57">
        <f t="shared" si="55"/>
        <v>45842</v>
      </c>
      <c r="T522" s="44" t="s">
        <v>29</v>
      </c>
      <c r="U522" s="43" t="s">
        <v>23</v>
      </c>
      <c r="V522" s="42" t="s">
        <v>24</v>
      </c>
      <c r="W522" s="45">
        <v>3</v>
      </c>
      <c r="X522" s="46">
        <v>180</v>
      </c>
      <c r="Y522" s="46">
        <v>53.85</v>
      </c>
      <c r="Z522" s="47">
        <f t="shared" si="57"/>
        <v>486.15</v>
      </c>
      <c r="AA522" s="48" t="s">
        <v>32</v>
      </c>
      <c r="AB522"/>
    </row>
    <row r="523" spans="1:28" x14ac:dyDescent="0.25">
      <c r="A523" s="31" t="s">
        <v>867</v>
      </c>
      <c r="B523" s="31" t="s">
        <v>20</v>
      </c>
      <c r="C523" s="32" t="str">
        <f t="shared" si="52"/>
        <v>Beatriz Ribeiro</v>
      </c>
      <c r="D523" s="38" t="s">
        <v>868</v>
      </c>
      <c r="E523" s="33">
        <f t="shared" si="53"/>
        <v>46014</v>
      </c>
      <c r="F523" s="32" t="s">
        <v>47</v>
      </c>
      <c r="G523" s="32" t="str">
        <f t="shared" si="54"/>
        <v>Bruno Martins</v>
      </c>
      <c r="H523" s="32" t="s">
        <v>30</v>
      </c>
      <c r="I523" s="32" t="s">
        <v>68</v>
      </c>
      <c r="J523" s="34">
        <v>3</v>
      </c>
      <c r="K523" s="35">
        <v>799</v>
      </c>
      <c r="L523" s="35">
        <v>0</v>
      </c>
      <c r="M523" s="36">
        <f t="shared" si="56"/>
        <v>2397</v>
      </c>
      <c r="N523" s="32" t="s">
        <v>89</v>
      </c>
      <c r="Q523" s="49" t="s">
        <v>867</v>
      </c>
      <c r="R523" s="49" t="s">
        <v>20</v>
      </c>
      <c r="S523" s="58">
        <f t="shared" si="55"/>
        <v>46014</v>
      </c>
      <c r="T523" s="51" t="s">
        <v>47</v>
      </c>
      <c r="U523" s="50" t="s">
        <v>30</v>
      </c>
      <c r="V523" s="52" t="s">
        <v>68</v>
      </c>
      <c r="W523" s="53">
        <v>3</v>
      </c>
      <c r="X523" s="54">
        <v>799</v>
      </c>
      <c r="Y523" s="54">
        <v>0</v>
      </c>
      <c r="Z523" s="55">
        <f t="shared" si="57"/>
        <v>2397</v>
      </c>
      <c r="AA523" s="56" t="s">
        <v>89</v>
      </c>
      <c r="AB523"/>
    </row>
    <row r="524" spans="1:28" x14ac:dyDescent="0.25">
      <c r="A524" s="26" t="s">
        <v>869</v>
      </c>
      <c r="B524" s="26" t="s">
        <v>95</v>
      </c>
      <c r="C524" s="26" t="str">
        <f t="shared" si="52"/>
        <v>Maria Oliveira</v>
      </c>
      <c r="D524" s="37" t="s">
        <v>603</v>
      </c>
      <c r="E524" s="27">
        <f t="shared" si="53"/>
        <v>45992</v>
      </c>
      <c r="F524" s="26" t="s">
        <v>47</v>
      </c>
      <c r="G524" s="26" t="str">
        <f t="shared" si="54"/>
        <v>Bruno Martins</v>
      </c>
      <c r="H524" s="26" t="s">
        <v>30</v>
      </c>
      <c r="I524" s="26" t="s">
        <v>68</v>
      </c>
      <c r="J524" s="28">
        <v>1</v>
      </c>
      <c r="K524" s="29">
        <v>799</v>
      </c>
      <c r="L524" s="29">
        <v>2.2999999999999998</v>
      </c>
      <c r="M524" s="30">
        <f t="shared" si="56"/>
        <v>796.7</v>
      </c>
      <c r="N524" s="26" t="s">
        <v>49</v>
      </c>
      <c r="Q524" s="42" t="s">
        <v>869</v>
      </c>
      <c r="R524" s="42" t="s">
        <v>95</v>
      </c>
      <c r="S524" s="57">
        <f t="shared" si="55"/>
        <v>45992</v>
      </c>
      <c r="T524" s="44" t="s">
        <v>47</v>
      </c>
      <c r="U524" s="43" t="s">
        <v>30</v>
      </c>
      <c r="V524" s="42" t="s">
        <v>68</v>
      </c>
      <c r="W524" s="45">
        <v>1</v>
      </c>
      <c r="X524" s="46">
        <v>799</v>
      </c>
      <c r="Y524" s="46">
        <v>2.2999999999999998</v>
      </c>
      <c r="Z524" s="47">
        <f t="shared" si="57"/>
        <v>796.7</v>
      </c>
      <c r="AA524" s="48" t="s">
        <v>49</v>
      </c>
      <c r="AB524"/>
    </row>
    <row r="525" spans="1:28" x14ac:dyDescent="0.25">
      <c r="A525" s="31" t="s">
        <v>870</v>
      </c>
      <c r="B525" s="31" t="s">
        <v>63</v>
      </c>
      <c r="C525" s="32" t="str">
        <f t="shared" si="52"/>
        <v>Marcos Rodrigues</v>
      </c>
      <c r="D525" s="38" t="s">
        <v>716</v>
      </c>
      <c r="E525" s="33">
        <f t="shared" si="53"/>
        <v>45781</v>
      </c>
      <c r="F525" s="32" t="s">
        <v>39</v>
      </c>
      <c r="G525" s="32" t="str">
        <f t="shared" si="54"/>
        <v>Rodrigo Mello</v>
      </c>
      <c r="H525" s="32" t="s">
        <v>30</v>
      </c>
      <c r="I525" s="32" t="s">
        <v>106</v>
      </c>
      <c r="J525" s="34">
        <v>1</v>
      </c>
      <c r="K525" s="35">
        <v>299</v>
      </c>
      <c r="L525" s="35">
        <v>12.25</v>
      </c>
      <c r="M525" s="36">
        <f t="shared" si="56"/>
        <v>286.75</v>
      </c>
      <c r="N525" s="32" t="s">
        <v>89</v>
      </c>
      <c r="Q525" s="49" t="s">
        <v>870</v>
      </c>
      <c r="R525" s="49" t="s">
        <v>63</v>
      </c>
      <c r="S525" s="58">
        <f t="shared" si="55"/>
        <v>45781</v>
      </c>
      <c r="T525" s="51" t="s">
        <v>39</v>
      </c>
      <c r="U525" s="50" t="s">
        <v>30</v>
      </c>
      <c r="V525" s="52" t="s">
        <v>106</v>
      </c>
      <c r="W525" s="53">
        <v>1</v>
      </c>
      <c r="X525" s="54">
        <v>299</v>
      </c>
      <c r="Y525" s="54">
        <v>12.25</v>
      </c>
      <c r="Z525" s="55">
        <f t="shared" si="57"/>
        <v>286.75</v>
      </c>
      <c r="AA525" s="56" t="s">
        <v>89</v>
      </c>
      <c r="AB525"/>
    </row>
    <row r="526" spans="1:28" x14ac:dyDescent="0.25">
      <c r="A526" s="26" t="s">
        <v>871</v>
      </c>
      <c r="B526" s="26" t="s">
        <v>95</v>
      </c>
      <c r="C526" s="26" t="str">
        <f t="shared" si="52"/>
        <v>Maria Oliveira</v>
      </c>
      <c r="D526" s="37" t="s">
        <v>441</v>
      </c>
      <c r="E526" s="27">
        <f t="shared" si="53"/>
        <v>45959</v>
      </c>
      <c r="F526" s="26" t="s">
        <v>29</v>
      </c>
      <c r="G526" s="26" t="str">
        <f t="shared" si="54"/>
        <v>Camila Rocha</v>
      </c>
      <c r="H526" s="26" t="s">
        <v>52</v>
      </c>
      <c r="I526" s="26" t="s">
        <v>61</v>
      </c>
      <c r="J526" s="28">
        <v>1</v>
      </c>
      <c r="K526" s="29">
        <v>199</v>
      </c>
      <c r="L526" s="29">
        <v>20.63</v>
      </c>
      <c r="M526" s="30">
        <f t="shared" si="56"/>
        <v>178.37</v>
      </c>
      <c r="N526" s="26" t="s">
        <v>65</v>
      </c>
      <c r="Q526" s="42" t="s">
        <v>871</v>
      </c>
      <c r="R526" s="42" t="s">
        <v>95</v>
      </c>
      <c r="S526" s="57">
        <f t="shared" si="55"/>
        <v>45959</v>
      </c>
      <c r="T526" s="44" t="s">
        <v>29</v>
      </c>
      <c r="U526" s="43" t="s">
        <v>52</v>
      </c>
      <c r="V526" s="42" t="s">
        <v>61</v>
      </c>
      <c r="W526" s="45">
        <v>1</v>
      </c>
      <c r="X526" s="46">
        <v>199</v>
      </c>
      <c r="Y526" s="46">
        <v>20.63</v>
      </c>
      <c r="Z526" s="47">
        <f t="shared" si="57"/>
        <v>178.37</v>
      </c>
      <c r="AA526" s="48" t="s">
        <v>65</v>
      </c>
      <c r="AB526"/>
    </row>
    <row r="527" spans="1:28" x14ac:dyDescent="0.25">
      <c r="A527" s="31" t="s">
        <v>872</v>
      </c>
      <c r="B527" s="31" t="s">
        <v>101</v>
      </c>
      <c r="C527" s="32" t="str">
        <f t="shared" si="52"/>
        <v>Ana Souza</v>
      </c>
      <c r="D527" s="38" t="s">
        <v>329</v>
      </c>
      <c r="E527" s="33">
        <f t="shared" si="53"/>
        <v>46036</v>
      </c>
      <c r="F527" s="32" t="s">
        <v>39</v>
      </c>
      <c r="G527" s="32" t="str">
        <f t="shared" si="54"/>
        <v>Rodrigo Mello</v>
      </c>
      <c r="H527" s="32" t="s">
        <v>30</v>
      </c>
      <c r="I527" s="32" t="s">
        <v>152</v>
      </c>
      <c r="J527" s="34">
        <v>4</v>
      </c>
      <c r="K527" s="35">
        <v>4500</v>
      </c>
      <c r="L527" s="35">
        <v>1114.6199999999999</v>
      </c>
      <c r="M527" s="36">
        <f t="shared" si="56"/>
        <v>16885.38</v>
      </c>
      <c r="N527" s="32" t="s">
        <v>69</v>
      </c>
      <c r="Q527" s="49" t="s">
        <v>872</v>
      </c>
      <c r="R527" s="49" t="s">
        <v>101</v>
      </c>
      <c r="S527" s="58">
        <f t="shared" si="55"/>
        <v>46036</v>
      </c>
      <c r="T527" s="51" t="s">
        <v>39</v>
      </c>
      <c r="U527" s="50" t="s">
        <v>30</v>
      </c>
      <c r="V527" s="52" t="s">
        <v>152</v>
      </c>
      <c r="W527" s="53">
        <v>4</v>
      </c>
      <c r="X527" s="54">
        <v>4500</v>
      </c>
      <c r="Y527" s="54">
        <v>1114.6199999999999</v>
      </c>
      <c r="Z527" s="55">
        <f t="shared" si="57"/>
        <v>16885.38</v>
      </c>
      <c r="AA527" s="56" t="s">
        <v>69</v>
      </c>
      <c r="AB527"/>
    </row>
    <row r="528" spans="1:28" x14ac:dyDescent="0.25">
      <c r="A528" s="26" t="s">
        <v>873</v>
      </c>
      <c r="B528" s="26" t="s">
        <v>27</v>
      </c>
      <c r="C528" s="26" t="str">
        <f t="shared" si="52"/>
        <v>Roberto Santos</v>
      </c>
      <c r="D528" s="37" t="s">
        <v>549</v>
      </c>
      <c r="E528" s="27">
        <f t="shared" si="53"/>
        <v>45950</v>
      </c>
      <c r="F528" s="26" t="s">
        <v>39</v>
      </c>
      <c r="G528" s="26" t="str">
        <f t="shared" si="54"/>
        <v>Rodrigo Mello</v>
      </c>
      <c r="H528" s="26" t="s">
        <v>16</v>
      </c>
      <c r="I528" s="26" t="s">
        <v>78</v>
      </c>
      <c r="J528" s="28">
        <v>1</v>
      </c>
      <c r="K528" s="29">
        <v>59</v>
      </c>
      <c r="L528" s="29">
        <v>0</v>
      </c>
      <c r="M528" s="30">
        <f t="shared" si="56"/>
        <v>59</v>
      </c>
      <c r="N528" s="26" t="s">
        <v>89</v>
      </c>
      <c r="Q528" s="42" t="s">
        <v>873</v>
      </c>
      <c r="R528" s="42" t="s">
        <v>27</v>
      </c>
      <c r="S528" s="57">
        <f t="shared" si="55"/>
        <v>45950</v>
      </c>
      <c r="T528" s="44" t="s">
        <v>39</v>
      </c>
      <c r="U528" s="43" t="s">
        <v>16</v>
      </c>
      <c r="V528" s="42" t="s">
        <v>78</v>
      </c>
      <c r="W528" s="45">
        <v>1</v>
      </c>
      <c r="X528" s="46">
        <v>59</v>
      </c>
      <c r="Y528" s="46">
        <v>0</v>
      </c>
      <c r="Z528" s="47">
        <f t="shared" si="57"/>
        <v>59</v>
      </c>
      <c r="AA528" s="48" t="s">
        <v>89</v>
      </c>
      <c r="AB528"/>
    </row>
    <row r="529" spans="1:28" x14ac:dyDescent="0.25">
      <c r="A529" s="31" t="s">
        <v>874</v>
      </c>
      <c r="B529" s="31" t="s">
        <v>95</v>
      </c>
      <c r="C529" s="32" t="str">
        <f t="shared" si="52"/>
        <v>Maria Oliveira</v>
      </c>
      <c r="D529" s="38" t="s">
        <v>875</v>
      </c>
      <c r="E529" s="33">
        <f t="shared" si="53"/>
        <v>45931</v>
      </c>
      <c r="F529" s="32" t="s">
        <v>29</v>
      </c>
      <c r="G529" s="32" t="str">
        <f t="shared" si="54"/>
        <v>Camila Rocha</v>
      </c>
      <c r="H529" s="32" t="s">
        <v>16</v>
      </c>
      <c r="I529" s="32" t="s">
        <v>78</v>
      </c>
      <c r="J529" s="34">
        <v>5</v>
      </c>
      <c r="K529" s="35">
        <v>59</v>
      </c>
      <c r="L529" s="35">
        <v>0</v>
      </c>
      <c r="M529" s="36">
        <f t="shared" si="56"/>
        <v>295</v>
      </c>
      <c r="N529" s="32" t="s">
        <v>89</v>
      </c>
      <c r="Q529" s="49" t="s">
        <v>874</v>
      </c>
      <c r="R529" s="49" t="s">
        <v>95</v>
      </c>
      <c r="S529" s="58">
        <f t="shared" si="55"/>
        <v>45931</v>
      </c>
      <c r="T529" s="51" t="s">
        <v>29</v>
      </c>
      <c r="U529" s="50" t="s">
        <v>16</v>
      </c>
      <c r="V529" s="52" t="s">
        <v>78</v>
      </c>
      <c r="W529" s="53">
        <v>5</v>
      </c>
      <c r="X529" s="54">
        <v>59</v>
      </c>
      <c r="Y529" s="54">
        <v>0</v>
      </c>
      <c r="Z529" s="55">
        <f t="shared" si="57"/>
        <v>295</v>
      </c>
      <c r="AA529" s="56" t="s">
        <v>89</v>
      </c>
      <c r="AB529"/>
    </row>
    <row r="530" spans="1:28" x14ac:dyDescent="0.25">
      <c r="A530" s="26" t="s">
        <v>876</v>
      </c>
      <c r="B530" s="26" t="s">
        <v>55</v>
      </c>
      <c r="C530" s="26" t="str">
        <f t="shared" si="52"/>
        <v>Ricardo Carvalho</v>
      </c>
      <c r="D530" s="37" t="s">
        <v>371</v>
      </c>
      <c r="E530" s="27">
        <f t="shared" si="53"/>
        <v>46007</v>
      </c>
      <c r="F530" s="26" t="s">
        <v>15</v>
      </c>
      <c r="G530" s="26" t="str">
        <f t="shared" si="54"/>
        <v>Larissa Dias</v>
      </c>
      <c r="H530" s="26" t="s">
        <v>30</v>
      </c>
      <c r="I530" s="26" t="s">
        <v>31</v>
      </c>
      <c r="J530" s="28">
        <v>3</v>
      </c>
      <c r="K530" s="29">
        <v>2500</v>
      </c>
      <c r="L530" s="29">
        <v>475.99</v>
      </c>
      <c r="M530" s="30">
        <f t="shared" si="56"/>
        <v>7024.01</v>
      </c>
      <c r="N530" s="26" t="s">
        <v>44</v>
      </c>
      <c r="Q530" s="42" t="s">
        <v>876</v>
      </c>
      <c r="R530" s="42" t="s">
        <v>55</v>
      </c>
      <c r="S530" s="57">
        <f t="shared" si="55"/>
        <v>46007</v>
      </c>
      <c r="T530" s="44" t="s">
        <v>15</v>
      </c>
      <c r="U530" s="43" t="s">
        <v>30</v>
      </c>
      <c r="V530" s="42" t="s">
        <v>31</v>
      </c>
      <c r="W530" s="45">
        <v>3</v>
      </c>
      <c r="X530" s="46">
        <v>2500</v>
      </c>
      <c r="Y530" s="46">
        <v>475.99</v>
      </c>
      <c r="Z530" s="47">
        <f t="shared" si="57"/>
        <v>7024.01</v>
      </c>
      <c r="AA530" s="48" t="s">
        <v>44</v>
      </c>
      <c r="AB530"/>
    </row>
    <row r="531" spans="1:28" x14ac:dyDescent="0.25">
      <c r="A531" s="31" t="s">
        <v>877</v>
      </c>
      <c r="B531" s="31" t="s">
        <v>71</v>
      </c>
      <c r="C531" s="32" t="str">
        <f t="shared" si="52"/>
        <v>Juliana Costa</v>
      </c>
      <c r="D531" s="38" t="s">
        <v>250</v>
      </c>
      <c r="E531" s="33">
        <f t="shared" si="53"/>
        <v>45686</v>
      </c>
      <c r="F531" s="32" t="s">
        <v>22</v>
      </c>
      <c r="G531" s="32" t="str">
        <f t="shared" si="54"/>
        <v>Amanda Costa</v>
      </c>
      <c r="H531" s="32" t="s">
        <v>30</v>
      </c>
      <c r="I531" s="32" t="s">
        <v>106</v>
      </c>
      <c r="J531" s="34">
        <v>4</v>
      </c>
      <c r="K531" s="35">
        <v>299</v>
      </c>
      <c r="L531" s="35">
        <v>0</v>
      </c>
      <c r="M531" s="36">
        <f t="shared" si="56"/>
        <v>1196</v>
      </c>
      <c r="N531" s="32" t="s">
        <v>65</v>
      </c>
      <c r="Q531" s="49" t="s">
        <v>877</v>
      </c>
      <c r="R531" s="49" t="s">
        <v>71</v>
      </c>
      <c r="S531" s="58">
        <f t="shared" si="55"/>
        <v>45686</v>
      </c>
      <c r="T531" s="51" t="s">
        <v>22</v>
      </c>
      <c r="U531" s="50" t="s">
        <v>30</v>
      </c>
      <c r="V531" s="52" t="s">
        <v>106</v>
      </c>
      <c r="W531" s="53">
        <v>4</v>
      </c>
      <c r="X531" s="54">
        <v>299</v>
      </c>
      <c r="Y531" s="54">
        <v>0</v>
      </c>
      <c r="Z531" s="55">
        <f t="shared" si="57"/>
        <v>1196</v>
      </c>
      <c r="AA531" s="56" t="s">
        <v>65</v>
      </c>
      <c r="AB531"/>
    </row>
    <row r="532" spans="1:28" x14ac:dyDescent="0.25">
      <c r="A532" s="26" t="s">
        <v>878</v>
      </c>
      <c r="B532" s="26" t="s">
        <v>95</v>
      </c>
      <c r="C532" s="26" t="str">
        <f t="shared" si="52"/>
        <v>Maria Oliveira</v>
      </c>
      <c r="D532" s="37" t="s">
        <v>290</v>
      </c>
      <c r="E532" s="27">
        <f t="shared" si="53"/>
        <v>45884</v>
      </c>
      <c r="F532" s="26" t="s">
        <v>29</v>
      </c>
      <c r="G532" s="26" t="str">
        <f t="shared" si="54"/>
        <v>Camila Rocha</v>
      </c>
      <c r="H532" s="26" t="s">
        <v>52</v>
      </c>
      <c r="I532" s="26" t="s">
        <v>99</v>
      </c>
      <c r="J532" s="28">
        <v>4</v>
      </c>
      <c r="K532" s="29">
        <v>79</v>
      </c>
      <c r="L532" s="29">
        <v>47.01</v>
      </c>
      <c r="M532" s="30">
        <f t="shared" si="56"/>
        <v>268.99</v>
      </c>
      <c r="N532" s="26" t="s">
        <v>18</v>
      </c>
      <c r="Q532" s="42" t="s">
        <v>878</v>
      </c>
      <c r="R532" s="42" t="s">
        <v>95</v>
      </c>
      <c r="S532" s="57">
        <f t="shared" si="55"/>
        <v>45884</v>
      </c>
      <c r="T532" s="44" t="s">
        <v>29</v>
      </c>
      <c r="U532" s="43" t="s">
        <v>52</v>
      </c>
      <c r="V532" s="42" t="s">
        <v>99</v>
      </c>
      <c r="W532" s="45">
        <v>4</v>
      </c>
      <c r="X532" s="46">
        <v>79</v>
      </c>
      <c r="Y532" s="46">
        <v>47.01</v>
      </c>
      <c r="Z532" s="47">
        <f t="shared" si="57"/>
        <v>268.99</v>
      </c>
      <c r="AA532" s="48" t="s">
        <v>18</v>
      </c>
      <c r="AB532"/>
    </row>
    <row r="533" spans="1:28" x14ac:dyDescent="0.25">
      <c r="A533" s="31" t="s">
        <v>879</v>
      </c>
      <c r="B533" s="31" t="s">
        <v>101</v>
      </c>
      <c r="C533" s="32" t="str">
        <f t="shared" si="52"/>
        <v>Ana Souza</v>
      </c>
      <c r="D533" s="38" t="s">
        <v>880</v>
      </c>
      <c r="E533" s="33">
        <f t="shared" si="53"/>
        <v>46046</v>
      </c>
      <c r="F533" s="32" t="s">
        <v>47</v>
      </c>
      <c r="G533" s="32" t="str">
        <f t="shared" si="54"/>
        <v>Bruno Martins</v>
      </c>
      <c r="H533" s="32" t="s">
        <v>23</v>
      </c>
      <c r="I533" s="32" t="s">
        <v>43</v>
      </c>
      <c r="J533" s="34">
        <v>3</v>
      </c>
      <c r="K533" s="35">
        <v>350</v>
      </c>
      <c r="L533" s="35">
        <v>10.82</v>
      </c>
      <c r="M533" s="36">
        <f t="shared" si="56"/>
        <v>1039.18</v>
      </c>
      <c r="N533" s="32" t="s">
        <v>25</v>
      </c>
      <c r="Q533" s="49" t="s">
        <v>879</v>
      </c>
      <c r="R533" s="49" t="s">
        <v>101</v>
      </c>
      <c r="S533" s="58">
        <f t="shared" si="55"/>
        <v>46046</v>
      </c>
      <c r="T533" s="51" t="s">
        <v>47</v>
      </c>
      <c r="U533" s="50" t="s">
        <v>23</v>
      </c>
      <c r="V533" s="52" t="s">
        <v>43</v>
      </c>
      <c r="W533" s="53">
        <v>3</v>
      </c>
      <c r="X533" s="54">
        <v>350</v>
      </c>
      <c r="Y533" s="54">
        <v>10.82</v>
      </c>
      <c r="Z533" s="55">
        <f t="shared" si="57"/>
        <v>1039.18</v>
      </c>
      <c r="AA533" s="56" t="s">
        <v>25</v>
      </c>
      <c r="AB533"/>
    </row>
    <row r="534" spans="1:28" x14ac:dyDescent="0.25">
      <c r="A534" s="26" t="s">
        <v>881</v>
      </c>
      <c r="B534" s="26" t="s">
        <v>55</v>
      </c>
      <c r="C534" s="26" t="str">
        <f t="shared" si="52"/>
        <v>Ricardo Carvalho</v>
      </c>
      <c r="D534" s="37" t="s">
        <v>377</v>
      </c>
      <c r="E534" s="27">
        <f t="shared" si="53"/>
        <v>45975</v>
      </c>
      <c r="F534" s="26" t="s">
        <v>29</v>
      </c>
      <c r="G534" s="26" t="str">
        <f t="shared" si="54"/>
        <v>Camila Rocha</v>
      </c>
      <c r="H534" s="26" t="s">
        <v>52</v>
      </c>
      <c r="I534" s="26" t="s">
        <v>75</v>
      </c>
      <c r="J534" s="28">
        <v>4</v>
      </c>
      <c r="K534" s="29">
        <v>249</v>
      </c>
      <c r="L534" s="29">
        <v>0</v>
      </c>
      <c r="M534" s="30">
        <f t="shared" si="56"/>
        <v>996</v>
      </c>
      <c r="N534" s="26" t="s">
        <v>89</v>
      </c>
      <c r="Q534" s="42" t="s">
        <v>881</v>
      </c>
      <c r="R534" s="42" t="s">
        <v>55</v>
      </c>
      <c r="S534" s="57">
        <f t="shared" si="55"/>
        <v>45975</v>
      </c>
      <c r="T534" s="44" t="s">
        <v>29</v>
      </c>
      <c r="U534" s="43" t="s">
        <v>52</v>
      </c>
      <c r="V534" s="42" t="s">
        <v>75</v>
      </c>
      <c r="W534" s="45">
        <v>4</v>
      </c>
      <c r="X534" s="46">
        <v>249</v>
      </c>
      <c r="Y534" s="46">
        <v>0</v>
      </c>
      <c r="Z534" s="47">
        <f t="shared" si="57"/>
        <v>996</v>
      </c>
      <c r="AA534" s="48" t="s">
        <v>89</v>
      </c>
      <c r="AB534"/>
    </row>
    <row r="535" spans="1:28" x14ac:dyDescent="0.25">
      <c r="A535" s="31" t="s">
        <v>882</v>
      </c>
      <c r="B535" s="31" t="s">
        <v>20</v>
      </c>
      <c r="C535" s="32" t="str">
        <f t="shared" si="52"/>
        <v>Beatriz Ribeiro</v>
      </c>
      <c r="D535" s="38" t="s">
        <v>525</v>
      </c>
      <c r="E535" s="33">
        <f t="shared" si="53"/>
        <v>45945</v>
      </c>
      <c r="F535" s="32" t="s">
        <v>22</v>
      </c>
      <c r="G535" s="32" t="str">
        <f t="shared" si="54"/>
        <v>Amanda Costa</v>
      </c>
      <c r="H535" s="32" t="s">
        <v>23</v>
      </c>
      <c r="I535" s="32" t="s">
        <v>24</v>
      </c>
      <c r="J535" s="34">
        <v>5</v>
      </c>
      <c r="K535" s="35">
        <v>180</v>
      </c>
      <c r="L535" s="35">
        <v>0</v>
      </c>
      <c r="M535" s="36">
        <f t="shared" si="56"/>
        <v>900</v>
      </c>
      <c r="N535" s="32" t="s">
        <v>25</v>
      </c>
      <c r="Q535" s="49" t="s">
        <v>882</v>
      </c>
      <c r="R535" s="49" t="s">
        <v>20</v>
      </c>
      <c r="S535" s="58">
        <f t="shared" si="55"/>
        <v>45945</v>
      </c>
      <c r="T535" s="51" t="s">
        <v>22</v>
      </c>
      <c r="U535" s="50" t="s">
        <v>23</v>
      </c>
      <c r="V535" s="52" t="s">
        <v>24</v>
      </c>
      <c r="W535" s="53">
        <v>5</v>
      </c>
      <c r="X535" s="54">
        <v>180</v>
      </c>
      <c r="Y535" s="54">
        <v>0</v>
      </c>
      <c r="Z535" s="55">
        <f t="shared" si="57"/>
        <v>900</v>
      </c>
      <c r="AA535" s="56" t="s">
        <v>25</v>
      </c>
      <c r="AB535"/>
    </row>
    <row r="536" spans="1:28" x14ac:dyDescent="0.25">
      <c r="A536" s="26" t="s">
        <v>883</v>
      </c>
      <c r="B536" s="26" t="s">
        <v>37</v>
      </c>
      <c r="C536" s="26" t="str">
        <f t="shared" si="52"/>
        <v>Patricia Gomes</v>
      </c>
      <c r="D536" s="37" t="s">
        <v>884</v>
      </c>
      <c r="E536" s="27">
        <f t="shared" si="53"/>
        <v>45721</v>
      </c>
      <c r="F536" s="26" t="s">
        <v>29</v>
      </c>
      <c r="G536" s="26" t="str">
        <f t="shared" si="54"/>
        <v>Camila Rocha</v>
      </c>
      <c r="H536" s="26" t="s">
        <v>52</v>
      </c>
      <c r="I536" s="26" t="s">
        <v>99</v>
      </c>
      <c r="J536" s="28">
        <v>1</v>
      </c>
      <c r="K536" s="29">
        <v>79</v>
      </c>
      <c r="L536" s="29">
        <v>0</v>
      </c>
      <c r="M536" s="30">
        <f t="shared" si="56"/>
        <v>79</v>
      </c>
      <c r="N536" s="26" t="s">
        <v>32</v>
      </c>
      <c r="Q536" s="42" t="s">
        <v>883</v>
      </c>
      <c r="R536" s="42" t="s">
        <v>37</v>
      </c>
      <c r="S536" s="57">
        <f t="shared" si="55"/>
        <v>45721</v>
      </c>
      <c r="T536" s="44" t="s">
        <v>29</v>
      </c>
      <c r="U536" s="43" t="s">
        <v>52</v>
      </c>
      <c r="V536" s="42" t="s">
        <v>99</v>
      </c>
      <c r="W536" s="45">
        <v>1</v>
      </c>
      <c r="X536" s="46">
        <v>79</v>
      </c>
      <c r="Y536" s="46">
        <v>0</v>
      </c>
      <c r="Z536" s="47">
        <f t="shared" si="57"/>
        <v>79</v>
      </c>
      <c r="AA536" s="48" t="s">
        <v>32</v>
      </c>
      <c r="AB536"/>
    </row>
    <row r="537" spans="1:28" x14ac:dyDescent="0.25">
      <c r="A537" s="31" t="s">
        <v>885</v>
      </c>
      <c r="B537" s="31" t="s">
        <v>37</v>
      </c>
      <c r="C537" s="32" t="str">
        <f t="shared" si="52"/>
        <v>Patricia Gomes</v>
      </c>
      <c r="D537" s="38" t="s">
        <v>787</v>
      </c>
      <c r="E537" s="33">
        <f t="shared" si="53"/>
        <v>45819</v>
      </c>
      <c r="F537" s="32" t="s">
        <v>22</v>
      </c>
      <c r="G537" s="32" t="str">
        <f t="shared" si="54"/>
        <v>Amanda Costa</v>
      </c>
      <c r="H537" s="32" t="s">
        <v>52</v>
      </c>
      <c r="I537" s="32" t="s">
        <v>61</v>
      </c>
      <c r="J537" s="34">
        <v>3</v>
      </c>
      <c r="K537" s="35">
        <v>199</v>
      </c>
      <c r="L537" s="35">
        <v>40.07</v>
      </c>
      <c r="M537" s="36">
        <f t="shared" si="56"/>
        <v>556.92999999999995</v>
      </c>
      <c r="N537" s="32" t="s">
        <v>89</v>
      </c>
      <c r="Q537" s="49" t="s">
        <v>885</v>
      </c>
      <c r="R537" s="49" t="s">
        <v>37</v>
      </c>
      <c r="S537" s="58">
        <f t="shared" si="55"/>
        <v>45819</v>
      </c>
      <c r="T537" s="51" t="s">
        <v>22</v>
      </c>
      <c r="U537" s="50" t="s">
        <v>52</v>
      </c>
      <c r="V537" s="52" t="s">
        <v>61</v>
      </c>
      <c r="W537" s="53">
        <v>3</v>
      </c>
      <c r="X537" s="54">
        <v>199</v>
      </c>
      <c r="Y537" s="54">
        <v>40.07</v>
      </c>
      <c r="Z537" s="55">
        <f t="shared" si="57"/>
        <v>556.92999999999995</v>
      </c>
      <c r="AA537" s="56" t="s">
        <v>89</v>
      </c>
      <c r="AB537"/>
    </row>
    <row r="538" spans="1:28" x14ac:dyDescent="0.25">
      <c r="A538" s="26" t="s">
        <v>886</v>
      </c>
      <c r="B538" s="26" t="s">
        <v>95</v>
      </c>
      <c r="C538" s="26" t="str">
        <f t="shared" si="52"/>
        <v>Maria Oliveira</v>
      </c>
      <c r="D538" s="37" t="s">
        <v>265</v>
      </c>
      <c r="E538" s="27">
        <f t="shared" si="53"/>
        <v>45703</v>
      </c>
      <c r="F538" s="26" t="s">
        <v>47</v>
      </c>
      <c r="G538" s="26" t="str">
        <f t="shared" si="54"/>
        <v>Bruno Martins</v>
      </c>
      <c r="H538" s="26" t="s">
        <v>52</v>
      </c>
      <c r="I538" s="26" t="s">
        <v>75</v>
      </c>
      <c r="J538" s="28">
        <v>3</v>
      </c>
      <c r="K538" s="29">
        <v>249</v>
      </c>
      <c r="L538" s="29">
        <v>42.46</v>
      </c>
      <c r="M538" s="30">
        <f t="shared" si="56"/>
        <v>704.54</v>
      </c>
      <c r="N538" s="26" t="s">
        <v>44</v>
      </c>
      <c r="Q538" s="42" t="s">
        <v>886</v>
      </c>
      <c r="R538" s="42" t="s">
        <v>95</v>
      </c>
      <c r="S538" s="57">
        <f t="shared" si="55"/>
        <v>45703</v>
      </c>
      <c r="T538" s="44" t="s">
        <v>47</v>
      </c>
      <c r="U538" s="43" t="s">
        <v>52</v>
      </c>
      <c r="V538" s="42" t="s">
        <v>75</v>
      </c>
      <c r="W538" s="45">
        <v>3</v>
      </c>
      <c r="X538" s="46">
        <v>249</v>
      </c>
      <c r="Y538" s="46">
        <v>42.46</v>
      </c>
      <c r="Z538" s="47">
        <f t="shared" si="57"/>
        <v>704.54</v>
      </c>
      <c r="AA538" s="48" t="s">
        <v>44</v>
      </c>
      <c r="AB538"/>
    </row>
    <row r="539" spans="1:28" x14ac:dyDescent="0.25">
      <c r="A539" s="31" t="s">
        <v>887</v>
      </c>
      <c r="B539" s="31" t="s">
        <v>63</v>
      </c>
      <c r="C539" s="32" t="str">
        <f t="shared" si="52"/>
        <v>Marcos Rodrigues</v>
      </c>
      <c r="D539" s="38" t="s">
        <v>542</v>
      </c>
      <c r="E539" s="33">
        <f t="shared" si="53"/>
        <v>45675</v>
      </c>
      <c r="F539" s="32" t="s">
        <v>47</v>
      </c>
      <c r="G539" s="32" t="str">
        <f t="shared" si="54"/>
        <v>Bruno Martins</v>
      </c>
      <c r="H539" s="32" t="s">
        <v>23</v>
      </c>
      <c r="I539" s="32" t="s">
        <v>43</v>
      </c>
      <c r="J539" s="34">
        <v>2</v>
      </c>
      <c r="K539" s="35">
        <v>350</v>
      </c>
      <c r="L539" s="35">
        <v>92.35</v>
      </c>
      <c r="M539" s="36">
        <f t="shared" si="56"/>
        <v>607.65</v>
      </c>
      <c r="N539" s="32" t="s">
        <v>69</v>
      </c>
      <c r="Q539" s="49" t="s">
        <v>887</v>
      </c>
      <c r="R539" s="49" t="s">
        <v>63</v>
      </c>
      <c r="S539" s="58">
        <f t="shared" si="55"/>
        <v>45675</v>
      </c>
      <c r="T539" s="51" t="s">
        <v>47</v>
      </c>
      <c r="U539" s="50" t="s">
        <v>23</v>
      </c>
      <c r="V539" s="52" t="s">
        <v>43</v>
      </c>
      <c r="W539" s="53">
        <v>2</v>
      </c>
      <c r="X539" s="54">
        <v>350</v>
      </c>
      <c r="Y539" s="54">
        <v>92.35</v>
      </c>
      <c r="Z539" s="55">
        <f t="shared" si="57"/>
        <v>607.65</v>
      </c>
      <c r="AA539" s="56" t="s">
        <v>69</v>
      </c>
      <c r="AB539"/>
    </row>
    <row r="540" spans="1:28" x14ac:dyDescent="0.25">
      <c r="A540" s="26" t="s">
        <v>888</v>
      </c>
      <c r="B540" s="26" t="s">
        <v>71</v>
      </c>
      <c r="C540" s="26" t="str">
        <f t="shared" si="52"/>
        <v>Juliana Costa</v>
      </c>
      <c r="D540" s="37" t="s">
        <v>381</v>
      </c>
      <c r="E540" s="27">
        <f t="shared" si="53"/>
        <v>46037</v>
      </c>
      <c r="F540" s="26" t="s">
        <v>39</v>
      </c>
      <c r="G540" s="26" t="str">
        <f t="shared" si="54"/>
        <v>Rodrigo Mello</v>
      </c>
      <c r="H540" s="26" t="s">
        <v>52</v>
      </c>
      <c r="I540" s="26" t="s">
        <v>53</v>
      </c>
      <c r="J540" s="28">
        <v>4</v>
      </c>
      <c r="K540" s="29">
        <v>149</v>
      </c>
      <c r="L540" s="29">
        <v>83.62</v>
      </c>
      <c r="M540" s="30">
        <f t="shared" si="56"/>
        <v>512.38</v>
      </c>
      <c r="N540" s="26" t="s">
        <v>89</v>
      </c>
      <c r="Q540" s="42" t="s">
        <v>888</v>
      </c>
      <c r="R540" s="42" t="s">
        <v>71</v>
      </c>
      <c r="S540" s="57">
        <f t="shared" si="55"/>
        <v>46037</v>
      </c>
      <c r="T540" s="44" t="s">
        <v>39</v>
      </c>
      <c r="U540" s="43" t="s">
        <v>52</v>
      </c>
      <c r="V540" s="42" t="s">
        <v>53</v>
      </c>
      <c r="W540" s="45">
        <v>4</v>
      </c>
      <c r="X540" s="46">
        <v>149</v>
      </c>
      <c r="Y540" s="46">
        <v>83.62</v>
      </c>
      <c r="Z540" s="47">
        <f t="shared" si="57"/>
        <v>512.38</v>
      </c>
      <c r="AA540" s="48" t="s">
        <v>89</v>
      </c>
      <c r="AB540"/>
    </row>
    <row r="541" spans="1:28" x14ac:dyDescent="0.25">
      <c r="A541" s="31" t="s">
        <v>889</v>
      </c>
      <c r="B541" s="31" t="s">
        <v>55</v>
      </c>
      <c r="C541" s="32" t="str">
        <f t="shared" si="52"/>
        <v>Ricardo Carvalho</v>
      </c>
      <c r="D541" s="38" t="s">
        <v>60</v>
      </c>
      <c r="E541" s="33">
        <f t="shared" si="53"/>
        <v>45763</v>
      </c>
      <c r="F541" s="32" t="s">
        <v>22</v>
      </c>
      <c r="G541" s="32" t="str">
        <f t="shared" si="54"/>
        <v>Amanda Costa</v>
      </c>
      <c r="H541" s="32" t="s">
        <v>52</v>
      </c>
      <c r="I541" s="32" t="s">
        <v>75</v>
      </c>
      <c r="J541" s="34">
        <v>3</v>
      </c>
      <c r="K541" s="35">
        <v>249</v>
      </c>
      <c r="L541" s="35">
        <v>0</v>
      </c>
      <c r="M541" s="36">
        <f t="shared" si="56"/>
        <v>747</v>
      </c>
      <c r="N541" s="32" t="s">
        <v>69</v>
      </c>
      <c r="Q541" s="49" t="s">
        <v>889</v>
      </c>
      <c r="R541" s="49" t="s">
        <v>55</v>
      </c>
      <c r="S541" s="58">
        <f t="shared" si="55"/>
        <v>45763</v>
      </c>
      <c r="T541" s="51" t="s">
        <v>22</v>
      </c>
      <c r="U541" s="50" t="s">
        <v>52</v>
      </c>
      <c r="V541" s="52" t="s">
        <v>75</v>
      </c>
      <c r="W541" s="53">
        <v>3</v>
      </c>
      <c r="X541" s="54">
        <v>249</v>
      </c>
      <c r="Y541" s="54">
        <v>0</v>
      </c>
      <c r="Z541" s="55">
        <f t="shared" si="57"/>
        <v>747</v>
      </c>
      <c r="AA541" s="56" t="s">
        <v>69</v>
      </c>
      <c r="AB541"/>
    </row>
    <row r="542" spans="1:28" x14ac:dyDescent="0.25">
      <c r="A542" s="26" t="s">
        <v>890</v>
      </c>
      <c r="B542" s="26" t="s">
        <v>13</v>
      </c>
      <c r="C542" s="26" t="str">
        <f t="shared" si="52"/>
        <v>Lucas Almeida</v>
      </c>
      <c r="D542" s="37" t="s">
        <v>273</v>
      </c>
      <c r="E542" s="27">
        <f t="shared" si="53"/>
        <v>45777</v>
      </c>
      <c r="F542" s="26" t="s">
        <v>22</v>
      </c>
      <c r="G542" s="26" t="str">
        <f t="shared" si="54"/>
        <v>Amanda Costa</v>
      </c>
      <c r="H542" s="26" t="s">
        <v>52</v>
      </c>
      <c r="I542" s="26" t="s">
        <v>99</v>
      </c>
      <c r="J542" s="28">
        <v>3</v>
      </c>
      <c r="K542" s="29">
        <v>79</v>
      </c>
      <c r="L542" s="29">
        <v>0</v>
      </c>
      <c r="M542" s="30">
        <f t="shared" si="56"/>
        <v>237</v>
      </c>
      <c r="N542" s="26" t="s">
        <v>89</v>
      </c>
      <c r="Q542" s="42" t="s">
        <v>890</v>
      </c>
      <c r="R542" s="42" t="s">
        <v>13</v>
      </c>
      <c r="S542" s="57">
        <f t="shared" si="55"/>
        <v>45777</v>
      </c>
      <c r="T542" s="44" t="s">
        <v>22</v>
      </c>
      <c r="U542" s="43" t="s">
        <v>52</v>
      </c>
      <c r="V542" s="42" t="s">
        <v>99</v>
      </c>
      <c r="W542" s="45">
        <v>3</v>
      </c>
      <c r="X542" s="46">
        <v>79</v>
      </c>
      <c r="Y542" s="46">
        <v>0</v>
      </c>
      <c r="Z542" s="47">
        <f t="shared" si="57"/>
        <v>237</v>
      </c>
      <c r="AA542" s="48" t="s">
        <v>89</v>
      </c>
      <c r="AB542"/>
    </row>
    <row r="543" spans="1:28" x14ac:dyDescent="0.25">
      <c r="A543" s="31" t="s">
        <v>891</v>
      </c>
      <c r="B543" s="31" t="s">
        <v>41</v>
      </c>
      <c r="C543" s="32" t="str">
        <f t="shared" si="52"/>
        <v>João Pereira</v>
      </c>
      <c r="D543" s="38" t="s">
        <v>206</v>
      </c>
      <c r="E543" s="33">
        <f t="shared" si="53"/>
        <v>45906</v>
      </c>
      <c r="F543" s="32" t="s">
        <v>29</v>
      </c>
      <c r="G543" s="32" t="str">
        <f t="shared" si="54"/>
        <v>Camila Rocha</v>
      </c>
      <c r="H543" s="32" t="s">
        <v>30</v>
      </c>
      <c r="I543" s="32" t="s">
        <v>106</v>
      </c>
      <c r="J543" s="34">
        <v>2</v>
      </c>
      <c r="K543" s="35">
        <v>299</v>
      </c>
      <c r="L543" s="35">
        <v>0</v>
      </c>
      <c r="M543" s="36">
        <f t="shared" si="56"/>
        <v>598</v>
      </c>
      <c r="N543" s="32" t="s">
        <v>49</v>
      </c>
      <c r="Q543" s="49" t="s">
        <v>891</v>
      </c>
      <c r="R543" s="49" t="s">
        <v>41</v>
      </c>
      <c r="S543" s="58">
        <f t="shared" si="55"/>
        <v>45906</v>
      </c>
      <c r="T543" s="51" t="s">
        <v>29</v>
      </c>
      <c r="U543" s="50" t="s">
        <v>30</v>
      </c>
      <c r="V543" s="52" t="s">
        <v>106</v>
      </c>
      <c r="W543" s="53">
        <v>2</v>
      </c>
      <c r="X543" s="54">
        <v>299</v>
      </c>
      <c r="Y543" s="54">
        <v>0</v>
      </c>
      <c r="Z543" s="55">
        <f t="shared" si="57"/>
        <v>598</v>
      </c>
      <c r="AA543" s="56" t="s">
        <v>49</v>
      </c>
      <c r="AB543"/>
    </row>
    <row r="544" spans="1:28" x14ac:dyDescent="0.25">
      <c r="A544" s="26" t="s">
        <v>892</v>
      </c>
      <c r="B544" s="26" t="s">
        <v>55</v>
      </c>
      <c r="C544" s="26" t="str">
        <f t="shared" si="52"/>
        <v>Ricardo Carvalho</v>
      </c>
      <c r="D544" s="37" t="s">
        <v>126</v>
      </c>
      <c r="E544" s="27">
        <f t="shared" si="53"/>
        <v>45861</v>
      </c>
      <c r="F544" s="26" t="s">
        <v>22</v>
      </c>
      <c r="G544" s="26" t="str">
        <f t="shared" si="54"/>
        <v>Amanda Costa</v>
      </c>
      <c r="H544" s="26" t="s">
        <v>52</v>
      </c>
      <c r="I544" s="26" t="s">
        <v>99</v>
      </c>
      <c r="J544" s="28">
        <v>2</v>
      </c>
      <c r="K544" s="29">
        <v>79</v>
      </c>
      <c r="L544" s="29">
        <v>2.2599999999999998</v>
      </c>
      <c r="M544" s="30">
        <f t="shared" si="56"/>
        <v>155.74</v>
      </c>
      <c r="N544" s="26" t="s">
        <v>65</v>
      </c>
      <c r="Q544" s="42" t="s">
        <v>892</v>
      </c>
      <c r="R544" s="42" t="s">
        <v>55</v>
      </c>
      <c r="S544" s="57">
        <f t="shared" si="55"/>
        <v>45861</v>
      </c>
      <c r="T544" s="44" t="s">
        <v>22</v>
      </c>
      <c r="U544" s="43" t="s">
        <v>52</v>
      </c>
      <c r="V544" s="42" t="s">
        <v>99</v>
      </c>
      <c r="W544" s="45">
        <v>2</v>
      </c>
      <c r="X544" s="46">
        <v>79</v>
      </c>
      <c r="Y544" s="46">
        <v>2.2599999999999998</v>
      </c>
      <c r="Z544" s="47">
        <f t="shared" si="57"/>
        <v>155.74</v>
      </c>
      <c r="AA544" s="48" t="s">
        <v>65</v>
      </c>
      <c r="AB544"/>
    </row>
    <row r="545" spans="1:28" x14ac:dyDescent="0.25">
      <c r="A545" s="31" t="s">
        <v>893</v>
      </c>
      <c r="B545" s="31" t="s">
        <v>41</v>
      </c>
      <c r="C545" s="32" t="str">
        <f t="shared" si="52"/>
        <v>João Pereira</v>
      </c>
      <c r="D545" s="38" t="s">
        <v>296</v>
      </c>
      <c r="E545" s="33">
        <f t="shared" si="53"/>
        <v>46041</v>
      </c>
      <c r="F545" s="32" t="s">
        <v>39</v>
      </c>
      <c r="G545" s="32" t="str">
        <f t="shared" si="54"/>
        <v>Rodrigo Mello</v>
      </c>
      <c r="H545" s="32" t="s">
        <v>16</v>
      </c>
      <c r="I545" s="32" t="s">
        <v>78</v>
      </c>
      <c r="J545" s="34">
        <v>5</v>
      </c>
      <c r="K545" s="35">
        <v>59</v>
      </c>
      <c r="L545" s="35">
        <v>29.95</v>
      </c>
      <c r="M545" s="36">
        <f t="shared" si="56"/>
        <v>265.05</v>
      </c>
      <c r="N545" s="32" t="s">
        <v>44</v>
      </c>
      <c r="Q545" s="49" t="s">
        <v>893</v>
      </c>
      <c r="R545" s="49" t="s">
        <v>41</v>
      </c>
      <c r="S545" s="58">
        <f t="shared" si="55"/>
        <v>46041</v>
      </c>
      <c r="T545" s="51" t="s">
        <v>39</v>
      </c>
      <c r="U545" s="50" t="s">
        <v>16</v>
      </c>
      <c r="V545" s="52" t="s">
        <v>78</v>
      </c>
      <c r="W545" s="53">
        <v>5</v>
      </c>
      <c r="X545" s="54">
        <v>59</v>
      </c>
      <c r="Y545" s="54">
        <v>29.95</v>
      </c>
      <c r="Z545" s="55">
        <f t="shared" si="57"/>
        <v>265.05</v>
      </c>
      <c r="AA545" s="56" t="s">
        <v>44</v>
      </c>
      <c r="AB545"/>
    </row>
    <row r="546" spans="1:28" x14ac:dyDescent="0.25">
      <c r="A546" s="26" t="s">
        <v>894</v>
      </c>
      <c r="B546" s="26" t="s">
        <v>37</v>
      </c>
      <c r="C546" s="26" t="str">
        <f t="shared" si="52"/>
        <v>Patricia Gomes</v>
      </c>
      <c r="D546" s="37" t="s">
        <v>122</v>
      </c>
      <c r="E546" s="27">
        <f t="shared" si="53"/>
        <v>45817</v>
      </c>
      <c r="F546" s="26" t="s">
        <v>29</v>
      </c>
      <c r="G546" s="26" t="str">
        <f t="shared" si="54"/>
        <v>Camila Rocha</v>
      </c>
      <c r="H546" s="26" t="s">
        <v>52</v>
      </c>
      <c r="I546" s="26" t="s">
        <v>75</v>
      </c>
      <c r="J546" s="28">
        <v>1</v>
      </c>
      <c r="K546" s="29">
        <v>249</v>
      </c>
      <c r="L546" s="29">
        <v>0</v>
      </c>
      <c r="M546" s="30">
        <f t="shared" si="56"/>
        <v>249</v>
      </c>
      <c r="N546" s="26" t="s">
        <v>25</v>
      </c>
      <c r="Q546" s="42" t="s">
        <v>894</v>
      </c>
      <c r="R546" s="42" t="s">
        <v>37</v>
      </c>
      <c r="S546" s="57">
        <f t="shared" si="55"/>
        <v>45817</v>
      </c>
      <c r="T546" s="44" t="s">
        <v>29</v>
      </c>
      <c r="U546" s="43" t="s">
        <v>52</v>
      </c>
      <c r="V546" s="42" t="s">
        <v>75</v>
      </c>
      <c r="W546" s="45">
        <v>1</v>
      </c>
      <c r="X546" s="46">
        <v>249</v>
      </c>
      <c r="Y546" s="46">
        <v>0</v>
      </c>
      <c r="Z546" s="47">
        <f t="shared" si="57"/>
        <v>249</v>
      </c>
      <c r="AA546" s="48" t="s">
        <v>25</v>
      </c>
      <c r="AB546"/>
    </row>
    <row r="547" spans="1:28" x14ac:dyDescent="0.25">
      <c r="A547" s="31" t="s">
        <v>895</v>
      </c>
      <c r="B547" s="31" t="s">
        <v>63</v>
      </c>
      <c r="C547" s="32" t="str">
        <f t="shared" si="52"/>
        <v>Marcos Rodrigues</v>
      </c>
      <c r="D547" s="38" t="s">
        <v>318</v>
      </c>
      <c r="E547" s="33">
        <f t="shared" si="53"/>
        <v>45717</v>
      </c>
      <c r="F547" s="32" t="s">
        <v>47</v>
      </c>
      <c r="G547" s="32" t="str">
        <f t="shared" si="54"/>
        <v>Bruno Martins</v>
      </c>
      <c r="H547" s="32" t="s">
        <v>30</v>
      </c>
      <c r="I547" s="32" t="s">
        <v>152</v>
      </c>
      <c r="J547" s="34">
        <v>1</v>
      </c>
      <c r="K547" s="35">
        <v>4500</v>
      </c>
      <c r="L547" s="35">
        <v>387.01</v>
      </c>
      <c r="M547" s="36">
        <f t="shared" si="56"/>
        <v>4112.99</v>
      </c>
      <c r="N547" s="32" t="s">
        <v>69</v>
      </c>
      <c r="Q547" s="49" t="s">
        <v>895</v>
      </c>
      <c r="R547" s="49" t="s">
        <v>63</v>
      </c>
      <c r="S547" s="58">
        <f t="shared" si="55"/>
        <v>45717</v>
      </c>
      <c r="T547" s="51" t="s">
        <v>47</v>
      </c>
      <c r="U547" s="50" t="s">
        <v>30</v>
      </c>
      <c r="V547" s="52" t="s">
        <v>152</v>
      </c>
      <c r="W547" s="53">
        <v>1</v>
      </c>
      <c r="X547" s="54">
        <v>4500</v>
      </c>
      <c r="Y547" s="54">
        <v>387.01</v>
      </c>
      <c r="Z547" s="55">
        <f t="shared" si="57"/>
        <v>4112.99</v>
      </c>
      <c r="AA547" s="56" t="s">
        <v>69</v>
      </c>
      <c r="AB547"/>
    </row>
    <row r="548" spans="1:28" x14ac:dyDescent="0.25">
      <c r="A548" s="26" t="s">
        <v>896</v>
      </c>
      <c r="B548" s="26" t="s">
        <v>13</v>
      </c>
      <c r="C548" s="26" t="str">
        <f t="shared" si="52"/>
        <v>Lucas Almeida</v>
      </c>
      <c r="D548" s="37" t="s">
        <v>64</v>
      </c>
      <c r="E548" s="27">
        <f t="shared" si="53"/>
        <v>45847</v>
      </c>
      <c r="F548" s="26" t="s">
        <v>47</v>
      </c>
      <c r="G548" s="26" t="str">
        <f t="shared" si="54"/>
        <v>Bruno Martins</v>
      </c>
      <c r="H548" s="26" t="s">
        <v>52</v>
      </c>
      <c r="I548" s="26" t="s">
        <v>53</v>
      </c>
      <c r="J548" s="28">
        <v>1</v>
      </c>
      <c r="K548" s="29">
        <v>149</v>
      </c>
      <c r="L548" s="29">
        <v>10.79</v>
      </c>
      <c r="M548" s="30">
        <f t="shared" si="56"/>
        <v>138.21</v>
      </c>
      <c r="N548" s="26" t="s">
        <v>89</v>
      </c>
      <c r="Q548" s="42" t="s">
        <v>896</v>
      </c>
      <c r="R548" s="42" t="s">
        <v>13</v>
      </c>
      <c r="S548" s="57">
        <f t="shared" si="55"/>
        <v>45847</v>
      </c>
      <c r="T548" s="44" t="s">
        <v>47</v>
      </c>
      <c r="U548" s="43" t="s">
        <v>52</v>
      </c>
      <c r="V548" s="42" t="s">
        <v>53</v>
      </c>
      <c r="W548" s="45">
        <v>1</v>
      </c>
      <c r="X548" s="46">
        <v>149</v>
      </c>
      <c r="Y548" s="46">
        <v>10.79</v>
      </c>
      <c r="Z548" s="47">
        <f t="shared" si="57"/>
        <v>138.21</v>
      </c>
      <c r="AA548" s="48" t="s">
        <v>89</v>
      </c>
      <c r="AB548"/>
    </row>
    <row r="549" spans="1:28" x14ac:dyDescent="0.25">
      <c r="A549" s="31" t="s">
        <v>897</v>
      </c>
      <c r="B549" s="31" t="s">
        <v>27</v>
      </c>
      <c r="C549" s="32" t="str">
        <f t="shared" si="52"/>
        <v>Roberto Santos</v>
      </c>
      <c r="D549" s="38" t="s">
        <v>690</v>
      </c>
      <c r="E549" s="33">
        <f t="shared" si="53"/>
        <v>45794</v>
      </c>
      <c r="F549" s="32" t="s">
        <v>39</v>
      </c>
      <c r="G549" s="32" t="str">
        <f t="shared" si="54"/>
        <v>Rodrigo Mello</v>
      </c>
      <c r="H549" s="32" t="s">
        <v>52</v>
      </c>
      <c r="I549" s="32" t="s">
        <v>99</v>
      </c>
      <c r="J549" s="34">
        <v>5</v>
      </c>
      <c r="K549" s="35">
        <v>79</v>
      </c>
      <c r="L549" s="35">
        <v>0</v>
      </c>
      <c r="M549" s="36">
        <f t="shared" si="56"/>
        <v>395</v>
      </c>
      <c r="N549" s="32" t="s">
        <v>18</v>
      </c>
      <c r="Q549" s="49" t="s">
        <v>897</v>
      </c>
      <c r="R549" s="49" t="s">
        <v>27</v>
      </c>
      <c r="S549" s="58">
        <f t="shared" si="55"/>
        <v>45794</v>
      </c>
      <c r="T549" s="51" t="s">
        <v>39</v>
      </c>
      <c r="U549" s="50" t="s">
        <v>52</v>
      </c>
      <c r="V549" s="52" t="s">
        <v>99</v>
      </c>
      <c r="W549" s="53">
        <v>5</v>
      </c>
      <c r="X549" s="54">
        <v>79</v>
      </c>
      <c r="Y549" s="54">
        <v>0</v>
      </c>
      <c r="Z549" s="55">
        <f t="shared" si="57"/>
        <v>395</v>
      </c>
      <c r="AA549" s="56" t="s">
        <v>18</v>
      </c>
      <c r="AB549"/>
    </row>
    <row r="550" spans="1:28" x14ac:dyDescent="0.25">
      <c r="A550" s="26" t="s">
        <v>898</v>
      </c>
      <c r="B550" s="26" t="s">
        <v>55</v>
      </c>
      <c r="C550" s="26" t="str">
        <f t="shared" si="52"/>
        <v>Ricardo Carvalho</v>
      </c>
      <c r="D550" s="37" t="s">
        <v>198</v>
      </c>
      <c r="E550" s="27">
        <f t="shared" si="53"/>
        <v>45702</v>
      </c>
      <c r="F550" s="26" t="s">
        <v>15</v>
      </c>
      <c r="G550" s="26" t="str">
        <f t="shared" si="54"/>
        <v>Larissa Dias</v>
      </c>
      <c r="H550" s="26" t="s">
        <v>16</v>
      </c>
      <c r="I550" s="26" t="s">
        <v>103</v>
      </c>
      <c r="J550" s="28">
        <v>2</v>
      </c>
      <c r="K550" s="29">
        <v>89</v>
      </c>
      <c r="L550" s="29">
        <v>12.85</v>
      </c>
      <c r="M550" s="30">
        <f t="shared" si="56"/>
        <v>165.15</v>
      </c>
      <c r="N550" s="26" t="s">
        <v>18</v>
      </c>
      <c r="Q550" s="42" t="s">
        <v>898</v>
      </c>
      <c r="R550" s="42" t="s">
        <v>55</v>
      </c>
      <c r="S550" s="57">
        <f t="shared" si="55"/>
        <v>45702</v>
      </c>
      <c r="T550" s="44" t="s">
        <v>15</v>
      </c>
      <c r="U550" s="43" t="s">
        <v>16</v>
      </c>
      <c r="V550" s="42" t="s">
        <v>103</v>
      </c>
      <c r="W550" s="45">
        <v>2</v>
      </c>
      <c r="X550" s="46">
        <v>89</v>
      </c>
      <c r="Y550" s="46">
        <v>12.85</v>
      </c>
      <c r="Z550" s="47">
        <f t="shared" si="57"/>
        <v>165.15</v>
      </c>
      <c r="AA550" s="48" t="s">
        <v>18</v>
      </c>
      <c r="AB550"/>
    </row>
    <row r="551" spans="1:28" x14ac:dyDescent="0.25">
      <c r="A551" s="31" t="s">
        <v>899</v>
      </c>
      <c r="B551" s="31" t="s">
        <v>71</v>
      </c>
      <c r="C551" s="32" t="str">
        <f t="shared" si="52"/>
        <v>Juliana Costa</v>
      </c>
      <c r="D551" s="38" t="s">
        <v>900</v>
      </c>
      <c r="E551" s="33">
        <f t="shared" si="53"/>
        <v>46053</v>
      </c>
      <c r="F551" s="32" t="s">
        <v>15</v>
      </c>
      <c r="G551" s="32" t="str">
        <f t="shared" si="54"/>
        <v>Larissa Dias</v>
      </c>
      <c r="H551" s="32" t="s">
        <v>16</v>
      </c>
      <c r="I551" s="32" t="s">
        <v>103</v>
      </c>
      <c r="J551" s="34">
        <v>3</v>
      </c>
      <c r="K551" s="35">
        <v>89</v>
      </c>
      <c r="L551" s="35">
        <v>0</v>
      </c>
      <c r="M551" s="36">
        <f t="shared" si="56"/>
        <v>267</v>
      </c>
      <c r="N551" s="32" t="s">
        <v>89</v>
      </c>
      <c r="Q551" s="49" t="s">
        <v>899</v>
      </c>
      <c r="R551" s="49" t="s">
        <v>71</v>
      </c>
      <c r="S551" s="58">
        <f t="shared" si="55"/>
        <v>46053</v>
      </c>
      <c r="T551" s="51" t="s">
        <v>15</v>
      </c>
      <c r="U551" s="50" t="s">
        <v>16</v>
      </c>
      <c r="V551" s="52" t="s">
        <v>103</v>
      </c>
      <c r="W551" s="53">
        <v>3</v>
      </c>
      <c r="X551" s="54">
        <v>89</v>
      </c>
      <c r="Y551" s="54">
        <v>0</v>
      </c>
      <c r="Z551" s="55">
        <f t="shared" si="57"/>
        <v>267</v>
      </c>
      <c r="AA551" s="56" t="s">
        <v>89</v>
      </c>
      <c r="AB551"/>
    </row>
    <row r="552" spans="1:28" x14ac:dyDescent="0.25">
      <c r="A552" s="26" t="s">
        <v>901</v>
      </c>
      <c r="B552" s="26" t="s">
        <v>95</v>
      </c>
      <c r="C552" s="26" t="str">
        <f t="shared" si="52"/>
        <v>Maria Oliveira</v>
      </c>
      <c r="D552" s="37" t="s">
        <v>902</v>
      </c>
      <c r="E552" s="27">
        <f t="shared" si="53"/>
        <v>45875</v>
      </c>
      <c r="F552" s="26" t="s">
        <v>29</v>
      </c>
      <c r="G552" s="26" t="str">
        <f t="shared" si="54"/>
        <v>Camila Rocha</v>
      </c>
      <c r="H552" s="26" t="s">
        <v>16</v>
      </c>
      <c r="I552" s="26" t="s">
        <v>17</v>
      </c>
      <c r="J552" s="28">
        <v>2</v>
      </c>
      <c r="K552" s="29">
        <v>39</v>
      </c>
      <c r="L552" s="29">
        <v>6.91</v>
      </c>
      <c r="M552" s="30">
        <f t="shared" si="56"/>
        <v>71.09</v>
      </c>
      <c r="N552" s="26" t="s">
        <v>65</v>
      </c>
      <c r="Q552" s="42" t="s">
        <v>901</v>
      </c>
      <c r="R552" s="42" t="s">
        <v>95</v>
      </c>
      <c r="S552" s="57">
        <f t="shared" si="55"/>
        <v>45875</v>
      </c>
      <c r="T552" s="44" t="s">
        <v>29</v>
      </c>
      <c r="U552" s="43" t="s">
        <v>16</v>
      </c>
      <c r="V552" s="42" t="s">
        <v>17</v>
      </c>
      <c r="W552" s="45">
        <v>2</v>
      </c>
      <c r="X552" s="46">
        <v>39</v>
      </c>
      <c r="Y552" s="46">
        <v>6.91</v>
      </c>
      <c r="Z552" s="47">
        <f t="shared" si="57"/>
        <v>71.09</v>
      </c>
      <c r="AA552" s="48" t="s">
        <v>65</v>
      </c>
      <c r="AB552"/>
    </row>
    <row r="553" spans="1:28" x14ac:dyDescent="0.25">
      <c r="A553" s="31" t="s">
        <v>903</v>
      </c>
      <c r="B553" s="31" t="s">
        <v>63</v>
      </c>
      <c r="C553" s="32" t="str">
        <f t="shared" si="52"/>
        <v>Marcos Rodrigues</v>
      </c>
      <c r="D553" s="38" t="s">
        <v>904</v>
      </c>
      <c r="E553" s="33">
        <f t="shared" si="53"/>
        <v>45804</v>
      </c>
      <c r="F553" s="32" t="s">
        <v>15</v>
      </c>
      <c r="G553" s="32" t="str">
        <f t="shared" si="54"/>
        <v>Larissa Dias</v>
      </c>
      <c r="H553" s="32" t="s">
        <v>30</v>
      </c>
      <c r="I553" s="32" t="s">
        <v>152</v>
      </c>
      <c r="J553" s="34">
        <v>1</v>
      </c>
      <c r="K553" s="35">
        <v>4500</v>
      </c>
      <c r="L553" s="35">
        <v>0</v>
      </c>
      <c r="M553" s="36">
        <f t="shared" si="56"/>
        <v>4500</v>
      </c>
      <c r="N553" s="32" t="s">
        <v>69</v>
      </c>
      <c r="Q553" s="49" t="s">
        <v>903</v>
      </c>
      <c r="R553" s="49" t="s">
        <v>63</v>
      </c>
      <c r="S553" s="58">
        <f t="shared" si="55"/>
        <v>45804</v>
      </c>
      <c r="T553" s="51" t="s">
        <v>15</v>
      </c>
      <c r="U553" s="50" t="s">
        <v>30</v>
      </c>
      <c r="V553" s="52" t="s">
        <v>152</v>
      </c>
      <c r="W553" s="53">
        <v>1</v>
      </c>
      <c r="X553" s="54">
        <v>4500</v>
      </c>
      <c r="Y553" s="54">
        <v>0</v>
      </c>
      <c r="Z553" s="55">
        <f t="shared" si="57"/>
        <v>4500</v>
      </c>
      <c r="AA553" s="56" t="s">
        <v>69</v>
      </c>
      <c r="AB553"/>
    </row>
    <row r="554" spans="1:28" x14ac:dyDescent="0.25">
      <c r="A554" s="26" t="s">
        <v>905</v>
      </c>
      <c r="B554" s="26" t="s">
        <v>37</v>
      </c>
      <c r="C554" s="26" t="str">
        <f t="shared" si="52"/>
        <v>Patricia Gomes</v>
      </c>
      <c r="D554" s="37" t="s">
        <v>906</v>
      </c>
      <c r="E554" s="27">
        <f t="shared" si="53"/>
        <v>45897</v>
      </c>
      <c r="F554" s="26" t="s">
        <v>15</v>
      </c>
      <c r="G554" s="26" t="str">
        <f t="shared" si="54"/>
        <v>Larissa Dias</v>
      </c>
      <c r="H554" s="26" t="s">
        <v>23</v>
      </c>
      <c r="I554" s="26" t="s">
        <v>88</v>
      </c>
      <c r="J554" s="28">
        <v>5</v>
      </c>
      <c r="K554" s="29">
        <v>650</v>
      </c>
      <c r="L554" s="29">
        <v>96.8</v>
      </c>
      <c r="M554" s="30">
        <f t="shared" si="56"/>
        <v>3153.2</v>
      </c>
      <c r="N554" s="26" t="s">
        <v>89</v>
      </c>
      <c r="Q554" s="42" t="s">
        <v>905</v>
      </c>
      <c r="R554" s="42" t="s">
        <v>37</v>
      </c>
      <c r="S554" s="57">
        <f t="shared" si="55"/>
        <v>45897</v>
      </c>
      <c r="T554" s="44" t="s">
        <v>15</v>
      </c>
      <c r="U554" s="43" t="s">
        <v>23</v>
      </c>
      <c r="V554" s="42" t="s">
        <v>88</v>
      </c>
      <c r="W554" s="45">
        <v>5</v>
      </c>
      <c r="X554" s="46">
        <v>650</v>
      </c>
      <c r="Y554" s="46">
        <v>96.8</v>
      </c>
      <c r="Z554" s="47">
        <f t="shared" si="57"/>
        <v>3153.2</v>
      </c>
      <c r="AA554" s="48" t="s">
        <v>89</v>
      </c>
      <c r="AB554"/>
    </row>
    <row r="555" spans="1:28" x14ac:dyDescent="0.25">
      <c r="A555" s="31" t="s">
        <v>907</v>
      </c>
      <c r="B555" s="31" t="s">
        <v>27</v>
      </c>
      <c r="C555" s="32" t="str">
        <f t="shared" si="52"/>
        <v>Roberto Santos</v>
      </c>
      <c r="D555" s="38" t="s">
        <v>599</v>
      </c>
      <c r="E555" s="33">
        <f t="shared" si="53"/>
        <v>45944</v>
      </c>
      <c r="F555" s="32" t="s">
        <v>22</v>
      </c>
      <c r="G555" s="32" t="str">
        <f t="shared" si="54"/>
        <v>Amanda Costa</v>
      </c>
      <c r="H555" s="32" t="s">
        <v>23</v>
      </c>
      <c r="I555" s="32" t="s">
        <v>88</v>
      </c>
      <c r="J555" s="34">
        <v>1</v>
      </c>
      <c r="K555" s="35">
        <v>650</v>
      </c>
      <c r="L555" s="35">
        <v>0</v>
      </c>
      <c r="M555" s="36">
        <f t="shared" si="56"/>
        <v>650</v>
      </c>
      <c r="N555" s="32" t="s">
        <v>25</v>
      </c>
      <c r="Q555" s="49" t="s">
        <v>907</v>
      </c>
      <c r="R555" s="49" t="s">
        <v>27</v>
      </c>
      <c r="S555" s="58">
        <f t="shared" si="55"/>
        <v>45944</v>
      </c>
      <c r="T555" s="51" t="s">
        <v>22</v>
      </c>
      <c r="U555" s="50" t="s">
        <v>23</v>
      </c>
      <c r="V555" s="52" t="s">
        <v>88</v>
      </c>
      <c r="W555" s="53">
        <v>1</v>
      </c>
      <c r="X555" s="54">
        <v>650</v>
      </c>
      <c r="Y555" s="54">
        <v>0</v>
      </c>
      <c r="Z555" s="55">
        <f t="shared" si="57"/>
        <v>650</v>
      </c>
      <c r="AA555" s="56" t="s">
        <v>25</v>
      </c>
      <c r="AB555"/>
    </row>
    <row r="556" spans="1:28" x14ac:dyDescent="0.25">
      <c r="A556" s="26" t="s">
        <v>908</v>
      </c>
      <c r="B556" s="26" t="s">
        <v>95</v>
      </c>
      <c r="C556" s="26" t="str">
        <f t="shared" si="52"/>
        <v>Maria Oliveira</v>
      </c>
      <c r="D556" s="37" t="s">
        <v>909</v>
      </c>
      <c r="E556" s="27">
        <f t="shared" si="53"/>
        <v>45864</v>
      </c>
      <c r="F556" s="26" t="s">
        <v>39</v>
      </c>
      <c r="G556" s="26" t="str">
        <f t="shared" si="54"/>
        <v>Rodrigo Mello</v>
      </c>
      <c r="H556" s="26" t="s">
        <v>30</v>
      </c>
      <c r="I556" s="26" t="s">
        <v>68</v>
      </c>
      <c r="J556" s="28">
        <v>5</v>
      </c>
      <c r="K556" s="29">
        <v>799</v>
      </c>
      <c r="L556" s="29">
        <v>0</v>
      </c>
      <c r="M556" s="30">
        <f t="shared" si="56"/>
        <v>3995</v>
      </c>
      <c r="N556" s="26" t="s">
        <v>69</v>
      </c>
      <c r="Q556" s="42" t="s">
        <v>908</v>
      </c>
      <c r="R556" s="42" t="s">
        <v>95</v>
      </c>
      <c r="S556" s="57">
        <f t="shared" si="55"/>
        <v>45864</v>
      </c>
      <c r="T556" s="44" t="s">
        <v>39</v>
      </c>
      <c r="U556" s="43" t="s">
        <v>30</v>
      </c>
      <c r="V556" s="42" t="s">
        <v>68</v>
      </c>
      <c r="W556" s="45">
        <v>5</v>
      </c>
      <c r="X556" s="46">
        <v>799</v>
      </c>
      <c r="Y556" s="46">
        <v>0</v>
      </c>
      <c r="Z556" s="47">
        <f t="shared" si="57"/>
        <v>3995</v>
      </c>
      <c r="AA556" s="48" t="s">
        <v>69</v>
      </c>
      <c r="AB556"/>
    </row>
    <row r="557" spans="1:28" x14ac:dyDescent="0.25">
      <c r="A557" s="31" t="s">
        <v>910</v>
      </c>
      <c r="B557" s="31" t="s">
        <v>63</v>
      </c>
      <c r="C557" s="32" t="str">
        <f t="shared" si="52"/>
        <v>Marcos Rodrigues</v>
      </c>
      <c r="D557" s="38" t="s">
        <v>720</v>
      </c>
      <c r="E557" s="33">
        <f t="shared" si="53"/>
        <v>45903</v>
      </c>
      <c r="F557" s="32" t="s">
        <v>39</v>
      </c>
      <c r="G557" s="32" t="str">
        <f t="shared" si="54"/>
        <v>Rodrigo Mello</v>
      </c>
      <c r="H557" s="32" t="s">
        <v>30</v>
      </c>
      <c r="I557" s="32" t="s">
        <v>152</v>
      </c>
      <c r="J557" s="34">
        <v>1</v>
      </c>
      <c r="K557" s="35">
        <v>4500</v>
      </c>
      <c r="L557" s="35">
        <v>0</v>
      </c>
      <c r="M557" s="36">
        <f t="shared" si="56"/>
        <v>4500</v>
      </c>
      <c r="N557" s="32" t="s">
        <v>44</v>
      </c>
      <c r="Q557" s="49" t="s">
        <v>910</v>
      </c>
      <c r="R557" s="49" t="s">
        <v>63</v>
      </c>
      <c r="S557" s="58">
        <f t="shared" si="55"/>
        <v>45903</v>
      </c>
      <c r="T557" s="51" t="s">
        <v>39</v>
      </c>
      <c r="U557" s="50" t="s">
        <v>30</v>
      </c>
      <c r="V557" s="52" t="s">
        <v>152</v>
      </c>
      <c r="W557" s="53">
        <v>1</v>
      </c>
      <c r="X557" s="54">
        <v>4500</v>
      </c>
      <c r="Y557" s="54">
        <v>0</v>
      </c>
      <c r="Z557" s="55">
        <f t="shared" si="57"/>
        <v>4500</v>
      </c>
      <c r="AA557" s="56" t="s">
        <v>44</v>
      </c>
      <c r="AB557"/>
    </row>
    <row r="558" spans="1:28" x14ac:dyDescent="0.25">
      <c r="A558" s="26" t="s">
        <v>911</v>
      </c>
      <c r="B558" s="26" t="s">
        <v>55</v>
      </c>
      <c r="C558" s="26" t="str">
        <f t="shared" si="52"/>
        <v>Ricardo Carvalho</v>
      </c>
      <c r="D558" s="37" t="s">
        <v>805</v>
      </c>
      <c r="E558" s="27">
        <f t="shared" si="53"/>
        <v>45869</v>
      </c>
      <c r="F558" s="26" t="s">
        <v>15</v>
      </c>
      <c r="G558" s="26" t="str">
        <f t="shared" si="54"/>
        <v>Larissa Dias</v>
      </c>
      <c r="H558" s="26" t="s">
        <v>30</v>
      </c>
      <c r="I558" s="26" t="s">
        <v>68</v>
      </c>
      <c r="J558" s="28">
        <v>3</v>
      </c>
      <c r="K558" s="29">
        <v>799</v>
      </c>
      <c r="L558" s="29">
        <v>344.91</v>
      </c>
      <c r="M558" s="30">
        <f t="shared" si="56"/>
        <v>2052.09</v>
      </c>
      <c r="N558" s="26" t="s">
        <v>49</v>
      </c>
      <c r="Q558" s="42" t="s">
        <v>911</v>
      </c>
      <c r="R558" s="42" t="s">
        <v>55</v>
      </c>
      <c r="S558" s="57">
        <f t="shared" si="55"/>
        <v>45869</v>
      </c>
      <c r="T558" s="44" t="s">
        <v>15</v>
      </c>
      <c r="U558" s="43" t="s">
        <v>30</v>
      </c>
      <c r="V558" s="42" t="s">
        <v>68</v>
      </c>
      <c r="W558" s="45">
        <v>3</v>
      </c>
      <c r="X558" s="46">
        <v>799</v>
      </c>
      <c r="Y558" s="46">
        <v>344.91</v>
      </c>
      <c r="Z558" s="47">
        <f t="shared" si="57"/>
        <v>2052.09</v>
      </c>
      <c r="AA558" s="48" t="s">
        <v>49</v>
      </c>
      <c r="AB558"/>
    </row>
    <row r="559" spans="1:28" x14ac:dyDescent="0.25">
      <c r="A559" s="31" t="s">
        <v>912</v>
      </c>
      <c r="B559" s="31" t="s">
        <v>34</v>
      </c>
      <c r="C559" s="32" t="str">
        <f t="shared" si="52"/>
        <v>Carlos Silva</v>
      </c>
      <c r="D559" s="38" t="s">
        <v>913</v>
      </c>
      <c r="E559" s="33">
        <f t="shared" si="53"/>
        <v>46017</v>
      </c>
      <c r="F559" s="32" t="s">
        <v>29</v>
      </c>
      <c r="G559" s="32" t="str">
        <f t="shared" si="54"/>
        <v>Camila Rocha</v>
      </c>
      <c r="H559" s="32" t="s">
        <v>30</v>
      </c>
      <c r="I559" s="32" t="s">
        <v>31</v>
      </c>
      <c r="J559" s="34">
        <v>4</v>
      </c>
      <c r="K559" s="35">
        <v>2500</v>
      </c>
      <c r="L559" s="35">
        <v>0</v>
      </c>
      <c r="M559" s="36">
        <f t="shared" si="56"/>
        <v>10000</v>
      </c>
      <c r="N559" s="32" t="s">
        <v>49</v>
      </c>
      <c r="Q559" s="49" t="s">
        <v>912</v>
      </c>
      <c r="R559" s="49" t="s">
        <v>34</v>
      </c>
      <c r="S559" s="58">
        <f t="shared" si="55"/>
        <v>46017</v>
      </c>
      <c r="T559" s="51" t="s">
        <v>29</v>
      </c>
      <c r="U559" s="50" t="s">
        <v>30</v>
      </c>
      <c r="V559" s="52" t="s">
        <v>31</v>
      </c>
      <c r="W559" s="53">
        <v>4</v>
      </c>
      <c r="X559" s="54">
        <v>2500</v>
      </c>
      <c r="Y559" s="54">
        <v>0</v>
      </c>
      <c r="Z559" s="55">
        <f t="shared" si="57"/>
        <v>10000</v>
      </c>
      <c r="AA559" s="56" t="s">
        <v>49</v>
      </c>
      <c r="AB559"/>
    </row>
    <row r="560" spans="1:28" x14ac:dyDescent="0.25">
      <c r="A560" s="26" t="s">
        <v>914</v>
      </c>
      <c r="B560" s="26" t="s">
        <v>277</v>
      </c>
      <c r="C560" s="26" t="str">
        <f t="shared" si="52"/>
        <v>Carlos Silva</v>
      </c>
      <c r="D560" s="37" t="s">
        <v>501</v>
      </c>
      <c r="E560" s="27">
        <f t="shared" si="53"/>
        <v>45671</v>
      </c>
      <c r="F560" s="26" t="s">
        <v>15</v>
      </c>
      <c r="G560" s="26" t="str">
        <f t="shared" si="54"/>
        <v>Larissa Dias</v>
      </c>
      <c r="H560" s="26" t="s">
        <v>16</v>
      </c>
      <c r="I560" s="26" t="s">
        <v>116</v>
      </c>
      <c r="J560" s="28">
        <v>1</v>
      </c>
      <c r="K560" s="29">
        <v>45</v>
      </c>
      <c r="L560" s="29">
        <v>4.53</v>
      </c>
      <c r="M560" s="30">
        <f t="shared" si="56"/>
        <v>40.47</v>
      </c>
      <c r="N560" s="26" t="s">
        <v>18</v>
      </c>
      <c r="Q560" s="42" t="s">
        <v>914</v>
      </c>
      <c r="R560" s="42" t="s">
        <v>34</v>
      </c>
      <c r="S560" s="57">
        <f t="shared" si="55"/>
        <v>45671</v>
      </c>
      <c r="T560" s="44" t="s">
        <v>15</v>
      </c>
      <c r="U560" s="43" t="s">
        <v>16</v>
      </c>
      <c r="V560" s="42" t="s">
        <v>116</v>
      </c>
      <c r="W560" s="45">
        <v>1</v>
      </c>
      <c r="X560" s="46">
        <v>45</v>
      </c>
      <c r="Y560" s="46">
        <v>4.53</v>
      </c>
      <c r="Z560" s="47">
        <f t="shared" si="57"/>
        <v>40.47</v>
      </c>
      <c r="AA560" s="48" t="s">
        <v>18</v>
      </c>
      <c r="AB560"/>
    </row>
    <row r="561" spans="1:28" x14ac:dyDescent="0.25">
      <c r="A561" s="31" t="s">
        <v>915</v>
      </c>
      <c r="B561" s="31" t="s">
        <v>110</v>
      </c>
      <c r="C561" s="32" t="str">
        <f t="shared" si="52"/>
        <v>Fernanda Lima</v>
      </c>
      <c r="D561" s="38" t="s">
        <v>234</v>
      </c>
      <c r="E561" s="33">
        <f t="shared" si="53"/>
        <v>45683</v>
      </c>
      <c r="F561" s="32" t="s">
        <v>15</v>
      </c>
      <c r="G561" s="32" t="str">
        <f t="shared" si="54"/>
        <v>Larissa Dias</v>
      </c>
      <c r="H561" s="32" t="s">
        <v>23</v>
      </c>
      <c r="I561" s="32" t="s">
        <v>43</v>
      </c>
      <c r="J561" s="34">
        <v>1</v>
      </c>
      <c r="K561" s="35">
        <v>350</v>
      </c>
      <c r="L561" s="35">
        <v>23.06</v>
      </c>
      <c r="M561" s="36">
        <f t="shared" si="56"/>
        <v>326.94</v>
      </c>
      <c r="N561" s="32" t="s">
        <v>69</v>
      </c>
      <c r="Q561" s="49" t="s">
        <v>915</v>
      </c>
      <c r="R561" s="49" t="s">
        <v>110</v>
      </c>
      <c r="S561" s="58">
        <f t="shared" si="55"/>
        <v>45683</v>
      </c>
      <c r="T561" s="51" t="s">
        <v>15</v>
      </c>
      <c r="U561" s="50" t="s">
        <v>23</v>
      </c>
      <c r="V561" s="52" t="s">
        <v>43</v>
      </c>
      <c r="W561" s="53">
        <v>1</v>
      </c>
      <c r="X561" s="54">
        <v>350</v>
      </c>
      <c r="Y561" s="54">
        <v>23.06</v>
      </c>
      <c r="Z561" s="55">
        <f t="shared" si="57"/>
        <v>326.94</v>
      </c>
      <c r="AA561" s="56" t="s">
        <v>69</v>
      </c>
      <c r="AB561"/>
    </row>
    <row r="562" spans="1:28" x14ac:dyDescent="0.25">
      <c r="A562" s="26" t="s">
        <v>916</v>
      </c>
      <c r="B562" s="26" t="s">
        <v>13</v>
      </c>
      <c r="C562" s="26" t="str">
        <f t="shared" si="52"/>
        <v>Lucas Almeida</v>
      </c>
      <c r="D562" s="37" t="s">
        <v>917</v>
      </c>
      <c r="E562" s="27">
        <f t="shared" si="53"/>
        <v>45677</v>
      </c>
      <c r="F562" s="26" t="s">
        <v>47</v>
      </c>
      <c r="G562" s="26" t="str">
        <f t="shared" si="54"/>
        <v>Bruno Martins</v>
      </c>
      <c r="H562" s="26" t="s">
        <v>16</v>
      </c>
      <c r="I562" s="26" t="s">
        <v>78</v>
      </c>
      <c r="J562" s="28">
        <v>2</v>
      </c>
      <c r="K562" s="29">
        <v>59</v>
      </c>
      <c r="L562" s="29">
        <v>0</v>
      </c>
      <c r="M562" s="30">
        <f t="shared" si="56"/>
        <v>118</v>
      </c>
      <c r="N562" s="26" t="s">
        <v>89</v>
      </c>
      <c r="Q562" s="42" t="s">
        <v>916</v>
      </c>
      <c r="R562" s="42" t="s">
        <v>13</v>
      </c>
      <c r="S562" s="57">
        <f t="shared" si="55"/>
        <v>45677</v>
      </c>
      <c r="T562" s="44" t="s">
        <v>47</v>
      </c>
      <c r="U562" s="43" t="s">
        <v>16</v>
      </c>
      <c r="V562" s="42" t="s">
        <v>78</v>
      </c>
      <c r="W562" s="45">
        <v>2</v>
      </c>
      <c r="X562" s="46">
        <v>59</v>
      </c>
      <c r="Y562" s="46">
        <v>0</v>
      </c>
      <c r="Z562" s="47">
        <f t="shared" si="57"/>
        <v>118</v>
      </c>
      <c r="AA562" s="48" t="s">
        <v>89</v>
      </c>
      <c r="AB562"/>
    </row>
    <row r="563" spans="1:28" x14ac:dyDescent="0.25">
      <c r="A563" s="31" t="s">
        <v>918</v>
      </c>
      <c r="B563" s="31" t="s">
        <v>63</v>
      </c>
      <c r="C563" s="32" t="str">
        <f t="shared" si="52"/>
        <v>Marcos Rodrigues</v>
      </c>
      <c r="D563" s="38" t="s">
        <v>919</v>
      </c>
      <c r="E563" s="33">
        <f t="shared" si="53"/>
        <v>45812</v>
      </c>
      <c r="F563" s="32" t="s">
        <v>29</v>
      </c>
      <c r="G563" s="32" t="str">
        <f t="shared" si="54"/>
        <v>Camila Rocha</v>
      </c>
      <c r="H563" s="32" t="s">
        <v>30</v>
      </c>
      <c r="I563" s="32" t="s">
        <v>106</v>
      </c>
      <c r="J563" s="34">
        <v>1</v>
      </c>
      <c r="K563" s="35">
        <v>299</v>
      </c>
      <c r="L563" s="35">
        <v>14.05</v>
      </c>
      <c r="M563" s="36">
        <f t="shared" si="56"/>
        <v>284.95</v>
      </c>
      <c r="N563" s="32" t="s">
        <v>69</v>
      </c>
      <c r="Q563" s="49" t="s">
        <v>918</v>
      </c>
      <c r="R563" s="49" t="s">
        <v>63</v>
      </c>
      <c r="S563" s="58">
        <f t="shared" si="55"/>
        <v>45812</v>
      </c>
      <c r="T563" s="51" t="s">
        <v>29</v>
      </c>
      <c r="U563" s="50" t="s">
        <v>30</v>
      </c>
      <c r="V563" s="52" t="s">
        <v>106</v>
      </c>
      <c r="W563" s="53">
        <v>1</v>
      </c>
      <c r="X563" s="54">
        <v>299</v>
      </c>
      <c r="Y563" s="54">
        <v>14.05</v>
      </c>
      <c r="Z563" s="55">
        <f t="shared" si="57"/>
        <v>284.95</v>
      </c>
      <c r="AA563" s="56" t="s">
        <v>69</v>
      </c>
      <c r="AB563"/>
    </row>
    <row r="564" spans="1:28" x14ac:dyDescent="0.25">
      <c r="A564" s="26" t="s">
        <v>920</v>
      </c>
      <c r="B564" s="26" t="s">
        <v>34</v>
      </c>
      <c r="C564" s="26" t="str">
        <f t="shared" si="52"/>
        <v>Carlos Silva</v>
      </c>
      <c r="D564" s="37" t="s">
        <v>412</v>
      </c>
      <c r="E564" s="27">
        <f t="shared" si="53"/>
        <v>45991</v>
      </c>
      <c r="F564" s="26" t="s">
        <v>47</v>
      </c>
      <c r="G564" s="26" t="str">
        <f t="shared" si="54"/>
        <v>Bruno Martins</v>
      </c>
      <c r="H564" s="26" t="s">
        <v>23</v>
      </c>
      <c r="I564" s="26" t="s">
        <v>43</v>
      </c>
      <c r="J564" s="28">
        <v>3</v>
      </c>
      <c r="K564" s="29">
        <v>350</v>
      </c>
      <c r="L564" s="29">
        <v>0</v>
      </c>
      <c r="M564" s="30">
        <f t="shared" si="56"/>
        <v>1050</v>
      </c>
      <c r="N564" s="26" t="s">
        <v>49</v>
      </c>
      <c r="Q564" s="42" t="s">
        <v>920</v>
      </c>
      <c r="R564" s="42" t="s">
        <v>34</v>
      </c>
      <c r="S564" s="57">
        <f t="shared" si="55"/>
        <v>45991</v>
      </c>
      <c r="T564" s="44" t="s">
        <v>47</v>
      </c>
      <c r="U564" s="43" t="s">
        <v>23</v>
      </c>
      <c r="V564" s="42" t="s">
        <v>43</v>
      </c>
      <c r="W564" s="45">
        <v>3</v>
      </c>
      <c r="X564" s="46">
        <v>350</v>
      </c>
      <c r="Y564" s="46">
        <v>0</v>
      </c>
      <c r="Z564" s="47">
        <f t="shared" si="57"/>
        <v>1050</v>
      </c>
      <c r="AA564" s="48" t="s">
        <v>49</v>
      </c>
      <c r="AB564"/>
    </row>
    <row r="565" spans="1:28" x14ac:dyDescent="0.25">
      <c r="A565" s="31" t="s">
        <v>921</v>
      </c>
      <c r="B565" s="31" t="s">
        <v>37</v>
      </c>
      <c r="C565" s="32" t="str">
        <f t="shared" si="52"/>
        <v>Patricia Gomes</v>
      </c>
      <c r="D565" s="38" t="s">
        <v>140</v>
      </c>
      <c r="E565" s="33">
        <f t="shared" si="53"/>
        <v>45852</v>
      </c>
      <c r="F565" s="32" t="s">
        <v>15</v>
      </c>
      <c r="G565" s="32" t="str">
        <f t="shared" si="54"/>
        <v>Larissa Dias</v>
      </c>
      <c r="H565" s="32" t="s">
        <v>23</v>
      </c>
      <c r="I565" s="32" t="s">
        <v>43</v>
      </c>
      <c r="J565" s="34">
        <v>3</v>
      </c>
      <c r="K565" s="35">
        <v>350</v>
      </c>
      <c r="L565" s="35">
        <v>0</v>
      </c>
      <c r="M565" s="36">
        <f t="shared" si="56"/>
        <v>1050</v>
      </c>
      <c r="N565" s="32" t="s">
        <v>69</v>
      </c>
      <c r="Q565" s="49" t="s">
        <v>921</v>
      </c>
      <c r="R565" s="49" t="s">
        <v>37</v>
      </c>
      <c r="S565" s="58">
        <f t="shared" si="55"/>
        <v>45852</v>
      </c>
      <c r="T565" s="51" t="s">
        <v>15</v>
      </c>
      <c r="U565" s="50" t="s">
        <v>23</v>
      </c>
      <c r="V565" s="52" t="s">
        <v>43</v>
      </c>
      <c r="W565" s="53">
        <v>3</v>
      </c>
      <c r="X565" s="54">
        <v>350</v>
      </c>
      <c r="Y565" s="54">
        <v>0</v>
      </c>
      <c r="Z565" s="55">
        <f t="shared" si="57"/>
        <v>1050</v>
      </c>
      <c r="AA565" s="56" t="s">
        <v>69</v>
      </c>
      <c r="AB565"/>
    </row>
    <row r="566" spans="1:28" x14ac:dyDescent="0.25">
      <c r="A566" s="26" t="s">
        <v>922</v>
      </c>
      <c r="B566" s="26" t="s">
        <v>63</v>
      </c>
      <c r="C566" s="26" t="str">
        <f t="shared" si="52"/>
        <v>Marcos Rodrigues</v>
      </c>
      <c r="D566" s="37" t="s">
        <v>243</v>
      </c>
      <c r="E566" s="27">
        <f t="shared" si="53"/>
        <v>45880</v>
      </c>
      <c r="F566" s="26" t="s">
        <v>22</v>
      </c>
      <c r="G566" s="26" t="str">
        <f t="shared" si="54"/>
        <v>Amanda Costa</v>
      </c>
      <c r="H566" s="26" t="s">
        <v>30</v>
      </c>
      <c r="I566" s="26" t="s">
        <v>152</v>
      </c>
      <c r="J566" s="28">
        <v>1</v>
      </c>
      <c r="K566" s="29">
        <v>4500</v>
      </c>
      <c r="L566" s="29">
        <v>0</v>
      </c>
      <c r="M566" s="30">
        <f t="shared" si="56"/>
        <v>4500</v>
      </c>
      <c r="N566" s="26" t="s">
        <v>89</v>
      </c>
      <c r="Q566" s="42" t="s">
        <v>922</v>
      </c>
      <c r="R566" s="42" t="s">
        <v>63</v>
      </c>
      <c r="S566" s="57">
        <f t="shared" si="55"/>
        <v>45880</v>
      </c>
      <c r="T566" s="44" t="s">
        <v>22</v>
      </c>
      <c r="U566" s="43" t="s">
        <v>30</v>
      </c>
      <c r="V566" s="42" t="s">
        <v>152</v>
      </c>
      <c r="W566" s="45">
        <v>1</v>
      </c>
      <c r="X566" s="46">
        <v>4500</v>
      </c>
      <c r="Y566" s="46">
        <v>0</v>
      </c>
      <c r="Z566" s="47">
        <f t="shared" si="57"/>
        <v>4500</v>
      </c>
      <c r="AA566" s="48" t="s">
        <v>89</v>
      </c>
      <c r="AB566"/>
    </row>
    <row r="567" spans="1:28" x14ac:dyDescent="0.25">
      <c r="A567" s="31" t="s">
        <v>923</v>
      </c>
      <c r="B567" s="31" t="s">
        <v>13</v>
      </c>
      <c r="C567" s="32" t="str">
        <f t="shared" si="52"/>
        <v>Lucas Almeida</v>
      </c>
      <c r="D567" s="38" t="s">
        <v>77</v>
      </c>
      <c r="E567" s="33">
        <f t="shared" si="53"/>
        <v>45708</v>
      </c>
      <c r="F567" s="32" t="s">
        <v>39</v>
      </c>
      <c r="G567" s="32" t="str">
        <f t="shared" si="54"/>
        <v>Rodrigo Mello</v>
      </c>
      <c r="H567" s="32" t="s">
        <v>30</v>
      </c>
      <c r="I567" s="32" t="s">
        <v>68</v>
      </c>
      <c r="J567" s="34">
        <v>1</v>
      </c>
      <c r="K567" s="35">
        <v>799</v>
      </c>
      <c r="L567" s="35">
        <v>78.23</v>
      </c>
      <c r="M567" s="36">
        <f t="shared" si="56"/>
        <v>720.77</v>
      </c>
      <c r="N567" s="32" t="s">
        <v>32</v>
      </c>
      <c r="Q567" s="49" t="s">
        <v>923</v>
      </c>
      <c r="R567" s="49" t="s">
        <v>13</v>
      </c>
      <c r="S567" s="58">
        <f t="shared" si="55"/>
        <v>45708</v>
      </c>
      <c r="T567" s="51" t="s">
        <v>39</v>
      </c>
      <c r="U567" s="50" t="s">
        <v>30</v>
      </c>
      <c r="V567" s="52" t="s">
        <v>68</v>
      </c>
      <c r="W567" s="53">
        <v>1</v>
      </c>
      <c r="X567" s="54">
        <v>799</v>
      </c>
      <c r="Y567" s="54">
        <v>78.23</v>
      </c>
      <c r="Z567" s="55">
        <f t="shared" si="57"/>
        <v>720.77</v>
      </c>
      <c r="AA567" s="56" t="s">
        <v>32</v>
      </c>
      <c r="AB567"/>
    </row>
    <row r="568" spans="1:28" x14ac:dyDescent="0.25">
      <c r="A568" s="26" t="s">
        <v>924</v>
      </c>
      <c r="B568" s="26" t="s">
        <v>95</v>
      </c>
      <c r="C568" s="26" t="str">
        <f t="shared" si="52"/>
        <v>Maria Oliveira</v>
      </c>
      <c r="D568" s="37" t="s">
        <v>759</v>
      </c>
      <c r="E568" s="27">
        <f t="shared" si="53"/>
        <v>45720</v>
      </c>
      <c r="F568" s="26" t="s">
        <v>15</v>
      </c>
      <c r="G568" s="26" t="str">
        <f t="shared" si="54"/>
        <v>Larissa Dias</v>
      </c>
      <c r="H568" s="26" t="s">
        <v>30</v>
      </c>
      <c r="I568" s="26" t="s">
        <v>31</v>
      </c>
      <c r="J568" s="28">
        <v>3</v>
      </c>
      <c r="K568" s="29">
        <v>2500</v>
      </c>
      <c r="L568" s="29">
        <v>12.61</v>
      </c>
      <c r="M568" s="30">
        <f t="shared" si="56"/>
        <v>7487.39</v>
      </c>
      <c r="N568" s="26" t="s">
        <v>69</v>
      </c>
      <c r="Q568" s="42" t="s">
        <v>924</v>
      </c>
      <c r="R568" s="42" t="s">
        <v>95</v>
      </c>
      <c r="S568" s="57">
        <f t="shared" si="55"/>
        <v>45720</v>
      </c>
      <c r="T568" s="44" t="s">
        <v>15</v>
      </c>
      <c r="U568" s="43" t="s">
        <v>30</v>
      </c>
      <c r="V568" s="42" t="s">
        <v>31</v>
      </c>
      <c r="W568" s="45">
        <v>3</v>
      </c>
      <c r="X568" s="46">
        <v>2500</v>
      </c>
      <c r="Y568" s="46">
        <v>12.61</v>
      </c>
      <c r="Z568" s="47">
        <f t="shared" si="57"/>
        <v>7487.39</v>
      </c>
      <c r="AA568" s="48" t="s">
        <v>69</v>
      </c>
      <c r="AB568"/>
    </row>
    <row r="569" spans="1:28" x14ac:dyDescent="0.25">
      <c r="A569" s="31" t="s">
        <v>925</v>
      </c>
      <c r="B569" s="31" t="s">
        <v>101</v>
      </c>
      <c r="C569" s="32" t="str">
        <f t="shared" si="52"/>
        <v>Ana Souza</v>
      </c>
      <c r="D569" s="38" t="s">
        <v>298</v>
      </c>
      <c r="E569" s="33">
        <f t="shared" si="53"/>
        <v>45697</v>
      </c>
      <c r="F569" s="32" t="s">
        <v>47</v>
      </c>
      <c r="G569" s="32" t="str">
        <f t="shared" si="54"/>
        <v>Bruno Martins</v>
      </c>
      <c r="H569" s="32" t="s">
        <v>52</v>
      </c>
      <c r="I569" s="32" t="s">
        <v>99</v>
      </c>
      <c r="J569" s="34">
        <v>3</v>
      </c>
      <c r="K569" s="35">
        <v>79</v>
      </c>
      <c r="L569" s="35">
        <v>8.58</v>
      </c>
      <c r="M569" s="36">
        <f t="shared" si="56"/>
        <v>228.42</v>
      </c>
      <c r="N569" s="32" t="s">
        <v>69</v>
      </c>
      <c r="Q569" s="49" t="s">
        <v>925</v>
      </c>
      <c r="R569" s="49" t="s">
        <v>101</v>
      </c>
      <c r="S569" s="58">
        <f t="shared" si="55"/>
        <v>45697</v>
      </c>
      <c r="T569" s="51" t="s">
        <v>47</v>
      </c>
      <c r="U569" s="50" t="s">
        <v>52</v>
      </c>
      <c r="V569" s="52" t="s">
        <v>99</v>
      </c>
      <c r="W569" s="53">
        <v>3</v>
      </c>
      <c r="X569" s="54">
        <v>79</v>
      </c>
      <c r="Y569" s="54">
        <v>8.58</v>
      </c>
      <c r="Z569" s="55">
        <f t="shared" si="57"/>
        <v>228.42</v>
      </c>
      <c r="AA569" s="56" t="s">
        <v>69</v>
      </c>
      <c r="AB569"/>
    </row>
    <row r="570" spans="1:28" x14ac:dyDescent="0.25">
      <c r="A570" s="26" t="s">
        <v>926</v>
      </c>
      <c r="B570" s="26" t="s">
        <v>101</v>
      </c>
      <c r="C570" s="26" t="str">
        <f t="shared" si="52"/>
        <v>Ana Souza</v>
      </c>
      <c r="D570" s="37" t="s">
        <v>927</v>
      </c>
      <c r="E570" s="27">
        <f t="shared" si="53"/>
        <v>45779</v>
      </c>
      <c r="F570" s="26" t="s">
        <v>39</v>
      </c>
      <c r="G570" s="26" t="str">
        <f t="shared" si="54"/>
        <v>Rodrigo Mello</v>
      </c>
      <c r="H570" s="26" t="s">
        <v>23</v>
      </c>
      <c r="I570" s="26" t="s">
        <v>88</v>
      </c>
      <c r="J570" s="28">
        <v>3</v>
      </c>
      <c r="K570" s="29">
        <v>650</v>
      </c>
      <c r="L570" s="29">
        <v>258.26</v>
      </c>
      <c r="M570" s="30">
        <f t="shared" si="56"/>
        <v>1691.74</v>
      </c>
      <c r="N570" s="26" t="s">
        <v>69</v>
      </c>
      <c r="Q570" s="42" t="s">
        <v>926</v>
      </c>
      <c r="R570" s="42" t="s">
        <v>101</v>
      </c>
      <c r="S570" s="57">
        <f t="shared" si="55"/>
        <v>45779</v>
      </c>
      <c r="T570" s="44" t="s">
        <v>39</v>
      </c>
      <c r="U570" s="43" t="s">
        <v>23</v>
      </c>
      <c r="V570" s="42" t="s">
        <v>88</v>
      </c>
      <c r="W570" s="45">
        <v>3</v>
      </c>
      <c r="X570" s="46">
        <v>650</v>
      </c>
      <c r="Y570" s="46">
        <v>258.26</v>
      </c>
      <c r="Z570" s="47">
        <f t="shared" si="57"/>
        <v>1691.74</v>
      </c>
      <c r="AA570" s="48" t="s">
        <v>69</v>
      </c>
      <c r="AB570"/>
    </row>
    <row r="571" spans="1:28" x14ac:dyDescent="0.25">
      <c r="A571" s="31" t="s">
        <v>928</v>
      </c>
      <c r="B571" s="31" t="s">
        <v>37</v>
      </c>
      <c r="C571" s="32" t="str">
        <f t="shared" si="52"/>
        <v>Patricia Gomes</v>
      </c>
      <c r="D571" s="38" t="s">
        <v>693</v>
      </c>
      <c r="E571" s="33">
        <f t="shared" si="53"/>
        <v>45791</v>
      </c>
      <c r="F571" s="32" t="s">
        <v>39</v>
      </c>
      <c r="G571" s="32" t="str">
        <f t="shared" si="54"/>
        <v>Rodrigo Mello</v>
      </c>
      <c r="H571" s="32" t="s">
        <v>16</v>
      </c>
      <c r="I571" s="32" t="s">
        <v>17</v>
      </c>
      <c r="J571" s="34">
        <v>1</v>
      </c>
      <c r="K571" s="35">
        <v>39</v>
      </c>
      <c r="L571" s="35">
        <v>3.64</v>
      </c>
      <c r="M571" s="36">
        <f t="shared" si="56"/>
        <v>35.36</v>
      </c>
      <c r="N571" s="32" t="s">
        <v>18</v>
      </c>
      <c r="Q571" s="49" t="s">
        <v>928</v>
      </c>
      <c r="R571" s="49" t="s">
        <v>37</v>
      </c>
      <c r="S571" s="58">
        <f t="shared" si="55"/>
        <v>45791</v>
      </c>
      <c r="T571" s="51" t="s">
        <v>39</v>
      </c>
      <c r="U571" s="50" t="s">
        <v>16</v>
      </c>
      <c r="V571" s="52" t="s">
        <v>17</v>
      </c>
      <c r="W571" s="53">
        <v>1</v>
      </c>
      <c r="X571" s="54">
        <v>39</v>
      </c>
      <c r="Y571" s="54">
        <v>3.64</v>
      </c>
      <c r="Z571" s="55">
        <f t="shared" si="57"/>
        <v>35.36</v>
      </c>
      <c r="AA571" s="56" t="s">
        <v>18</v>
      </c>
      <c r="AB571"/>
    </row>
    <row r="572" spans="1:28" x14ac:dyDescent="0.25">
      <c r="A572" s="26" t="s">
        <v>929</v>
      </c>
      <c r="B572" s="26" t="s">
        <v>55</v>
      </c>
      <c r="C572" s="26" t="str">
        <f t="shared" si="52"/>
        <v>Ricardo Carvalho</v>
      </c>
      <c r="D572" s="37" t="s">
        <v>340</v>
      </c>
      <c r="E572" s="27">
        <f t="shared" si="53"/>
        <v>45690</v>
      </c>
      <c r="F572" s="26" t="s">
        <v>29</v>
      </c>
      <c r="G572" s="26" t="str">
        <f t="shared" si="54"/>
        <v>Camila Rocha</v>
      </c>
      <c r="H572" s="26" t="s">
        <v>16</v>
      </c>
      <c r="I572" s="26" t="s">
        <v>17</v>
      </c>
      <c r="J572" s="28">
        <v>2</v>
      </c>
      <c r="K572" s="29">
        <v>39</v>
      </c>
      <c r="L572" s="29">
        <v>9.58</v>
      </c>
      <c r="M572" s="30">
        <f t="shared" si="56"/>
        <v>68.42</v>
      </c>
      <c r="N572" s="26" t="s">
        <v>65</v>
      </c>
      <c r="Q572" s="42" t="s">
        <v>929</v>
      </c>
      <c r="R572" s="42" t="s">
        <v>55</v>
      </c>
      <c r="S572" s="57">
        <f t="shared" si="55"/>
        <v>45690</v>
      </c>
      <c r="T572" s="44" t="s">
        <v>29</v>
      </c>
      <c r="U572" s="43" t="s">
        <v>16</v>
      </c>
      <c r="V572" s="42" t="s">
        <v>17</v>
      </c>
      <c r="W572" s="45">
        <v>2</v>
      </c>
      <c r="X572" s="46">
        <v>39</v>
      </c>
      <c r="Y572" s="46">
        <v>9.58</v>
      </c>
      <c r="Z572" s="47">
        <f t="shared" si="57"/>
        <v>68.42</v>
      </c>
      <c r="AA572" s="48" t="s">
        <v>65</v>
      </c>
      <c r="AB572"/>
    </row>
    <row r="573" spans="1:28" x14ac:dyDescent="0.25">
      <c r="A573" s="31" t="s">
        <v>930</v>
      </c>
      <c r="B573" s="31" t="s">
        <v>41</v>
      </c>
      <c r="C573" s="32" t="str">
        <f t="shared" si="52"/>
        <v>João Pereira</v>
      </c>
      <c r="D573" s="38" t="s">
        <v>931</v>
      </c>
      <c r="E573" s="33">
        <f t="shared" si="53"/>
        <v>45834</v>
      </c>
      <c r="F573" s="32" t="s">
        <v>22</v>
      </c>
      <c r="G573" s="32" t="str">
        <f t="shared" si="54"/>
        <v>Amanda Costa</v>
      </c>
      <c r="H573" s="32" t="s">
        <v>16</v>
      </c>
      <c r="I573" s="32" t="s">
        <v>103</v>
      </c>
      <c r="J573" s="34">
        <v>4</v>
      </c>
      <c r="K573" s="35">
        <v>89</v>
      </c>
      <c r="L573" s="35">
        <v>0</v>
      </c>
      <c r="M573" s="36">
        <f t="shared" si="56"/>
        <v>356</v>
      </c>
      <c r="N573" s="32" t="s">
        <v>49</v>
      </c>
      <c r="Q573" s="49" t="s">
        <v>930</v>
      </c>
      <c r="R573" s="49" t="s">
        <v>41</v>
      </c>
      <c r="S573" s="58">
        <f t="shared" si="55"/>
        <v>45834</v>
      </c>
      <c r="T573" s="51" t="s">
        <v>22</v>
      </c>
      <c r="U573" s="50" t="s">
        <v>16</v>
      </c>
      <c r="V573" s="52" t="s">
        <v>103</v>
      </c>
      <c r="W573" s="53">
        <v>4</v>
      </c>
      <c r="X573" s="54">
        <v>89</v>
      </c>
      <c r="Y573" s="54">
        <v>0</v>
      </c>
      <c r="Z573" s="55">
        <f t="shared" si="57"/>
        <v>356</v>
      </c>
      <c r="AA573" s="56" t="s">
        <v>49</v>
      </c>
      <c r="AB573"/>
    </row>
    <row r="574" spans="1:28" x14ac:dyDescent="0.25">
      <c r="A574" s="26" t="s">
        <v>932</v>
      </c>
      <c r="B574" s="26" t="s">
        <v>13</v>
      </c>
      <c r="C574" s="26" t="str">
        <f t="shared" si="52"/>
        <v>Lucas Almeida</v>
      </c>
      <c r="D574" s="37" t="s">
        <v>386</v>
      </c>
      <c r="E574" s="27">
        <f t="shared" si="53"/>
        <v>45883</v>
      </c>
      <c r="F574" s="26" t="s">
        <v>29</v>
      </c>
      <c r="G574" s="26" t="str">
        <f t="shared" si="54"/>
        <v>Camila Rocha</v>
      </c>
      <c r="H574" s="26" t="s">
        <v>23</v>
      </c>
      <c r="I574" s="26" t="s">
        <v>24</v>
      </c>
      <c r="J574" s="28">
        <v>2</v>
      </c>
      <c r="K574" s="29">
        <v>180</v>
      </c>
      <c r="L574" s="29">
        <v>0</v>
      </c>
      <c r="M574" s="30">
        <f t="shared" si="56"/>
        <v>360</v>
      </c>
      <c r="N574" s="26" t="s">
        <v>89</v>
      </c>
      <c r="Q574" s="42" t="s">
        <v>932</v>
      </c>
      <c r="R574" s="42" t="s">
        <v>13</v>
      </c>
      <c r="S574" s="57">
        <f t="shared" si="55"/>
        <v>45883</v>
      </c>
      <c r="T574" s="44" t="s">
        <v>29</v>
      </c>
      <c r="U574" s="43" t="s">
        <v>23</v>
      </c>
      <c r="V574" s="42" t="s">
        <v>24</v>
      </c>
      <c r="W574" s="45">
        <v>2</v>
      </c>
      <c r="X574" s="46">
        <v>180</v>
      </c>
      <c r="Y574" s="46">
        <v>0</v>
      </c>
      <c r="Z574" s="47">
        <f t="shared" si="57"/>
        <v>360</v>
      </c>
      <c r="AA574" s="48" t="s">
        <v>89</v>
      </c>
      <c r="AB574"/>
    </row>
    <row r="575" spans="1:28" x14ac:dyDescent="0.25">
      <c r="A575" s="31" t="s">
        <v>933</v>
      </c>
      <c r="B575" s="31" t="s">
        <v>13</v>
      </c>
      <c r="C575" s="32" t="str">
        <f t="shared" si="52"/>
        <v>Lucas Almeida</v>
      </c>
      <c r="D575" s="38" t="s">
        <v>282</v>
      </c>
      <c r="E575" s="33">
        <f t="shared" si="53"/>
        <v>45984</v>
      </c>
      <c r="F575" s="32" t="s">
        <v>47</v>
      </c>
      <c r="G575" s="32" t="str">
        <f t="shared" si="54"/>
        <v>Bruno Martins</v>
      </c>
      <c r="H575" s="32" t="s">
        <v>23</v>
      </c>
      <c r="I575" s="32" t="s">
        <v>88</v>
      </c>
      <c r="J575" s="34">
        <v>3</v>
      </c>
      <c r="K575" s="35">
        <v>650</v>
      </c>
      <c r="L575" s="35">
        <v>0</v>
      </c>
      <c r="M575" s="36">
        <f t="shared" si="56"/>
        <v>1950</v>
      </c>
      <c r="N575" s="32" t="s">
        <v>69</v>
      </c>
      <c r="Q575" s="49" t="s">
        <v>933</v>
      </c>
      <c r="R575" s="49" t="s">
        <v>13</v>
      </c>
      <c r="S575" s="58">
        <f t="shared" si="55"/>
        <v>45984</v>
      </c>
      <c r="T575" s="51" t="s">
        <v>47</v>
      </c>
      <c r="U575" s="50" t="s">
        <v>23</v>
      </c>
      <c r="V575" s="52" t="s">
        <v>88</v>
      </c>
      <c r="W575" s="53">
        <v>3</v>
      </c>
      <c r="X575" s="54">
        <v>650</v>
      </c>
      <c r="Y575" s="54">
        <v>0</v>
      </c>
      <c r="Z575" s="55">
        <f t="shared" si="57"/>
        <v>1950</v>
      </c>
      <c r="AA575" s="56" t="s">
        <v>69</v>
      </c>
      <c r="AB575"/>
    </row>
    <row r="576" spans="1:28" x14ac:dyDescent="0.25">
      <c r="A576" s="26" t="s">
        <v>934</v>
      </c>
      <c r="B576" s="26" t="s">
        <v>71</v>
      </c>
      <c r="C576" s="26" t="str">
        <f t="shared" si="52"/>
        <v>Juliana Costa</v>
      </c>
      <c r="D576" s="37" t="s">
        <v>697</v>
      </c>
      <c r="E576" s="27">
        <f t="shared" si="53"/>
        <v>45927</v>
      </c>
      <c r="F576" s="26" t="s">
        <v>39</v>
      </c>
      <c r="G576" s="26" t="str">
        <f t="shared" si="54"/>
        <v>Rodrigo Mello</v>
      </c>
      <c r="H576" s="26" t="s">
        <v>30</v>
      </c>
      <c r="I576" s="26" t="s">
        <v>106</v>
      </c>
      <c r="J576" s="28">
        <v>2</v>
      </c>
      <c r="K576" s="29">
        <v>299</v>
      </c>
      <c r="L576" s="29">
        <v>71.42</v>
      </c>
      <c r="M576" s="30">
        <f t="shared" si="56"/>
        <v>526.58000000000004</v>
      </c>
      <c r="N576" s="26" t="s">
        <v>32</v>
      </c>
      <c r="Q576" s="42" t="s">
        <v>934</v>
      </c>
      <c r="R576" s="42" t="s">
        <v>71</v>
      </c>
      <c r="S576" s="57">
        <f t="shared" si="55"/>
        <v>45927</v>
      </c>
      <c r="T576" s="44" t="s">
        <v>39</v>
      </c>
      <c r="U576" s="43" t="s">
        <v>30</v>
      </c>
      <c r="V576" s="42" t="s">
        <v>106</v>
      </c>
      <c r="W576" s="45">
        <v>2</v>
      </c>
      <c r="X576" s="46">
        <v>299</v>
      </c>
      <c r="Y576" s="46">
        <v>71.42</v>
      </c>
      <c r="Z576" s="47">
        <f t="shared" si="57"/>
        <v>526.58000000000004</v>
      </c>
      <c r="AA576" s="48" t="s">
        <v>32</v>
      </c>
      <c r="AB576"/>
    </row>
    <row r="577" spans="1:28" x14ac:dyDescent="0.25">
      <c r="A577" s="31" t="s">
        <v>935</v>
      </c>
      <c r="B577" s="31" t="s">
        <v>95</v>
      </c>
      <c r="C577" s="32" t="str">
        <f t="shared" si="52"/>
        <v>Maria Oliveira</v>
      </c>
      <c r="D577" s="38" t="s">
        <v>476</v>
      </c>
      <c r="E577" s="33">
        <f t="shared" si="53"/>
        <v>45952</v>
      </c>
      <c r="F577" s="32" t="s">
        <v>29</v>
      </c>
      <c r="G577" s="32" t="str">
        <f t="shared" si="54"/>
        <v>Camila Rocha</v>
      </c>
      <c r="H577" s="32" t="s">
        <v>16</v>
      </c>
      <c r="I577" s="32" t="s">
        <v>17</v>
      </c>
      <c r="J577" s="34">
        <v>2</v>
      </c>
      <c r="K577" s="35">
        <v>39</v>
      </c>
      <c r="L577" s="35">
        <v>2.2400000000000002</v>
      </c>
      <c r="M577" s="36">
        <f t="shared" si="56"/>
        <v>75.760000000000005</v>
      </c>
      <c r="N577" s="32" t="s">
        <v>89</v>
      </c>
      <c r="Q577" s="49" t="s">
        <v>935</v>
      </c>
      <c r="R577" s="49" t="s">
        <v>95</v>
      </c>
      <c r="S577" s="58">
        <f t="shared" si="55"/>
        <v>45952</v>
      </c>
      <c r="T577" s="51" t="s">
        <v>29</v>
      </c>
      <c r="U577" s="50" t="s">
        <v>16</v>
      </c>
      <c r="V577" s="52" t="s">
        <v>17</v>
      </c>
      <c r="W577" s="53">
        <v>2</v>
      </c>
      <c r="X577" s="54">
        <v>39</v>
      </c>
      <c r="Y577" s="54">
        <v>2.2400000000000002</v>
      </c>
      <c r="Z577" s="55">
        <f t="shared" si="57"/>
        <v>75.760000000000005</v>
      </c>
      <c r="AA577" s="56" t="s">
        <v>89</v>
      </c>
      <c r="AB577"/>
    </row>
    <row r="578" spans="1:28" x14ac:dyDescent="0.25">
      <c r="A578" s="26" t="s">
        <v>936</v>
      </c>
      <c r="B578" s="26" t="s">
        <v>63</v>
      </c>
      <c r="C578" s="26" t="str">
        <f t="shared" si="52"/>
        <v>Marcos Rodrigues</v>
      </c>
      <c r="D578" s="37" t="s">
        <v>518</v>
      </c>
      <c r="E578" s="27">
        <f t="shared" si="53"/>
        <v>45800</v>
      </c>
      <c r="F578" s="26" t="s">
        <v>22</v>
      </c>
      <c r="G578" s="26" t="str">
        <f t="shared" si="54"/>
        <v>Amanda Costa</v>
      </c>
      <c r="H578" s="26" t="s">
        <v>23</v>
      </c>
      <c r="I578" s="26" t="s">
        <v>88</v>
      </c>
      <c r="J578" s="28">
        <v>5</v>
      </c>
      <c r="K578" s="29">
        <v>650</v>
      </c>
      <c r="L578" s="29">
        <v>192.77</v>
      </c>
      <c r="M578" s="30">
        <f t="shared" si="56"/>
        <v>3057.23</v>
      </c>
      <c r="N578" s="26" t="s">
        <v>65</v>
      </c>
      <c r="Q578" s="42" t="s">
        <v>936</v>
      </c>
      <c r="R578" s="42" t="s">
        <v>63</v>
      </c>
      <c r="S578" s="57">
        <f t="shared" si="55"/>
        <v>45800</v>
      </c>
      <c r="T578" s="44" t="s">
        <v>22</v>
      </c>
      <c r="U578" s="43" t="s">
        <v>23</v>
      </c>
      <c r="V578" s="42" t="s">
        <v>88</v>
      </c>
      <c r="W578" s="45">
        <v>5</v>
      </c>
      <c r="X578" s="46">
        <v>650</v>
      </c>
      <c r="Y578" s="46">
        <v>192.77</v>
      </c>
      <c r="Z578" s="47">
        <f t="shared" si="57"/>
        <v>3057.23</v>
      </c>
      <c r="AA578" s="48" t="s">
        <v>65</v>
      </c>
      <c r="AB578"/>
    </row>
    <row r="579" spans="1:28" x14ac:dyDescent="0.25">
      <c r="A579" s="31" t="s">
        <v>937</v>
      </c>
      <c r="B579" s="31" t="s">
        <v>71</v>
      </c>
      <c r="C579" s="32" t="str">
        <f t="shared" ref="C579:C642" si="58">SUBSTITUTE(SUBSTITUTE(SUBSTITUTE(SUBSTITUTE(PROPER(B579)," Da "," ")," De "," ")," Do "," ")," Dos "," ")</f>
        <v>Juliana Costa</v>
      </c>
      <c r="D579" s="38" t="s">
        <v>938</v>
      </c>
      <c r="E579" s="33">
        <f t="shared" ref="E579:E642" si="59">DATEVALUE(D579)</f>
        <v>45845</v>
      </c>
      <c r="F579" s="32" t="s">
        <v>22</v>
      </c>
      <c r="G579" s="32" t="str">
        <f t="shared" ref="G579:G642" si="60">SUBSTITUTE(SUBSTITUTE(SUBSTITUTE(SUBSTITUTE(PROPER(F579)," Da "," ")," De "," ")," Do "," ")," Dos "," ")</f>
        <v>Amanda Costa</v>
      </c>
      <c r="H579" s="32" t="s">
        <v>52</v>
      </c>
      <c r="I579" s="32" t="s">
        <v>61</v>
      </c>
      <c r="J579" s="34">
        <v>3</v>
      </c>
      <c r="K579" s="35">
        <v>199</v>
      </c>
      <c r="L579" s="35">
        <v>0</v>
      </c>
      <c r="M579" s="36">
        <f t="shared" si="56"/>
        <v>597</v>
      </c>
      <c r="N579" s="32" t="s">
        <v>89</v>
      </c>
      <c r="Q579" s="49" t="s">
        <v>937</v>
      </c>
      <c r="R579" s="49" t="s">
        <v>71</v>
      </c>
      <c r="S579" s="58">
        <f t="shared" si="55"/>
        <v>45845</v>
      </c>
      <c r="T579" s="51" t="s">
        <v>22</v>
      </c>
      <c r="U579" s="50" t="s">
        <v>52</v>
      </c>
      <c r="V579" s="52" t="s">
        <v>61</v>
      </c>
      <c r="W579" s="53">
        <v>3</v>
      </c>
      <c r="X579" s="54">
        <v>199</v>
      </c>
      <c r="Y579" s="54">
        <v>0</v>
      </c>
      <c r="Z579" s="55">
        <f t="shared" si="57"/>
        <v>597</v>
      </c>
      <c r="AA579" s="56" t="s">
        <v>89</v>
      </c>
      <c r="AB579"/>
    </row>
    <row r="580" spans="1:28" x14ac:dyDescent="0.25">
      <c r="A580" s="26" t="s">
        <v>939</v>
      </c>
      <c r="B580" s="26" t="s">
        <v>27</v>
      </c>
      <c r="C580" s="26" t="str">
        <f t="shared" si="58"/>
        <v>Roberto Santos</v>
      </c>
      <c r="D580" s="37" t="s">
        <v>913</v>
      </c>
      <c r="E580" s="27">
        <f t="shared" si="59"/>
        <v>46017</v>
      </c>
      <c r="F580" s="26" t="s">
        <v>15</v>
      </c>
      <c r="G580" s="26" t="str">
        <f t="shared" si="60"/>
        <v>Larissa Dias</v>
      </c>
      <c r="H580" s="26" t="s">
        <v>23</v>
      </c>
      <c r="I580" s="26" t="s">
        <v>88</v>
      </c>
      <c r="J580" s="28">
        <v>2</v>
      </c>
      <c r="K580" s="29">
        <v>650</v>
      </c>
      <c r="L580" s="29">
        <v>59.25</v>
      </c>
      <c r="M580" s="30">
        <f t="shared" si="56"/>
        <v>1240.75</v>
      </c>
      <c r="N580" s="26" t="s">
        <v>44</v>
      </c>
      <c r="Q580" s="42" t="s">
        <v>939</v>
      </c>
      <c r="R580" s="42" t="s">
        <v>27</v>
      </c>
      <c r="S580" s="57">
        <f t="shared" si="55"/>
        <v>46017</v>
      </c>
      <c r="T580" s="44" t="s">
        <v>15</v>
      </c>
      <c r="U580" s="43" t="s">
        <v>23</v>
      </c>
      <c r="V580" s="42" t="s">
        <v>88</v>
      </c>
      <c r="W580" s="45">
        <v>2</v>
      </c>
      <c r="X580" s="46">
        <v>650</v>
      </c>
      <c r="Y580" s="46">
        <v>59.25</v>
      </c>
      <c r="Z580" s="47">
        <f t="shared" si="57"/>
        <v>1240.75</v>
      </c>
      <c r="AA580" s="48" t="s">
        <v>44</v>
      </c>
      <c r="AB580"/>
    </row>
    <row r="581" spans="1:28" x14ac:dyDescent="0.25">
      <c r="A581" s="31" t="s">
        <v>940</v>
      </c>
      <c r="B581" s="31" t="s">
        <v>71</v>
      </c>
      <c r="C581" s="32" t="str">
        <f t="shared" si="58"/>
        <v>Juliana Costa</v>
      </c>
      <c r="D581" s="38" t="s">
        <v>564</v>
      </c>
      <c r="E581" s="33">
        <f t="shared" si="59"/>
        <v>45832</v>
      </c>
      <c r="F581" s="32" t="s">
        <v>29</v>
      </c>
      <c r="G581" s="32" t="str">
        <f t="shared" si="60"/>
        <v>Camila Rocha</v>
      </c>
      <c r="H581" s="32" t="s">
        <v>23</v>
      </c>
      <c r="I581" s="32" t="s">
        <v>24</v>
      </c>
      <c r="J581" s="34">
        <v>3</v>
      </c>
      <c r="K581" s="35">
        <v>180</v>
      </c>
      <c r="L581" s="35">
        <v>0</v>
      </c>
      <c r="M581" s="36">
        <f t="shared" si="56"/>
        <v>540</v>
      </c>
      <c r="N581" s="32" t="s">
        <v>65</v>
      </c>
      <c r="Q581" s="49" t="s">
        <v>940</v>
      </c>
      <c r="R581" s="49" t="s">
        <v>71</v>
      </c>
      <c r="S581" s="58">
        <f t="shared" si="55"/>
        <v>45832</v>
      </c>
      <c r="T581" s="51" t="s">
        <v>29</v>
      </c>
      <c r="U581" s="50" t="s">
        <v>23</v>
      </c>
      <c r="V581" s="52" t="s">
        <v>24</v>
      </c>
      <c r="W581" s="53">
        <v>3</v>
      </c>
      <c r="X581" s="54">
        <v>180</v>
      </c>
      <c r="Y581" s="54">
        <v>0</v>
      </c>
      <c r="Z581" s="55">
        <f t="shared" si="57"/>
        <v>540</v>
      </c>
      <c r="AA581" s="56" t="s">
        <v>65</v>
      </c>
      <c r="AB581"/>
    </row>
    <row r="582" spans="1:28" x14ac:dyDescent="0.25">
      <c r="A582" s="26" t="s">
        <v>941</v>
      </c>
      <c r="B582" s="26" t="s">
        <v>55</v>
      </c>
      <c r="C582" s="26" t="str">
        <f t="shared" si="58"/>
        <v>Ricardo Carvalho</v>
      </c>
      <c r="D582" s="37" t="s">
        <v>518</v>
      </c>
      <c r="E582" s="27">
        <f t="shared" si="59"/>
        <v>45800</v>
      </c>
      <c r="F582" s="26" t="s">
        <v>22</v>
      </c>
      <c r="G582" s="26" t="str">
        <f t="shared" si="60"/>
        <v>Amanda Costa</v>
      </c>
      <c r="H582" s="26" t="s">
        <v>23</v>
      </c>
      <c r="I582" s="26" t="s">
        <v>88</v>
      </c>
      <c r="J582" s="28">
        <v>2</v>
      </c>
      <c r="K582" s="29">
        <v>650</v>
      </c>
      <c r="L582" s="29">
        <v>0</v>
      </c>
      <c r="M582" s="30">
        <f t="shared" si="56"/>
        <v>1300</v>
      </c>
      <c r="N582" s="26" t="s">
        <v>18</v>
      </c>
      <c r="Q582" s="42" t="s">
        <v>941</v>
      </c>
      <c r="R582" s="42" t="s">
        <v>55</v>
      </c>
      <c r="S582" s="57">
        <f t="shared" ref="S582:S645" si="61">DATEVALUE(D582)</f>
        <v>45800</v>
      </c>
      <c r="T582" s="44" t="s">
        <v>22</v>
      </c>
      <c r="U582" s="43" t="s">
        <v>23</v>
      </c>
      <c r="V582" s="42" t="s">
        <v>88</v>
      </c>
      <c r="W582" s="45">
        <v>2</v>
      </c>
      <c r="X582" s="46">
        <v>650</v>
      </c>
      <c r="Y582" s="46">
        <v>0</v>
      </c>
      <c r="Z582" s="47">
        <f t="shared" si="57"/>
        <v>1300</v>
      </c>
      <c r="AA582" s="48" t="s">
        <v>18</v>
      </c>
      <c r="AB582"/>
    </row>
    <row r="583" spans="1:28" x14ac:dyDescent="0.25">
      <c r="A583" s="31" t="s">
        <v>942</v>
      </c>
      <c r="B583" s="31" t="s">
        <v>13</v>
      </c>
      <c r="C583" s="32" t="str">
        <f t="shared" si="58"/>
        <v>Lucas Almeida</v>
      </c>
      <c r="D583" s="38" t="s">
        <v>690</v>
      </c>
      <c r="E583" s="33">
        <f t="shared" si="59"/>
        <v>45794</v>
      </c>
      <c r="F583" s="32" t="s">
        <v>22</v>
      </c>
      <c r="G583" s="32" t="str">
        <f t="shared" si="60"/>
        <v>Amanda Costa</v>
      </c>
      <c r="H583" s="32" t="s">
        <v>52</v>
      </c>
      <c r="I583" s="32" t="s">
        <v>75</v>
      </c>
      <c r="J583" s="34">
        <v>4</v>
      </c>
      <c r="K583" s="35">
        <v>249</v>
      </c>
      <c r="L583" s="35">
        <v>1.98</v>
      </c>
      <c r="M583" s="36">
        <f t="shared" si="56"/>
        <v>994.02</v>
      </c>
      <c r="N583" s="32" t="s">
        <v>18</v>
      </c>
      <c r="Q583" s="49" t="s">
        <v>942</v>
      </c>
      <c r="R583" s="49" t="s">
        <v>13</v>
      </c>
      <c r="S583" s="58">
        <f t="shared" si="61"/>
        <v>45794</v>
      </c>
      <c r="T583" s="51" t="s">
        <v>22</v>
      </c>
      <c r="U583" s="50" t="s">
        <v>52</v>
      </c>
      <c r="V583" s="52" t="s">
        <v>75</v>
      </c>
      <c r="W583" s="53">
        <v>4</v>
      </c>
      <c r="X583" s="54">
        <v>249</v>
      </c>
      <c r="Y583" s="54">
        <v>1.98</v>
      </c>
      <c r="Z583" s="55">
        <f t="shared" si="57"/>
        <v>994.02</v>
      </c>
      <c r="AA583" s="56" t="s">
        <v>18</v>
      </c>
      <c r="AB583"/>
    </row>
    <row r="584" spans="1:28" x14ac:dyDescent="0.25">
      <c r="A584" s="26" t="s">
        <v>943</v>
      </c>
      <c r="B584" s="26" t="s">
        <v>95</v>
      </c>
      <c r="C584" s="26" t="str">
        <f t="shared" si="58"/>
        <v>Maria Oliveira</v>
      </c>
      <c r="D584" s="37" t="s">
        <v>796</v>
      </c>
      <c r="E584" s="27">
        <f t="shared" si="59"/>
        <v>45907</v>
      </c>
      <c r="F584" s="26" t="s">
        <v>47</v>
      </c>
      <c r="G584" s="26" t="str">
        <f t="shared" si="60"/>
        <v>Bruno Martins</v>
      </c>
      <c r="H584" s="26" t="s">
        <v>23</v>
      </c>
      <c r="I584" s="26" t="s">
        <v>88</v>
      </c>
      <c r="J584" s="28">
        <v>2</v>
      </c>
      <c r="K584" s="29">
        <v>650</v>
      </c>
      <c r="L584" s="29">
        <v>0.56000000000000005</v>
      </c>
      <c r="M584" s="30">
        <f t="shared" ref="M584:M647" si="62">(J584*K584)-L584</f>
        <v>1299.44</v>
      </c>
      <c r="N584" s="26" t="s">
        <v>25</v>
      </c>
      <c r="Q584" s="42" t="s">
        <v>943</v>
      </c>
      <c r="R584" s="42" t="s">
        <v>95</v>
      </c>
      <c r="S584" s="57">
        <f t="shared" si="61"/>
        <v>45907</v>
      </c>
      <c r="T584" s="44" t="s">
        <v>47</v>
      </c>
      <c r="U584" s="43" t="s">
        <v>23</v>
      </c>
      <c r="V584" s="42" t="s">
        <v>88</v>
      </c>
      <c r="W584" s="45">
        <v>2</v>
      </c>
      <c r="X584" s="46">
        <v>650</v>
      </c>
      <c r="Y584" s="46">
        <v>0.56000000000000005</v>
      </c>
      <c r="Z584" s="47">
        <f t="shared" ref="Z584:Z647" si="63">(W584*X584)-Y584</f>
        <v>1299.44</v>
      </c>
      <c r="AA584" s="48" t="s">
        <v>25</v>
      </c>
      <c r="AB584"/>
    </row>
    <row r="585" spans="1:28" x14ac:dyDescent="0.25">
      <c r="A585" s="31" t="s">
        <v>944</v>
      </c>
      <c r="B585" s="31" t="s">
        <v>41</v>
      </c>
      <c r="C585" s="32" t="str">
        <f t="shared" si="58"/>
        <v>João Pereira</v>
      </c>
      <c r="D585" s="38" t="s">
        <v>690</v>
      </c>
      <c r="E585" s="33">
        <f t="shared" si="59"/>
        <v>45794</v>
      </c>
      <c r="F585" s="32" t="s">
        <v>15</v>
      </c>
      <c r="G585" s="32" t="str">
        <f t="shared" si="60"/>
        <v>Larissa Dias</v>
      </c>
      <c r="H585" s="32" t="s">
        <v>30</v>
      </c>
      <c r="I585" s="32" t="s">
        <v>106</v>
      </c>
      <c r="J585" s="34">
        <v>1</v>
      </c>
      <c r="K585" s="35">
        <v>299</v>
      </c>
      <c r="L585" s="35">
        <v>12.23</v>
      </c>
      <c r="M585" s="36">
        <f t="shared" si="62"/>
        <v>286.77</v>
      </c>
      <c r="N585" s="32" t="s">
        <v>89</v>
      </c>
      <c r="Q585" s="49" t="s">
        <v>944</v>
      </c>
      <c r="R585" s="49" t="s">
        <v>41</v>
      </c>
      <c r="S585" s="58">
        <f t="shared" si="61"/>
        <v>45794</v>
      </c>
      <c r="T585" s="51" t="s">
        <v>15</v>
      </c>
      <c r="U585" s="50" t="s">
        <v>30</v>
      </c>
      <c r="V585" s="52" t="s">
        <v>106</v>
      </c>
      <c r="W585" s="53">
        <v>1</v>
      </c>
      <c r="X585" s="54">
        <v>299</v>
      </c>
      <c r="Y585" s="54">
        <v>12.23</v>
      </c>
      <c r="Z585" s="55">
        <f t="shared" si="63"/>
        <v>286.77</v>
      </c>
      <c r="AA585" s="56" t="s">
        <v>89</v>
      </c>
      <c r="AB585"/>
    </row>
    <row r="586" spans="1:28" x14ac:dyDescent="0.25">
      <c r="A586" s="26" t="s">
        <v>945</v>
      </c>
      <c r="B586" s="26" t="s">
        <v>110</v>
      </c>
      <c r="C586" s="26" t="str">
        <f t="shared" si="58"/>
        <v>Fernanda Lima</v>
      </c>
      <c r="D586" s="37" t="s">
        <v>497</v>
      </c>
      <c r="E586" s="27">
        <f t="shared" si="59"/>
        <v>45679</v>
      </c>
      <c r="F586" s="26" t="s">
        <v>47</v>
      </c>
      <c r="G586" s="26" t="str">
        <f t="shared" si="60"/>
        <v>Bruno Martins</v>
      </c>
      <c r="H586" s="26" t="s">
        <v>52</v>
      </c>
      <c r="I586" s="26" t="s">
        <v>61</v>
      </c>
      <c r="J586" s="28">
        <v>4</v>
      </c>
      <c r="K586" s="29">
        <v>199</v>
      </c>
      <c r="L586" s="29">
        <v>45.78</v>
      </c>
      <c r="M586" s="30">
        <f t="shared" si="62"/>
        <v>750.22</v>
      </c>
      <c r="N586" s="26" t="s">
        <v>49</v>
      </c>
      <c r="Q586" s="42" t="s">
        <v>945</v>
      </c>
      <c r="R586" s="42" t="s">
        <v>110</v>
      </c>
      <c r="S586" s="57">
        <f t="shared" si="61"/>
        <v>45679</v>
      </c>
      <c r="T586" s="44" t="s">
        <v>47</v>
      </c>
      <c r="U586" s="43" t="s">
        <v>52</v>
      </c>
      <c r="V586" s="42" t="s">
        <v>61</v>
      </c>
      <c r="W586" s="45">
        <v>4</v>
      </c>
      <c r="X586" s="46">
        <v>199</v>
      </c>
      <c r="Y586" s="46">
        <v>45.78</v>
      </c>
      <c r="Z586" s="47">
        <f t="shared" si="63"/>
        <v>750.22</v>
      </c>
      <c r="AA586" s="48" t="s">
        <v>49</v>
      </c>
      <c r="AB586"/>
    </row>
    <row r="587" spans="1:28" x14ac:dyDescent="0.25">
      <c r="A587" s="31" t="s">
        <v>946</v>
      </c>
      <c r="B587" s="31" t="s">
        <v>27</v>
      </c>
      <c r="C587" s="32" t="str">
        <f t="shared" si="58"/>
        <v>Roberto Santos</v>
      </c>
      <c r="D587" s="38" t="s">
        <v>342</v>
      </c>
      <c r="E587" s="33">
        <f t="shared" si="59"/>
        <v>45973</v>
      </c>
      <c r="F587" s="32" t="s">
        <v>15</v>
      </c>
      <c r="G587" s="32" t="str">
        <f t="shared" si="60"/>
        <v>Larissa Dias</v>
      </c>
      <c r="H587" s="32" t="s">
        <v>23</v>
      </c>
      <c r="I587" s="32" t="s">
        <v>88</v>
      </c>
      <c r="J587" s="34">
        <v>4</v>
      </c>
      <c r="K587" s="35">
        <v>650</v>
      </c>
      <c r="L587" s="35">
        <v>0</v>
      </c>
      <c r="M587" s="36">
        <f t="shared" si="62"/>
        <v>2600</v>
      </c>
      <c r="N587" s="32" t="s">
        <v>32</v>
      </c>
      <c r="Q587" s="49" t="s">
        <v>946</v>
      </c>
      <c r="R587" s="49" t="s">
        <v>27</v>
      </c>
      <c r="S587" s="58">
        <f t="shared" si="61"/>
        <v>45973</v>
      </c>
      <c r="T587" s="51" t="s">
        <v>15</v>
      </c>
      <c r="U587" s="50" t="s">
        <v>23</v>
      </c>
      <c r="V587" s="52" t="s">
        <v>88</v>
      </c>
      <c r="W587" s="53">
        <v>4</v>
      </c>
      <c r="X587" s="54">
        <v>650</v>
      </c>
      <c r="Y587" s="54">
        <v>0</v>
      </c>
      <c r="Z587" s="55">
        <f t="shared" si="63"/>
        <v>2600</v>
      </c>
      <c r="AA587" s="56" t="s">
        <v>32</v>
      </c>
      <c r="AB587"/>
    </row>
    <row r="588" spans="1:28" x14ac:dyDescent="0.25">
      <c r="A588" s="26" t="s">
        <v>947</v>
      </c>
      <c r="B588" s="26" t="s">
        <v>27</v>
      </c>
      <c r="C588" s="26" t="str">
        <f t="shared" si="58"/>
        <v>Roberto Santos</v>
      </c>
      <c r="D588" s="37" t="s">
        <v>204</v>
      </c>
      <c r="E588" s="27">
        <f t="shared" si="59"/>
        <v>46048</v>
      </c>
      <c r="F588" s="26" t="s">
        <v>15</v>
      </c>
      <c r="G588" s="26" t="str">
        <f t="shared" si="60"/>
        <v>Larissa Dias</v>
      </c>
      <c r="H588" s="26" t="s">
        <v>16</v>
      </c>
      <c r="I588" s="26" t="s">
        <v>116</v>
      </c>
      <c r="J588" s="28">
        <v>1</v>
      </c>
      <c r="K588" s="29">
        <v>45</v>
      </c>
      <c r="L588" s="29">
        <v>0</v>
      </c>
      <c r="M588" s="30">
        <f t="shared" si="62"/>
        <v>45</v>
      </c>
      <c r="N588" s="26" t="s">
        <v>49</v>
      </c>
      <c r="Q588" s="42" t="s">
        <v>947</v>
      </c>
      <c r="R588" s="42" t="s">
        <v>27</v>
      </c>
      <c r="S588" s="57">
        <f t="shared" si="61"/>
        <v>46048</v>
      </c>
      <c r="T588" s="44" t="s">
        <v>15</v>
      </c>
      <c r="U588" s="43" t="s">
        <v>16</v>
      </c>
      <c r="V588" s="42" t="s">
        <v>116</v>
      </c>
      <c r="W588" s="45">
        <v>1</v>
      </c>
      <c r="X588" s="46">
        <v>45</v>
      </c>
      <c r="Y588" s="46">
        <v>0</v>
      </c>
      <c r="Z588" s="47">
        <f t="shared" si="63"/>
        <v>45</v>
      </c>
      <c r="AA588" s="48" t="s">
        <v>49</v>
      </c>
      <c r="AB588"/>
    </row>
    <row r="589" spans="1:28" x14ac:dyDescent="0.25">
      <c r="A589" s="31" t="s">
        <v>948</v>
      </c>
      <c r="B589" s="31" t="s">
        <v>20</v>
      </c>
      <c r="C589" s="32" t="str">
        <f t="shared" si="58"/>
        <v>Beatriz Ribeiro</v>
      </c>
      <c r="D589" s="38" t="s">
        <v>429</v>
      </c>
      <c r="E589" s="33">
        <f t="shared" si="59"/>
        <v>45658</v>
      </c>
      <c r="F589" s="32" t="s">
        <v>29</v>
      </c>
      <c r="G589" s="32" t="str">
        <f t="shared" si="60"/>
        <v>Camila Rocha</v>
      </c>
      <c r="H589" s="32" t="s">
        <v>23</v>
      </c>
      <c r="I589" s="32" t="s">
        <v>24</v>
      </c>
      <c r="J589" s="34">
        <v>5</v>
      </c>
      <c r="K589" s="35">
        <v>180</v>
      </c>
      <c r="L589" s="35">
        <v>0</v>
      </c>
      <c r="M589" s="36">
        <f t="shared" si="62"/>
        <v>900</v>
      </c>
      <c r="N589" s="32" t="s">
        <v>65</v>
      </c>
      <c r="Q589" s="49" t="s">
        <v>948</v>
      </c>
      <c r="R589" s="49" t="s">
        <v>20</v>
      </c>
      <c r="S589" s="58">
        <f t="shared" si="61"/>
        <v>45658</v>
      </c>
      <c r="T589" s="51" t="s">
        <v>29</v>
      </c>
      <c r="U589" s="50" t="s">
        <v>23</v>
      </c>
      <c r="V589" s="52" t="s">
        <v>24</v>
      </c>
      <c r="W589" s="53">
        <v>5</v>
      </c>
      <c r="X589" s="54">
        <v>180</v>
      </c>
      <c r="Y589" s="54">
        <v>0</v>
      </c>
      <c r="Z589" s="55">
        <f t="shared" si="63"/>
        <v>900</v>
      </c>
      <c r="AA589" s="56" t="s">
        <v>65</v>
      </c>
      <c r="AB589"/>
    </row>
    <row r="590" spans="1:28" x14ac:dyDescent="0.25">
      <c r="A590" s="26" t="s">
        <v>949</v>
      </c>
      <c r="B590" s="26" t="s">
        <v>13</v>
      </c>
      <c r="C590" s="26" t="str">
        <f t="shared" si="58"/>
        <v>Lucas Almeida</v>
      </c>
      <c r="D590" s="37" t="s">
        <v>931</v>
      </c>
      <c r="E590" s="27">
        <f t="shared" si="59"/>
        <v>45834</v>
      </c>
      <c r="F590" s="26" t="s">
        <v>22</v>
      </c>
      <c r="G590" s="26" t="str">
        <f t="shared" si="60"/>
        <v>Amanda Costa</v>
      </c>
      <c r="H590" s="26" t="s">
        <v>30</v>
      </c>
      <c r="I590" s="26" t="s">
        <v>31</v>
      </c>
      <c r="J590" s="28">
        <v>2</v>
      </c>
      <c r="K590" s="29">
        <v>2500</v>
      </c>
      <c r="L590" s="29">
        <v>0</v>
      </c>
      <c r="M590" s="30">
        <f t="shared" si="62"/>
        <v>5000</v>
      </c>
      <c r="N590" s="26" t="s">
        <v>65</v>
      </c>
      <c r="Q590" s="42" t="s">
        <v>949</v>
      </c>
      <c r="R590" s="42" t="s">
        <v>13</v>
      </c>
      <c r="S590" s="57">
        <f t="shared" si="61"/>
        <v>45834</v>
      </c>
      <c r="T590" s="44" t="s">
        <v>22</v>
      </c>
      <c r="U590" s="43" t="s">
        <v>30</v>
      </c>
      <c r="V590" s="42" t="s">
        <v>31</v>
      </c>
      <c r="W590" s="45">
        <v>2</v>
      </c>
      <c r="X590" s="46">
        <v>2500</v>
      </c>
      <c r="Y590" s="46">
        <v>0</v>
      </c>
      <c r="Z590" s="47">
        <f t="shared" si="63"/>
        <v>5000</v>
      </c>
      <c r="AA590" s="48" t="s">
        <v>65</v>
      </c>
      <c r="AB590"/>
    </row>
    <row r="591" spans="1:28" x14ac:dyDescent="0.25">
      <c r="A591" s="31" t="s">
        <v>950</v>
      </c>
      <c r="B591" s="31" t="s">
        <v>71</v>
      </c>
      <c r="C591" s="32" t="str">
        <f t="shared" si="58"/>
        <v>Juliana Costa</v>
      </c>
      <c r="D591" s="38" t="s">
        <v>260</v>
      </c>
      <c r="E591" s="33">
        <f t="shared" si="59"/>
        <v>45722</v>
      </c>
      <c r="F591" s="32" t="s">
        <v>39</v>
      </c>
      <c r="G591" s="32" t="str">
        <f t="shared" si="60"/>
        <v>Rodrigo Mello</v>
      </c>
      <c r="H591" s="32" t="s">
        <v>52</v>
      </c>
      <c r="I591" s="32" t="s">
        <v>75</v>
      </c>
      <c r="J591" s="34">
        <v>1</v>
      </c>
      <c r="K591" s="35">
        <v>249</v>
      </c>
      <c r="L591" s="35">
        <v>0</v>
      </c>
      <c r="M591" s="36">
        <f t="shared" si="62"/>
        <v>249</v>
      </c>
      <c r="N591" s="32" t="s">
        <v>89</v>
      </c>
      <c r="Q591" s="49" t="s">
        <v>950</v>
      </c>
      <c r="R591" s="49" t="s">
        <v>71</v>
      </c>
      <c r="S591" s="58">
        <f t="shared" si="61"/>
        <v>45722</v>
      </c>
      <c r="T591" s="51" t="s">
        <v>39</v>
      </c>
      <c r="U591" s="50" t="s">
        <v>52</v>
      </c>
      <c r="V591" s="52" t="s">
        <v>75</v>
      </c>
      <c r="W591" s="53">
        <v>1</v>
      </c>
      <c r="X591" s="54">
        <v>249</v>
      </c>
      <c r="Y591" s="54">
        <v>0</v>
      </c>
      <c r="Z591" s="55">
        <f t="shared" si="63"/>
        <v>249</v>
      </c>
      <c r="AA591" s="56" t="s">
        <v>89</v>
      </c>
      <c r="AB591"/>
    </row>
    <row r="592" spans="1:28" x14ac:dyDescent="0.25">
      <c r="A592" s="26" t="s">
        <v>951</v>
      </c>
      <c r="B592" s="26" t="s">
        <v>13</v>
      </c>
      <c r="C592" s="26" t="str">
        <f t="shared" si="58"/>
        <v>Lucas Almeida</v>
      </c>
      <c r="D592" s="37" t="s">
        <v>549</v>
      </c>
      <c r="E592" s="27">
        <f t="shared" si="59"/>
        <v>45950</v>
      </c>
      <c r="F592" s="26" t="s">
        <v>22</v>
      </c>
      <c r="G592" s="26" t="str">
        <f t="shared" si="60"/>
        <v>Amanda Costa</v>
      </c>
      <c r="H592" s="26" t="s">
        <v>23</v>
      </c>
      <c r="I592" s="26" t="s">
        <v>24</v>
      </c>
      <c r="J592" s="28">
        <v>3</v>
      </c>
      <c r="K592" s="29">
        <v>180</v>
      </c>
      <c r="L592" s="29">
        <v>17.91</v>
      </c>
      <c r="M592" s="30">
        <f t="shared" si="62"/>
        <v>522.09</v>
      </c>
      <c r="N592" s="26" t="s">
        <v>18</v>
      </c>
      <c r="Q592" s="42" t="s">
        <v>951</v>
      </c>
      <c r="R592" s="42" t="s">
        <v>13</v>
      </c>
      <c r="S592" s="57">
        <f t="shared" si="61"/>
        <v>45950</v>
      </c>
      <c r="T592" s="44" t="s">
        <v>22</v>
      </c>
      <c r="U592" s="43" t="s">
        <v>23</v>
      </c>
      <c r="V592" s="42" t="s">
        <v>24</v>
      </c>
      <c r="W592" s="45">
        <v>3</v>
      </c>
      <c r="X592" s="46">
        <v>180</v>
      </c>
      <c r="Y592" s="46">
        <v>17.91</v>
      </c>
      <c r="Z592" s="47">
        <f t="shared" si="63"/>
        <v>522.09</v>
      </c>
      <c r="AA592" s="48" t="s">
        <v>18</v>
      </c>
      <c r="AB592"/>
    </row>
    <row r="593" spans="1:28" x14ac:dyDescent="0.25">
      <c r="A593" s="31" t="s">
        <v>952</v>
      </c>
      <c r="B593" s="31" t="s">
        <v>55</v>
      </c>
      <c r="C593" s="32" t="str">
        <f t="shared" si="58"/>
        <v>Ricardo Carvalho</v>
      </c>
      <c r="D593" s="38" t="s">
        <v>296</v>
      </c>
      <c r="E593" s="33">
        <f t="shared" si="59"/>
        <v>46041</v>
      </c>
      <c r="F593" s="32" t="s">
        <v>29</v>
      </c>
      <c r="G593" s="32" t="str">
        <f t="shared" si="60"/>
        <v>Camila Rocha</v>
      </c>
      <c r="H593" s="32" t="s">
        <v>30</v>
      </c>
      <c r="I593" s="32" t="s">
        <v>106</v>
      </c>
      <c r="J593" s="34">
        <v>5</v>
      </c>
      <c r="K593" s="35">
        <v>299</v>
      </c>
      <c r="L593" s="35">
        <v>0</v>
      </c>
      <c r="M593" s="36">
        <f t="shared" si="62"/>
        <v>1495</v>
      </c>
      <c r="N593" s="32" t="s">
        <v>65</v>
      </c>
      <c r="Q593" s="49" t="s">
        <v>952</v>
      </c>
      <c r="R593" s="49" t="s">
        <v>55</v>
      </c>
      <c r="S593" s="58">
        <f t="shared" si="61"/>
        <v>46041</v>
      </c>
      <c r="T593" s="51" t="s">
        <v>29</v>
      </c>
      <c r="U593" s="50" t="s">
        <v>30</v>
      </c>
      <c r="V593" s="52" t="s">
        <v>106</v>
      </c>
      <c r="W593" s="53">
        <v>5</v>
      </c>
      <c r="X593" s="54">
        <v>299</v>
      </c>
      <c r="Y593" s="54">
        <v>0</v>
      </c>
      <c r="Z593" s="55">
        <f t="shared" si="63"/>
        <v>1495</v>
      </c>
      <c r="AA593" s="56" t="s">
        <v>65</v>
      </c>
      <c r="AB593"/>
    </row>
    <row r="594" spans="1:28" x14ac:dyDescent="0.25">
      <c r="A594" s="26" t="s">
        <v>953</v>
      </c>
      <c r="B594" s="26" t="s">
        <v>34</v>
      </c>
      <c r="C594" s="26" t="str">
        <f t="shared" si="58"/>
        <v>Carlos Silva</v>
      </c>
      <c r="D594" s="37" t="s">
        <v>954</v>
      </c>
      <c r="E594" s="27">
        <f t="shared" si="59"/>
        <v>45953</v>
      </c>
      <c r="F594" s="26" t="s">
        <v>15</v>
      </c>
      <c r="G594" s="26" t="str">
        <f t="shared" si="60"/>
        <v>Larissa Dias</v>
      </c>
      <c r="H594" s="26" t="s">
        <v>16</v>
      </c>
      <c r="I594" s="26" t="s">
        <v>103</v>
      </c>
      <c r="J594" s="28">
        <v>3</v>
      </c>
      <c r="K594" s="29">
        <v>89</v>
      </c>
      <c r="L594" s="29">
        <v>0</v>
      </c>
      <c r="M594" s="30">
        <f t="shared" si="62"/>
        <v>267</v>
      </c>
      <c r="N594" s="26" t="s">
        <v>69</v>
      </c>
      <c r="Q594" s="42" t="s">
        <v>953</v>
      </c>
      <c r="R594" s="42" t="s">
        <v>34</v>
      </c>
      <c r="S594" s="57">
        <f t="shared" si="61"/>
        <v>45953</v>
      </c>
      <c r="T594" s="44" t="s">
        <v>15</v>
      </c>
      <c r="U594" s="43" t="s">
        <v>16</v>
      </c>
      <c r="V594" s="42" t="s">
        <v>103</v>
      </c>
      <c r="W594" s="45">
        <v>3</v>
      </c>
      <c r="X594" s="46">
        <v>89</v>
      </c>
      <c r="Y594" s="46">
        <v>0</v>
      </c>
      <c r="Z594" s="47">
        <f t="shared" si="63"/>
        <v>267</v>
      </c>
      <c r="AA594" s="48" t="s">
        <v>69</v>
      </c>
      <c r="AB594"/>
    </row>
    <row r="595" spans="1:28" x14ac:dyDescent="0.25">
      <c r="A595" s="31" t="s">
        <v>955</v>
      </c>
      <c r="B595" s="31" t="s">
        <v>37</v>
      </c>
      <c r="C595" s="32" t="str">
        <f t="shared" si="58"/>
        <v>Patricia Gomes</v>
      </c>
      <c r="D595" s="38" t="s">
        <v>388</v>
      </c>
      <c r="E595" s="33">
        <f t="shared" si="59"/>
        <v>45790</v>
      </c>
      <c r="F595" s="32" t="s">
        <v>15</v>
      </c>
      <c r="G595" s="32" t="str">
        <f t="shared" si="60"/>
        <v>Larissa Dias</v>
      </c>
      <c r="H595" s="32" t="s">
        <v>52</v>
      </c>
      <c r="I595" s="32" t="s">
        <v>75</v>
      </c>
      <c r="J595" s="34">
        <v>1</v>
      </c>
      <c r="K595" s="35">
        <v>249</v>
      </c>
      <c r="L595" s="35">
        <v>0</v>
      </c>
      <c r="M595" s="36">
        <f t="shared" si="62"/>
        <v>249</v>
      </c>
      <c r="N595" s="32" t="s">
        <v>49</v>
      </c>
      <c r="Q595" s="49" t="s">
        <v>955</v>
      </c>
      <c r="R595" s="49" t="s">
        <v>37</v>
      </c>
      <c r="S595" s="58">
        <f t="shared" si="61"/>
        <v>45790</v>
      </c>
      <c r="T595" s="51" t="s">
        <v>15</v>
      </c>
      <c r="U595" s="50" t="s">
        <v>52</v>
      </c>
      <c r="V595" s="52" t="s">
        <v>75</v>
      </c>
      <c r="W595" s="53">
        <v>1</v>
      </c>
      <c r="X595" s="54">
        <v>249</v>
      </c>
      <c r="Y595" s="54">
        <v>0</v>
      </c>
      <c r="Z595" s="55">
        <f t="shared" si="63"/>
        <v>249</v>
      </c>
      <c r="AA595" s="56" t="s">
        <v>49</v>
      </c>
      <c r="AB595"/>
    </row>
    <row r="596" spans="1:28" x14ac:dyDescent="0.25">
      <c r="A596" s="26" t="s">
        <v>956</v>
      </c>
      <c r="B596" s="26" t="s">
        <v>27</v>
      </c>
      <c r="C596" s="26" t="str">
        <f t="shared" si="58"/>
        <v>Roberto Santos</v>
      </c>
      <c r="D596" s="37" t="s">
        <v>711</v>
      </c>
      <c r="E596" s="27">
        <f t="shared" si="59"/>
        <v>45726</v>
      </c>
      <c r="F596" s="26" t="s">
        <v>47</v>
      </c>
      <c r="G596" s="26" t="str">
        <f t="shared" si="60"/>
        <v>Bruno Martins</v>
      </c>
      <c r="H596" s="26" t="s">
        <v>23</v>
      </c>
      <c r="I596" s="26" t="s">
        <v>48</v>
      </c>
      <c r="J596" s="28">
        <v>3</v>
      </c>
      <c r="K596" s="29">
        <v>450</v>
      </c>
      <c r="L596" s="29">
        <v>5.04</v>
      </c>
      <c r="M596" s="30">
        <f t="shared" si="62"/>
        <v>1344.96</v>
      </c>
      <c r="N596" s="26" t="s">
        <v>32</v>
      </c>
      <c r="Q596" s="42" t="s">
        <v>956</v>
      </c>
      <c r="R596" s="42" t="s">
        <v>27</v>
      </c>
      <c r="S596" s="57">
        <f t="shared" si="61"/>
        <v>45726</v>
      </c>
      <c r="T596" s="44" t="s">
        <v>47</v>
      </c>
      <c r="U596" s="43" t="s">
        <v>23</v>
      </c>
      <c r="V596" s="42" t="s">
        <v>48</v>
      </c>
      <c r="W596" s="45">
        <v>3</v>
      </c>
      <c r="X596" s="46">
        <v>450</v>
      </c>
      <c r="Y596" s="46">
        <v>5.04</v>
      </c>
      <c r="Z596" s="47">
        <f t="shared" si="63"/>
        <v>1344.96</v>
      </c>
      <c r="AA596" s="48" t="s">
        <v>32</v>
      </c>
      <c r="AB596"/>
    </row>
    <row r="597" spans="1:28" x14ac:dyDescent="0.25">
      <c r="A597" s="31" t="s">
        <v>957</v>
      </c>
      <c r="B597" s="31" t="s">
        <v>20</v>
      </c>
      <c r="C597" s="32" t="str">
        <f t="shared" si="58"/>
        <v>Beatriz Ribeiro</v>
      </c>
      <c r="D597" s="38" t="s">
        <v>74</v>
      </c>
      <c r="E597" s="33">
        <f t="shared" si="59"/>
        <v>45942</v>
      </c>
      <c r="F597" s="32" t="s">
        <v>47</v>
      </c>
      <c r="G597" s="32" t="str">
        <f t="shared" si="60"/>
        <v>Bruno Martins</v>
      </c>
      <c r="H597" s="32" t="s">
        <v>16</v>
      </c>
      <c r="I597" s="32" t="s">
        <v>116</v>
      </c>
      <c r="J597" s="34">
        <v>5</v>
      </c>
      <c r="K597" s="35">
        <v>45</v>
      </c>
      <c r="L597" s="35">
        <v>5.2</v>
      </c>
      <c r="M597" s="36">
        <f t="shared" si="62"/>
        <v>219.8</v>
      </c>
      <c r="N597" s="32" t="s">
        <v>32</v>
      </c>
      <c r="Q597" s="49" t="s">
        <v>957</v>
      </c>
      <c r="R597" s="49" t="s">
        <v>20</v>
      </c>
      <c r="S597" s="58">
        <f t="shared" si="61"/>
        <v>45942</v>
      </c>
      <c r="T597" s="51" t="s">
        <v>47</v>
      </c>
      <c r="U597" s="50" t="s">
        <v>16</v>
      </c>
      <c r="V597" s="52" t="s">
        <v>116</v>
      </c>
      <c r="W597" s="53">
        <v>5</v>
      </c>
      <c r="X597" s="54">
        <v>45</v>
      </c>
      <c r="Y597" s="54">
        <v>5.2</v>
      </c>
      <c r="Z597" s="55">
        <f t="shared" si="63"/>
        <v>219.8</v>
      </c>
      <c r="AA597" s="56" t="s">
        <v>32</v>
      </c>
      <c r="AB597"/>
    </row>
    <row r="598" spans="1:28" x14ac:dyDescent="0.25">
      <c r="A598" s="26" t="s">
        <v>958</v>
      </c>
      <c r="B598" s="26" t="s">
        <v>63</v>
      </c>
      <c r="C598" s="26" t="str">
        <f t="shared" si="58"/>
        <v>Marcos Rodrigues</v>
      </c>
      <c r="D598" s="37" t="s">
        <v>56</v>
      </c>
      <c r="E598" s="27">
        <f t="shared" si="59"/>
        <v>45965</v>
      </c>
      <c r="F598" s="26" t="s">
        <v>39</v>
      </c>
      <c r="G598" s="26" t="str">
        <f t="shared" si="60"/>
        <v>Rodrigo Mello</v>
      </c>
      <c r="H598" s="26" t="s">
        <v>30</v>
      </c>
      <c r="I598" s="26" t="s">
        <v>152</v>
      </c>
      <c r="J598" s="28">
        <v>4</v>
      </c>
      <c r="K598" s="29">
        <v>4500</v>
      </c>
      <c r="L598" s="29">
        <v>2300.34</v>
      </c>
      <c r="M598" s="30">
        <f t="shared" si="62"/>
        <v>15699.66</v>
      </c>
      <c r="N598" s="26" t="s">
        <v>65</v>
      </c>
      <c r="Q598" s="42" t="s">
        <v>958</v>
      </c>
      <c r="R598" s="42" t="s">
        <v>63</v>
      </c>
      <c r="S598" s="57">
        <f t="shared" si="61"/>
        <v>45965</v>
      </c>
      <c r="T598" s="44" t="s">
        <v>39</v>
      </c>
      <c r="U598" s="43" t="s">
        <v>30</v>
      </c>
      <c r="V598" s="42" t="s">
        <v>152</v>
      </c>
      <c r="W598" s="45">
        <v>4</v>
      </c>
      <c r="X598" s="46">
        <v>4500</v>
      </c>
      <c r="Y598" s="46">
        <v>2300.34</v>
      </c>
      <c r="Z598" s="47">
        <f t="shared" si="63"/>
        <v>15699.66</v>
      </c>
      <c r="AA598" s="48" t="s">
        <v>65</v>
      </c>
      <c r="AB598"/>
    </row>
    <row r="599" spans="1:28" x14ac:dyDescent="0.25">
      <c r="A599" s="31" t="s">
        <v>959</v>
      </c>
      <c r="B599" s="31" t="s">
        <v>63</v>
      </c>
      <c r="C599" s="32" t="str">
        <f t="shared" si="58"/>
        <v>Marcos Rodrigues</v>
      </c>
      <c r="D599" s="38" t="s">
        <v>828</v>
      </c>
      <c r="E599" s="33">
        <f t="shared" si="59"/>
        <v>45878</v>
      </c>
      <c r="F599" s="32" t="s">
        <v>47</v>
      </c>
      <c r="G599" s="32" t="str">
        <f t="shared" si="60"/>
        <v>Bruno Martins</v>
      </c>
      <c r="H599" s="32" t="s">
        <v>30</v>
      </c>
      <c r="I599" s="32" t="s">
        <v>68</v>
      </c>
      <c r="J599" s="34">
        <v>1</v>
      </c>
      <c r="K599" s="35">
        <v>799</v>
      </c>
      <c r="L599" s="35">
        <v>0</v>
      </c>
      <c r="M599" s="36">
        <f t="shared" si="62"/>
        <v>799</v>
      </c>
      <c r="N599" s="32" t="s">
        <v>49</v>
      </c>
      <c r="Q599" s="49" t="s">
        <v>959</v>
      </c>
      <c r="R599" s="49" t="s">
        <v>63</v>
      </c>
      <c r="S599" s="58">
        <f t="shared" si="61"/>
        <v>45878</v>
      </c>
      <c r="T599" s="51" t="s">
        <v>47</v>
      </c>
      <c r="U599" s="50" t="s">
        <v>30</v>
      </c>
      <c r="V599" s="52" t="s">
        <v>68</v>
      </c>
      <c r="W599" s="53">
        <v>1</v>
      </c>
      <c r="X599" s="54">
        <v>799</v>
      </c>
      <c r="Y599" s="54">
        <v>0</v>
      </c>
      <c r="Z599" s="55">
        <f t="shared" si="63"/>
        <v>799</v>
      </c>
      <c r="AA599" s="56" t="s">
        <v>49</v>
      </c>
      <c r="AB599"/>
    </row>
    <row r="600" spans="1:28" x14ac:dyDescent="0.25">
      <c r="A600" s="26" t="s">
        <v>960</v>
      </c>
      <c r="B600" s="26" t="s">
        <v>20</v>
      </c>
      <c r="C600" s="26" t="str">
        <f t="shared" si="58"/>
        <v>Beatriz Ribeiro</v>
      </c>
      <c r="D600" s="37" t="s">
        <v>384</v>
      </c>
      <c r="E600" s="27">
        <f t="shared" si="59"/>
        <v>46058</v>
      </c>
      <c r="F600" s="26" t="s">
        <v>15</v>
      </c>
      <c r="G600" s="26" t="str">
        <f t="shared" si="60"/>
        <v>Larissa Dias</v>
      </c>
      <c r="H600" s="26" t="s">
        <v>23</v>
      </c>
      <c r="I600" s="26" t="s">
        <v>43</v>
      </c>
      <c r="J600" s="28">
        <v>1</v>
      </c>
      <c r="K600" s="29">
        <v>350</v>
      </c>
      <c r="L600" s="29">
        <v>0</v>
      </c>
      <c r="M600" s="30">
        <f t="shared" si="62"/>
        <v>350</v>
      </c>
      <c r="N600" s="26" t="s">
        <v>18</v>
      </c>
      <c r="Q600" s="42" t="s">
        <v>960</v>
      </c>
      <c r="R600" s="42" t="s">
        <v>20</v>
      </c>
      <c r="S600" s="57">
        <f t="shared" si="61"/>
        <v>46058</v>
      </c>
      <c r="T600" s="44" t="s">
        <v>15</v>
      </c>
      <c r="U600" s="43" t="s">
        <v>23</v>
      </c>
      <c r="V600" s="42" t="s">
        <v>43</v>
      </c>
      <c r="W600" s="45">
        <v>1</v>
      </c>
      <c r="X600" s="46">
        <v>350</v>
      </c>
      <c r="Y600" s="46">
        <v>0</v>
      </c>
      <c r="Z600" s="47">
        <f t="shared" si="63"/>
        <v>350</v>
      </c>
      <c r="AA600" s="48" t="s">
        <v>18</v>
      </c>
      <c r="AB600"/>
    </row>
    <row r="601" spans="1:28" x14ac:dyDescent="0.25">
      <c r="A601" s="31" t="s">
        <v>961</v>
      </c>
      <c r="B601" s="31" t="s">
        <v>110</v>
      </c>
      <c r="C601" s="32" t="str">
        <f t="shared" si="58"/>
        <v>Fernanda Lima</v>
      </c>
      <c r="D601" s="38" t="s">
        <v>962</v>
      </c>
      <c r="E601" s="33">
        <f t="shared" si="59"/>
        <v>45728</v>
      </c>
      <c r="F601" s="32" t="s">
        <v>22</v>
      </c>
      <c r="G601" s="32" t="str">
        <f t="shared" si="60"/>
        <v>Amanda Costa</v>
      </c>
      <c r="H601" s="32" t="s">
        <v>23</v>
      </c>
      <c r="I601" s="32" t="s">
        <v>48</v>
      </c>
      <c r="J601" s="34">
        <v>4</v>
      </c>
      <c r="K601" s="35">
        <v>450</v>
      </c>
      <c r="L601" s="35">
        <v>119.94</v>
      </c>
      <c r="M601" s="36">
        <f t="shared" si="62"/>
        <v>1680.06</v>
      </c>
      <c r="N601" s="32" t="s">
        <v>44</v>
      </c>
      <c r="Q601" s="49" t="s">
        <v>961</v>
      </c>
      <c r="R601" s="49" t="s">
        <v>110</v>
      </c>
      <c r="S601" s="58">
        <f t="shared" si="61"/>
        <v>45728</v>
      </c>
      <c r="T601" s="51" t="s">
        <v>22</v>
      </c>
      <c r="U601" s="50" t="s">
        <v>23</v>
      </c>
      <c r="V601" s="52" t="s">
        <v>48</v>
      </c>
      <c r="W601" s="53">
        <v>4</v>
      </c>
      <c r="X601" s="54">
        <v>450</v>
      </c>
      <c r="Y601" s="54">
        <v>119.94</v>
      </c>
      <c r="Z601" s="55">
        <f t="shared" si="63"/>
        <v>1680.06</v>
      </c>
      <c r="AA601" s="56" t="s">
        <v>44</v>
      </c>
      <c r="AB601"/>
    </row>
    <row r="602" spans="1:28" x14ac:dyDescent="0.25">
      <c r="A602" s="26" t="s">
        <v>963</v>
      </c>
      <c r="B602" s="26" t="s">
        <v>27</v>
      </c>
      <c r="C602" s="26" t="str">
        <f t="shared" si="58"/>
        <v>Roberto Santos</v>
      </c>
      <c r="D602" s="37" t="s">
        <v>761</v>
      </c>
      <c r="E602" s="27">
        <f t="shared" si="59"/>
        <v>45761</v>
      </c>
      <c r="F602" s="26" t="s">
        <v>47</v>
      </c>
      <c r="G602" s="26" t="str">
        <f t="shared" si="60"/>
        <v>Bruno Martins</v>
      </c>
      <c r="H602" s="26" t="s">
        <v>23</v>
      </c>
      <c r="I602" s="26" t="s">
        <v>88</v>
      </c>
      <c r="J602" s="28">
        <v>1</v>
      </c>
      <c r="K602" s="29">
        <v>650</v>
      </c>
      <c r="L602" s="29">
        <v>0</v>
      </c>
      <c r="M602" s="30">
        <f t="shared" si="62"/>
        <v>650</v>
      </c>
      <c r="N602" s="26" t="s">
        <v>69</v>
      </c>
      <c r="Q602" s="42" t="s">
        <v>963</v>
      </c>
      <c r="R602" s="42" t="s">
        <v>27</v>
      </c>
      <c r="S602" s="57">
        <f t="shared" si="61"/>
        <v>45761</v>
      </c>
      <c r="T602" s="44" t="s">
        <v>47</v>
      </c>
      <c r="U602" s="43" t="s">
        <v>23</v>
      </c>
      <c r="V602" s="42" t="s">
        <v>88</v>
      </c>
      <c r="W602" s="45">
        <v>1</v>
      </c>
      <c r="X602" s="46">
        <v>650</v>
      </c>
      <c r="Y602" s="46">
        <v>0</v>
      </c>
      <c r="Z602" s="47">
        <f t="shared" si="63"/>
        <v>650</v>
      </c>
      <c r="AA602" s="48" t="s">
        <v>69</v>
      </c>
      <c r="AB602"/>
    </row>
    <row r="603" spans="1:28" x14ac:dyDescent="0.25">
      <c r="A603" s="31" t="s">
        <v>964</v>
      </c>
      <c r="B603" s="31" t="s">
        <v>34</v>
      </c>
      <c r="C603" s="32" t="str">
        <f t="shared" si="58"/>
        <v>Carlos Silva</v>
      </c>
      <c r="D603" s="38" t="s">
        <v>965</v>
      </c>
      <c r="E603" s="33">
        <f t="shared" si="59"/>
        <v>45865</v>
      </c>
      <c r="F603" s="32" t="s">
        <v>22</v>
      </c>
      <c r="G603" s="32" t="str">
        <f t="shared" si="60"/>
        <v>Amanda Costa</v>
      </c>
      <c r="H603" s="32" t="s">
        <v>23</v>
      </c>
      <c r="I603" s="32" t="s">
        <v>88</v>
      </c>
      <c r="J603" s="34">
        <v>4</v>
      </c>
      <c r="K603" s="35">
        <v>650</v>
      </c>
      <c r="L603" s="35">
        <v>295.98</v>
      </c>
      <c r="M603" s="36">
        <f t="shared" si="62"/>
        <v>2304.02</v>
      </c>
      <c r="N603" s="32" t="s">
        <v>32</v>
      </c>
      <c r="Q603" s="49" t="s">
        <v>964</v>
      </c>
      <c r="R603" s="49" t="s">
        <v>34</v>
      </c>
      <c r="S603" s="58">
        <f t="shared" si="61"/>
        <v>45865</v>
      </c>
      <c r="T603" s="51" t="s">
        <v>22</v>
      </c>
      <c r="U603" s="50" t="s">
        <v>23</v>
      </c>
      <c r="V603" s="52" t="s">
        <v>88</v>
      </c>
      <c r="W603" s="53">
        <v>4</v>
      </c>
      <c r="X603" s="54">
        <v>650</v>
      </c>
      <c r="Y603" s="54">
        <v>295.98</v>
      </c>
      <c r="Z603" s="55">
        <f t="shared" si="63"/>
        <v>2304.02</v>
      </c>
      <c r="AA603" s="56" t="s">
        <v>32</v>
      </c>
      <c r="AB603"/>
    </row>
    <row r="604" spans="1:28" x14ac:dyDescent="0.25">
      <c r="A604" s="26" t="s">
        <v>966</v>
      </c>
      <c r="B604" s="26" t="s">
        <v>13</v>
      </c>
      <c r="C604" s="26" t="str">
        <f t="shared" si="58"/>
        <v>Lucas Almeida</v>
      </c>
      <c r="D604" s="37" t="s">
        <v>200</v>
      </c>
      <c r="E604" s="27">
        <f t="shared" si="59"/>
        <v>45870</v>
      </c>
      <c r="F604" s="26" t="s">
        <v>15</v>
      </c>
      <c r="G604" s="26" t="str">
        <f t="shared" si="60"/>
        <v>Larissa Dias</v>
      </c>
      <c r="H604" s="26" t="s">
        <v>23</v>
      </c>
      <c r="I604" s="26" t="s">
        <v>43</v>
      </c>
      <c r="J604" s="28">
        <v>3</v>
      </c>
      <c r="K604" s="29">
        <v>350</v>
      </c>
      <c r="L604" s="29">
        <v>0</v>
      </c>
      <c r="M604" s="30">
        <f t="shared" si="62"/>
        <v>1050</v>
      </c>
      <c r="N604" s="26" t="s">
        <v>89</v>
      </c>
      <c r="Q604" s="42" t="s">
        <v>966</v>
      </c>
      <c r="R604" s="42" t="s">
        <v>13</v>
      </c>
      <c r="S604" s="57">
        <f t="shared" si="61"/>
        <v>45870</v>
      </c>
      <c r="T604" s="44" t="s">
        <v>15</v>
      </c>
      <c r="U604" s="43" t="s">
        <v>23</v>
      </c>
      <c r="V604" s="42" t="s">
        <v>43</v>
      </c>
      <c r="W604" s="45">
        <v>3</v>
      </c>
      <c r="X604" s="46">
        <v>350</v>
      </c>
      <c r="Y604" s="46">
        <v>0</v>
      </c>
      <c r="Z604" s="47">
        <f t="shared" si="63"/>
        <v>1050</v>
      </c>
      <c r="AA604" s="48" t="s">
        <v>89</v>
      </c>
      <c r="AB604"/>
    </row>
    <row r="605" spans="1:28" x14ac:dyDescent="0.25">
      <c r="A605" s="31" t="s">
        <v>967</v>
      </c>
      <c r="B605" s="31" t="s">
        <v>101</v>
      </c>
      <c r="C605" s="32" t="str">
        <f t="shared" si="58"/>
        <v>Ana Souza</v>
      </c>
      <c r="D605" s="38" t="s">
        <v>724</v>
      </c>
      <c r="E605" s="33">
        <f t="shared" si="59"/>
        <v>45784</v>
      </c>
      <c r="F605" s="32" t="s">
        <v>29</v>
      </c>
      <c r="G605" s="32" t="str">
        <f t="shared" si="60"/>
        <v>Camila Rocha</v>
      </c>
      <c r="H605" s="32" t="s">
        <v>23</v>
      </c>
      <c r="I605" s="32" t="s">
        <v>88</v>
      </c>
      <c r="J605" s="34">
        <v>2</v>
      </c>
      <c r="K605" s="35">
        <v>650</v>
      </c>
      <c r="L605" s="35">
        <v>133.1</v>
      </c>
      <c r="M605" s="36">
        <f t="shared" si="62"/>
        <v>1166.9000000000001</v>
      </c>
      <c r="N605" s="32" t="s">
        <v>89</v>
      </c>
      <c r="Q605" s="49" t="s">
        <v>967</v>
      </c>
      <c r="R605" s="49" t="s">
        <v>101</v>
      </c>
      <c r="S605" s="58">
        <f t="shared" si="61"/>
        <v>45784</v>
      </c>
      <c r="T605" s="51" t="s">
        <v>29</v>
      </c>
      <c r="U605" s="50" t="s">
        <v>23</v>
      </c>
      <c r="V605" s="52" t="s">
        <v>88</v>
      </c>
      <c r="W605" s="53">
        <v>2</v>
      </c>
      <c r="X605" s="54">
        <v>650</v>
      </c>
      <c r="Y605" s="54">
        <v>133.1</v>
      </c>
      <c r="Z605" s="55">
        <f t="shared" si="63"/>
        <v>1166.9000000000001</v>
      </c>
      <c r="AA605" s="56" t="s">
        <v>89</v>
      </c>
      <c r="AB605"/>
    </row>
    <row r="606" spans="1:28" x14ac:dyDescent="0.25">
      <c r="A606" s="26" t="s">
        <v>968</v>
      </c>
      <c r="B606" s="26" t="s">
        <v>134</v>
      </c>
      <c r="C606" s="26" t="str">
        <f t="shared" si="58"/>
        <v>Ana Souza</v>
      </c>
      <c r="D606" s="37" t="s">
        <v>969</v>
      </c>
      <c r="E606" s="27">
        <f t="shared" si="59"/>
        <v>45714</v>
      </c>
      <c r="F606" s="26" t="s">
        <v>47</v>
      </c>
      <c r="G606" s="26" t="str">
        <f t="shared" si="60"/>
        <v>Bruno Martins</v>
      </c>
      <c r="H606" s="26" t="s">
        <v>52</v>
      </c>
      <c r="I606" s="26" t="s">
        <v>53</v>
      </c>
      <c r="J606" s="28">
        <v>4</v>
      </c>
      <c r="K606" s="29">
        <v>149</v>
      </c>
      <c r="L606" s="29">
        <v>0</v>
      </c>
      <c r="M606" s="30">
        <f t="shared" si="62"/>
        <v>596</v>
      </c>
      <c r="N606" s="26" t="s">
        <v>44</v>
      </c>
      <c r="Q606" s="42" t="s">
        <v>968</v>
      </c>
      <c r="R606" s="42" t="s">
        <v>101</v>
      </c>
      <c r="S606" s="57">
        <f t="shared" si="61"/>
        <v>45714</v>
      </c>
      <c r="T606" s="44" t="s">
        <v>47</v>
      </c>
      <c r="U606" s="43" t="s">
        <v>52</v>
      </c>
      <c r="V606" s="42" t="s">
        <v>53</v>
      </c>
      <c r="W606" s="45">
        <v>4</v>
      </c>
      <c r="X606" s="46">
        <v>149</v>
      </c>
      <c r="Y606" s="46">
        <v>0</v>
      </c>
      <c r="Z606" s="47">
        <f t="shared" si="63"/>
        <v>596</v>
      </c>
      <c r="AA606" s="48" t="s">
        <v>44</v>
      </c>
      <c r="AB606"/>
    </row>
    <row r="607" spans="1:28" x14ac:dyDescent="0.25">
      <c r="A607" s="31" t="s">
        <v>970</v>
      </c>
      <c r="B607" s="31" t="s">
        <v>110</v>
      </c>
      <c r="C607" s="32" t="str">
        <f t="shared" si="58"/>
        <v>Fernanda Lima</v>
      </c>
      <c r="D607" s="38" t="s">
        <v>697</v>
      </c>
      <c r="E607" s="33">
        <f t="shared" si="59"/>
        <v>45927</v>
      </c>
      <c r="F607" s="32" t="s">
        <v>15</v>
      </c>
      <c r="G607" s="32" t="str">
        <f t="shared" si="60"/>
        <v>Larissa Dias</v>
      </c>
      <c r="H607" s="32" t="s">
        <v>23</v>
      </c>
      <c r="I607" s="32" t="s">
        <v>24</v>
      </c>
      <c r="J607" s="34">
        <v>5</v>
      </c>
      <c r="K607" s="35">
        <v>180</v>
      </c>
      <c r="L607" s="35">
        <v>61.81</v>
      </c>
      <c r="M607" s="36">
        <f t="shared" si="62"/>
        <v>838.19</v>
      </c>
      <c r="N607" s="32" t="s">
        <v>69</v>
      </c>
      <c r="Q607" s="49" t="s">
        <v>970</v>
      </c>
      <c r="R607" s="49" t="s">
        <v>110</v>
      </c>
      <c r="S607" s="58">
        <f t="shared" si="61"/>
        <v>45927</v>
      </c>
      <c r="T607" s="51" t="s">
        <v>15</v>
      </c>
      <c r="U607" s="50" t="s">
        <v>23</v>
      </c>
      <c r="V607" s="52" t="s">
        <v>24</v>
      </c>
      <c r="W607" s="53">
        <v>5</v>
      </c>
      <c r="X607" s="54">
        <v>180</v>
      </c>
      <c r="Y607" s="54">
        <v>61.81</v>
      </c>
      <c r="Z607" s="55">
        <f t="shared" si="63"/>
        <v>838.19</v>
      </c>
      <c r="AA607" s="56" t="s">
        <v>69</v>
      </c>
      <c r="AB607"/>
    </row>
    <row r="608" spans="1:28" x14ac:dyDescent="0.25">
      <c r="A608" s="26" t="s">
        <v>971</v>
      </c>
      <c r="B608" s="26" t="s">
        <v>37</v>
      </c>
      <c r="C608" s="26" t="str">
        <f t="shared" si="58"/>
        <v>Patricia Gomes</v>
      </c>
      <c r="D608" s="37" t="s">
        <v>650</v>
      </c>
      <c r="E608" s="27">
        <f t="shared" si="59"/>
        <v>45974</v>
      </c>
      <c r="F608" s="26" t="s">
        <v>15</v>
      </c>
      <c r="G608" s="26" t="str">
        <f t="shared" si="60"/>
        <v>Larissa Dias</v>
      </c>
      <c r="H608" s="26" t="s">
        <v>52</v>
      </c>
      <c r="I608" s="26" t="s">
        <v>99</v>
      </c>
      <c r="J608" s="28">
        <v>5</v>
      </c>
      <c r="K608" s="29">
        <v>79</v>
      </c>
      <c r="L608" s="29">
        <v>30.11</v>
      </c>
      <c r="M608" s="30">
        <f t="shared" si="62"/>
        <v>364.89</v>
      </c>
      <c r="N608" s="26" t="s">
        <v>49</v>
      </c>
      <c r="Q608" s="42" t="s">
        <v>971</v>
      </c>
      <c r="R608" s="42" t="s">
        <v>37</v>
      </c>
      <c r="S608" s="57">
        <f t="shared" si="61"/>
        <v>45974</v>
      </c>
      <c r="T608" s="44" t="s">
        <v>15</v>
      </c>
      <c r="U608" s="43" t="s">
        <v>52</v>
      </c>
      <c r="V608" s="42" t="s">
        <v>99</v>
      </c>
      <c r="W608" s="45">
        <v>5</v>
      </c>
      <c r="X608" s="46">
        <v>79</v>
      </c>
      <c r="Y608" s="46">
        <v>30.11</v>
      </c>
      <c r="Z608" s="47">
        <f t="shared" si="63"/>
        <v>364.89</v>
      </c>
      <c r="AA608" s="48" t="s">
        <v>49</v>
      </c>
      <c r="AB608"/>
    </row>
    <row r="609" spans="1:28" x14ac:dyDescent="0.25">
      <c r="A609" s="31" t="s">
        <v>972</v>
      </c>
      <c r="B609" s="31" t="s">
        <v>13</v>
      </c>
      <c r="C609" s="32" t="str">
        <f t="shared" si="58"/>
        <v>Lucas Almeida</v>
      </c>
      <c r="D609" s="38" t="s">
        <v>290</v>
      </c>
      <c r="E609" s="33">
        <f t="shared" si="59"/>
        <v>45884</v>
      </c>
      <c r="F609" s="32" t="s">
        <v>29</v>
      </c>
      <c r="G609" s="32" t="str">
        <f t="shared" si="60"/>
        <v>Camila Rocha</v>
      </c>
      <c r="H609" s="32" t="s">
        <v>30</v>
      </c>
      <c r="I609" s="32" t="s">
        <v>68</v>
      </c>
      <c r="J609" s="34">
        <v>4</v>
      </c>
      <c r="K609" s="35">
        <v>799</v>
      </c>
      <c r="L609" s="35">
        <v>104.16</v>
      </c>
      <c r="M609" s="36">
        <f t="shared" si="62"/>
        <v>3091.84</v>
      </c>
      <c r="N609" s="32" t="s">
        <v>89</v>
      </c>
      <c r="Q609" s="49" t="s">
        <v>972</v>
      </c>
      <c r="R609" s="49" t="s">
        <v>13</v>
      </c>
      <c r="S609" s="58">
        <f t="shared" si="61"/>
        <v>45884</v>
      </c>
      <c r="T609" s="51" t="s">
        <v>29</v>
      </c>
      <c r="U609" s="50" t="s">
        <v>30</v>
      </c>
      <c r="V609" s="52" t="s">
        <v>68</v>
      </c>
      <c r="W609" s="53">
        <v>4</v>
      </c>
      <c r="X609" s="54">
        <v>799</v>
      </c>
      <c r="Y609" s="54">
        <v>104.16</v>
      </c>
      <c r="Z609" s="55">
        <f t="shared" si="63"/>
        <v>3091.84</v>
      </c>
      <c r="AA609" s="56" t="s">
        <v>89</v>
      </c>
      <c r="AB609"/>
    </row>
    <row r="610" spans="1:28" x14ac:dyDescent="0.25">
      <c r="A610" s="26" t="s">
        <v>973</v>
      </c>
      <c r="B610" s="26" t="s">
        <v>63</v>
      </c>
      <c r="C610" s="26" t="str">
        <f t="shared" si="58"/>
        <v>Marcos Rodrigues</v>
      </c>
      <c r="D610" s="37" t="s">
        <v>761</v>
      </c>
      <c r="E610" s="27">
        <f t="shared" si="59"/>
        <v>45761</v>
      </c>
      <c r="F610" s="26" t="s">
        <v>39</v>
      </c>
      <c r="G610" s="26" t="str">
        <f t="shared" si="60"/>
        <v>Rodrigo Mello</v>
      </c>
      <c r="H610" s="26" t="s">
        <v>16</v>
      </c>
      <c r="I610" s="26" t="s">
        <v>78</v>
      </c>
      <c r="J610" s="28">
        <v>3</v>
      </c>
      <c r="K610" s="29">
        <v>59</v>
      </c>
      <c r="L610" s="29">
        <v>19.829999999999998</v>
      </c>
      <c r="M610" s="30">
        <f t="shared" si="62"/>
        <v>157.17000000000002</v>
      </c>
      <c r="N610" s="26" t="s">
        <v>65</v>
      </c>
      <c r="Q610" s="42" t="s">
        <v>973</v>
      </c>
      <c r="R610" s="42" t="s">
        <v>63</v>
      </c>
      <c r="S610" s="57">
        <f t="shared" si="61"/>
        <v>45761</v>
      </c>
      <c r="T610" s="44" t="s">
        <v>39</v>
      </c>
      <c r="U610" s="43" t="s">
        <v>16</v>
      </c>
      <c r="V610" s="42" t="s">
        <v>78</v>
      </c>
      <c r="W610" s="45">
        <v>3</v>
      </c>
      <c r="X610" s="46">
        <v>59</v>
      </c>
      <c r="Y610" s="46">
        <v>19.829999999999998</v>
      </c>
      <c r="Z610" s="47">
        <f t="shared" si="63"/>
        <v>157.17000000000002</v>
      </c>
      <c r="AA610" s="48" t="s">
        <v>65</v>
      </c>
      <c r="AB610"/>
    </row>
    <row r="611" spans="1:28" x14ac:dyDescent="0.25">
      <c r="A611" s="31" t="s">
        <v>974</v>
      </c>
      <c r="B611" s="31" t="s">
        <v>34</v>
      </c>
      <c r="C611" s="32" t="str">
        <f t="shared" si="58"/>
        <v>Carlos Silva</v>
      </c>
      <c r="D611" s="38" t="s">
        <v>975</v>
      </c>
      <c r="E611" s="33">
        <f t="shared" si="59"/>
        <v>46022</v>
      </c>
      <c r="F611" s="32" t="s">
        <v>15</v>
      </c>
      <c r="G611" s="32" t="str">
        <f t="shared" si="60"/>
        <v>Larissa Dias</v>
      </c>
      <c r="H611" s="32" t="s">
        <v>30</v>
      </c>
      <c r="I611" s="32" t="s">
        <v>152</v>
      </c>
      <c r="J611" s="34">
        <v>1</v>
      </c>
      <c r="K611" s="35">
        <v>4500</v>
      </c>
      <c r="L611" s="35">
        <v>0</v>
      </c>
      <c r="M611" s="36">
        <f t="shared" si="62"/>
        <v>4500</v>
      </c>
      <c r="N611" s="32" t="s">
        <v>18</v>
      </c>
      <c r="Q611" s="49" t="s">
        <v>974</v>
      </c>
      <c r="R611" s="49" t="s">
        <v>34</v>
      </c>
      <c r="S611" s="58">
        <f t="shared" si="61"/>
        <v>46022</v>
      </c>
      <c r="T611" s="51" t="s">
        <v>15</v>
      </c>
      <c r="U611" s="50" t="s">
        <v>30</v>
      </c>
      <c r="V611" s="52" t="s">
        <v>152</v>
      </c>
      <c r="W611" s="53">
        <v>1</v>
      </c>
      <c r="X611" s="54">
        <v>4500</v>
      </c>
      <c r="Y611" s="54">
        <v>0</v>
      </c>
      <c r="Z611" s="55">
        <f t="shared" si="63"/>
        <v>4500</v>
      </c>
      <c r="AA611" s="56" t="s">
        <v>18</v>
      </c>
      <c r="AB611"/>
    </row>
    <row r="612" spans="1:28" x14ac:dyDescent="0.25">
      <c r="A612" s="26" t="s">
        <v>976</v>
      </c>
      <c r="B612" s="26" t="s">
        <v>34</v>
      </c>
      <c r="C612" s="26" t="str">
        <f t="shared" si="58"/>
        <v>Carlos Silva</v>
      </c>
      <c r="D612" s="37" t="s">
        <v>198</v>
      </c>
      <c r="E612" s="27">
        <f t="shared" si="59"/>
        <v>45702</v>
      </c>
      <c r="F612" s="26" t="s">
        <v>22</v>
      </c>
      <c r="G612" s="26" t="str">
        <f t="shared" si="60"/>
        <v>Amanda Costa</v>
      </c>
      <c r="H612" s="26" t="s">
        <v>30</v>
      </c>
      <c r="I612" s="26" t="s">
        <v>106</v>
      </c>
      <c r="J612" s="28">
        <v>4</v>
      </c>
      <c r="K612" s="29">
        <v>299</v>
      </c>
      <c r="L612" s="29">
        <v>151.35</v>
      </c>
      <c r="M612" s="30">
        <f t="shared" si="62"/>
        <v>1044.6500000000001</v>
      </c>
      <c r="N612" s="26" t="s">
        <v>18</v>
      </c>
      <c r="Q612" s="42" t="s">
        <v>976</v>
      </c>
      <c r="R612" s="42" t="s">
        <v>34</v>
      </c>
      <c r="S612" s="57">
        <f t="shared" si="61"/>
        <v>45702</v>
      </c>
      <c r="T612" s="44" t="s">
        <v>22</v>
      </c>
      <c r="U612" s="43" t="s">
        <v>30</v>
      </c>
      <c r="V612" s="42" t="s">
        <v>106</v>
      </c>
      <c r="W612" s="45">
        <v>4</v>
      </c>
      <c r="X612" s="46">
        <v>299</v>
      </c>
      <c r="Y612" s="46">
        <v>151.35</v>
      </c>
      <c r="Z612" s="47">
        <f t="shared" si="63"/>
        <v>1044.6500000000001</v>
      </c>
      <c r="AA612" s="48" t="s">
        <v>18</v>
      </c>
      <c r="AB612"/>
    </row>
    <row r="613" spans="1:28" x14ac:dyDescent="0.25">
      <c r="A613" s="31" t="s">
        <v>977</v>
      </c>
      <c r="B613" s="31" t="s">
        <v>71</v>
      </c>
      <c r="C613" s="32" t="str">
        <f t="shared" si="58"/>
        <v>Juliana Costa</v>
      </c>
      <c r="D613" s="38" t="s">
        <v>913</v>
      </c>
      <c r="E613" s="33">
        <f t="shared" si="59"/>
        <v>46017</v>
      </c>
      <c r="F613" s="32" t="s">
        <v>39</v>
      </c>
      <c r="G613" s="32" t="str">
        <f t="shared" si="60"/>
        <v>Rodrigo Mello</v>
      </c>
      <c r="H613" s="32" t="s">
        <v>30</v>
      </c>
      <c r="I613" s="32" t="s">
        <v>31</v>
      </c>
      <c r="J613" s="34">
        <v>2</v>
      </c>
      <c r="K613" s="35">
        <v>2500</v>
      </c>
      <c r="L613" s="35">
        <v>574.07000000000005</v>
      </c>
      <c r="M613" s="36">
        <f t="shared" si="62"/>
        <v>4425.93</v>
      </c>
      <c r="N613" s="32" t="s">
        <v>44</v>
      </c>
      <c r="Q613" s="49" t="s">
        <v>977</v>
      </c>
      <c r="R613" s="49" t="s">
        <v>71</v>
      </c>
      <c r="S613" s="58">
        <f t="shared" si="61"/>
        <v>46017</v>
      </c>
      <c r="T613" s="51" t="s">
        <v>39</v>
      </c>
      <c r="U613" s="50" t="s">
        <v>30</v>
      </c>
      <c r="V613" s="52" t="s">
        <v>31</v>
      </c>
      <c r="W613" s="53">
        <v>2</v>
      </c>
      <c r="X613" s="54">
        <v>2500</v>
      </c>
      <c r="Y613" s="54">
        <v>574.07000000000005</v>
      </c>
      <c r="Z613" s="55">
        <f t="shared" si="63"/>
        <v>4425.93</v>
      </c>
      <c r="AA613" s="56" t="s">
        <v>44</v>
      </c>
      <c r="AB613"/>
    </row>
    <row r="614" spans="1:28" x14ac:dyDescent="0.25">
      <c r="A614" s="26" t="s">
        <v>978</v>
      </c>
      <c r="B614" s="26" t="s">
        <v>71</v>
      </c>
      <c r="C614" s="26" t="str">
        <f t="shared" si="58"/>
        <v>Juliana Costa</v>
      </c>
      <c r="D614" s="37" t="s">
        <v>51</v>
      </c>
      <c r="E614" s="27">
        <f t="shared" si="59"/>
        <v>45659</v>
      </c>
      <c r="F614" s="26" t="s">
        <v>29</v>
      </c>
      <c r="G614" s="26" t="str">
        <f t="shared" si="60"/>
        <v>Camila Rocha</v>
      </c>
      <c r="H614" s="26" t="s">
        <v>16</v>
      </c>
      <c r="I614" s="26" t="s">
        <v>103</v>
      </c>
      <c r="J614" s="28">
        <v>2</v>
      </c>
      <c r="K614" s="29">
        <v>89</v>
      </c>
      <c r="L614" s="29">
        <v>16.82</v>
      </c>
      <c r="M614" s="30">
        <f t="shared" si="62"/>
        <v>161.18</v>
      </c>
      <c r="N614" s="26" t="s">
        <v>89</v>
      </c>
      <c r="Q614" s="42" t="s">
        <v>978</v>
      </c>
      <c r="R614" s="42" t="s">
        <v>71</v>
      </c>
      <c r="S614" s="57">
        <f t="shared" si="61"/>
        <v>45659</v>
      </c>
      <c r="T614" s="44" t="s">
        <v>29</v>
      </c>
      <c r="U614" s="43" t="s">
        <v>16</v>
      </c>
      <c r="V614" s="42" t="s">
        <v>103</v>
      </c>
      <c r="W614" s="45">
        <v>2</v>
      </c>
      <c r="X614" s="46">
        <v>89</v>
      </c>
      <c r="Y614" s="46">
        <v>16.82</v>
      </c>
      <c r="Z614" s="47">
        <f t="shared" si="63"/>
        <v>161.18</v>
      </c>
      <c r="AA614" s="48" t="s">
        <v>89</v>
      </c>
      <c r="AB614"/>
    </row>
    <row r="615" spans="1:28" x14ac:dyDescent="0.25">
      <c r="A615" s="31" t="s">
        <v>979</v>
      </c>
      <c r="B615" s="31" t="s">
        <v>71</v>
      </c>
      <c r="C615" s="32" t="str">
        <f t="shared" si="58"/>
        <v>Juliana Costa</v>
      </c>
      <c r="D615" s="38" t="s">
        <v>46</v>
      </c>
      <c r="E615" s="33">
        <f t="shared" si="59"/>
        <v>45723</v>
      </c>
      <c r="F615" s="32" t="s">
        <v>22</v>
      </c>
      <c r="G615" s="32" t="str">
        <f t="shared" si="60"/>
        <v>Amanda Costa</v>
      </c>
      <c r="H615" s="32" t="s">
        <v>16</v>
      </c>
      <c r="I615" s="32" t="s">
        <v>17</v>
      </c>
      <c r="J615" s="34">
        <v>1</v>
      </c>
      <c r="K615" s="35">
        <v>39</v>
      </c>
      <c r="L615" s="35">
        <v>5.39</v>
      </c>
      <c r="M615" s="36">
        <f t="shared" si="62"/>
        <v>33.61</v>
      </c>
      <c r="N615" s="32" t="s">
        <v>18</v>
      </c>
      <c r="Q615" s="49" t="s">
        <v>979</v>
      </c>
      <c r="R615" s="49" t="s">
        <v>71</v>
      </c>
      <c r="S615" s="58">
        <f t="shared" si="61"/>
        <v>45723</v>
      </c>
      <c r="T615" s="51" t="s">
        <v>22</v>
      </c>
      <c r="U615" s="50" t="s">
        <v>16</v>
      </c>
      <c r="V615" s="52" t="s">
        <v>17</v>
      </c>
      <c r="W615" s="53">
        <v>1</v>
      </c>
      <c r="X615" s="54">
        <v>39</v>
      </c>
      <c r="Y615" s="54">
        <v>5.39</v>
      </c>
      <c r="Z615" s="55">
        <f t="shared" si="63"/>
        <v>33.61</v>
      </c>
      <c r="AA615" s="56" t="s">
        <v>18</v>
      </c>
      <c r="AB615"/>
    </row>
    <row r="616" spans="1:28" x14ac:dyDescent="0.25">
      <c r="A616" s="26" t="s">
        <v>980</v>
      </c>
      <c r="B616" s="26" t="s">
        <v>55</v>
      </c>
      <c r="C616" s="26" t="str">
        <f t="shared" si="58"/>
        <v>Ricardo Carvalho</v>
      </c>
      <c r="D616" s="37" t="s">
        <v>126</v>
      </c>
      <c r="E616" s="27">
        <f t="shared" si="59"/>
        <v>45861</v>
      </c>
      <c r="F616" s="26" t="s">
        <v>47</v>
      </c>
      <c r="G616" s="26" t="str">
        <f t="shared" si="60"/>
        <v>Bruno Martins</v>
      </c>
      <c r="H616" s="26" t="s">
        <v>30</v>
      </c>
      <c r="I616" s="26" t="s">
        <v>152</v>
      </c>
      <c r="J616" s="28">
        <v>3</v>
      </c>
      <c r="K616" s="29">
        <v>4500</v>
      </c>
      <c r="L616" s="29">
        <v>0</v>
      </c>
      <c r="M616" s="30">
        <f t="shared" si="62"/>
        <v>13500</v>
      </c>
      <c r="N616" s="26" t="s">
        <v>18</v>
      </c>
      <c r="Q616" s="42" t="s">
        <v>980</v>
      </c>
      <c r="R616" s="42" t="s">
        <v>55</v>
      </c>
      <c r="S616" s="57">
        <f t="shared" si="61"/>
        <v>45861</v>
      </c>
      <c r="T616" s="44" t="s">
        <v>47</v>
      </c>
      <c r="U616" s="43" t="s">
        <v>30</v>
      </c>
      <c r="V616" s="42" t="s">
        <v>152</v>
      </c>
      <c r="W616" s="45">
        <v>3</v>
      </c>
      <c r="X616" s="46">
        <v>4500</v>
      </c>
      <c r="Y616" s="46">
        <v>0</v>
      </c>
      <c r="Z616" s="47">
        <f t="shared" si="63"/>
        <v>13500</v>
      </c>
      <c r="AA616" s="48" t="s">
        <v>18</v>
      </c>
      <c r="AB616"/>
    </row>
    <row r="617" spans="1:28" x14ac:dyDescent="0.25">
      <c r="A617" s="31" t="s">
        <v>981</v>
      </c>
      <c r="B617" s="31" t="s">
        <v>27</v>
      </c>
      <c r="C617" s="32" t="str">
        <f t="shared" si="58"/>
        <v>Roberto Santos</v>
      </c>
      <c r="D617" s="38" t="s">
        <v>488</v>
      </c>
      <c r="E617" s="33">
        <f t="shared" si="59"/>
        <v>45896</v>
      </c>
      <c r="F617" s="32" t="s">
        <v>29</v>
      </c>
      <c r="G617" s="32" t="str">
        <f t="shared" si="60"/>
        <v>Camila Rocha</v>
      </c>
      <c r="H617" s="32" t="s">
        <v>16</v>
      </c>
      <c r="I617" s="32" t="s">
        <v>116</v>
      </c>
      <c r="J617" s="34">
        <v>4</v>
      </c>
      <c r="K617" s="35">
        <v>45</v>
      </c>
      <c r="L617" s="35">
        <v>0</v>
      </c>
      <c r="M617" s="36">
        <f t="shared" si="62"/>
        <v>180</v>
      </c>
      <c r="N617" s="32" t="s">
        <v>65</v>
      </c>
      <c r="Q617" s="49" t="s">
        <v>981</v>
      </c>
      <c r="R617" s="49" t="s">
        <v>27</v>
      </c>
      <c r="S617" s="58">
        <f t="shared" si="61"/>
        <v>45896</v>
      </c>
      <c r="T617" s="51" t="s">
        <v>29</v>
      </c>
      <c r="U617" s="50" t="s">
        <v>16</v>
      </c>
      <c r="V617" s="52" t="s">
        <v>116</v>
      </c>
      <c r="W617" s="53">
        <v>4</v>
      </c>
      <c r="X617" s="54">
        <v>45</v>
      </c>
      <c r="Y617" s="54">
        <v>0</v>
      </c>
      <c r="Z617" s="55">
        <f t="shared" si="63"/>
        <v>180</v>
      </c>
      <c r="AA617" s="56" t="s">
        <v>65</v>
      </c>
      <c r="AB617"/>
    </row>
    <row r="618" spans="1:28" x14ac:dyDescent="0.25">
      <c r="A618" s="26" t="s">
        <v>982</v>
      </c>
      <c r="B618" s="26" t="s">
        <v>34</v>
      </c>
      <c r="C618" s="26" t="str">
        <f t="shared" si="58"/>
        <v>Carlos Silva</v>
      </c>
      <c r="D618" s="37" t="s">
        <v>327</v>
      </c>
      <c r="E618" s="27">
        <f t="shared" si="59"/>
        <v>45955</v>
      </c>
      <c r="F618" s="26" t="s">
        <v>47</v>
      </c>
      <c r="G618" s="26" t="str">
        <f t="shared" si="60"/>
        <v>Bruno Martins</v>
      </c>
      <c r="H618" s="26" t="s">
        <v>23</v>
      </c>
      <c r="I618" s="26" t="s">
        <v>88</v>
      </c>
      <c r="J618" s="28">
        <v>4</v>
      </c>
      <c r="K618" s="29">
        <v>650</v>
      </c>
      <c r="L618" s="29">
        <v>0</v>
      </c>
      <c r="M618" s="30">
        <f t="shared" si="62"/>
        <v>2600</v>
      </c>
      <c r="N618" s="26" t="s">
        <v>89</v>
      </c>
      <c r="Q618" s="42" t="s">
        <v>982</v>
      </c>
      <c r="R618" s="42" t="s">
        <v>34</v>
      </c>
      <c r="S618" s="57">
        <f t="shared" si="61"/>
        <v>45955</v>
      </c>
      <c r="T618" s="44" t="s">
        <v>47</v>
      </c>
      <c r="U618" s="43" t="s">
        <v>23</v>
      </c>
      <c r="V618" s="42" t="s">
        <v>88</v>
      </c>
      <c r="W618" s="45">
        <v>4</v>
      </c>
      <c r="X618" s="46">
        <v>650</v>
      </c>
      <c r="Y618" s="46">
        <v>0</v>
      </c>
      <c r="Z618" s="47">
        <f t="shared" si="63"/>
        <v>2600</v>
      </c>
      <c r="AA618" s="48" t="s">
        <v>89</v>
      </c>
      <c r="AB618"/>
    </row>
    <row r="619" spans="1:28" x14ac:dyDescent="0.25">
      <c r="A619" s="31" t="s">
        <v>983</v>
      </c>
      <c r="B619" s="31" t="s">
        <v>110</v>
      </c>
      <c r="C619" s="32" t="str">
        <f t="shared" si="58"/>
        <v>Fernanda Lima</v>
      </c>
      <c r="D619" s="38" t="s">
        <v>851</v>
      </c>
      <c r="E619" s="33">
        <f t="shared" si="59"/>
        <v>45937</v>
      </c>
      <c r="F619" s="32" t="s">
        <v>15</v>
      </c>
      <c r="G619" s="32" t="str">
        <f t="shared" si="60"/>
        <v>Larissa Dias</v>
      </c>
      <c r="H619" s="32" t="s">
        <v>23</v>
      </c>
      <c r="I619" s="32" t="s">
        <v>48</v>
      </c>
      <c r="J619" s="34">
        <v>5</v>
      </c>
      <c r="K619" s="35">
        <v>450</v>
      </c>
      <c r="L619" s="35">
        <v>161.06</v>
      </c>
      <c r="M619" s="36">
        <f t="shared" si="62"/>
        <v>2088.94</v>
      </c>
      <c r="N619" s="32" t="s">
        <v>44</v>
      </c>
      <c r="Q619" s="49" t="s">
        <v>983</v>
      </c>
      <c r="R619" s="49" t="s">
        <v>110</v>
      </c>
      <c r="S619" s="58">
        <f t="shared" si="61"/>
        <v>45937</v>
      </c>
      <c r="T619" s="51" t="s">
        <v>15</v>
      </c>
      <c r="U619" s="50" t="s">
        <v>23</v>
      </c>
      <c r="V619" s="52" t="s">
        <v>48</v>
      </c>
      <c r="W619" s="53">
        <v>5</v>
      </c>
      <c r="X619" s="54">
        <v>450</v>
      </c>
      <c r="Y619" s="54">
        <v>161.06</v>
      </c>
      <c r="Z619" s="55">
        <f t="shared" si="63"/>
        <v>2088.94</v>
      </c>
      <c r="AA619" s="56" t="s">
        <v>44</v>
      </c>
      <c r="AB619"/>
    </row>
    <row r="620" spans="1:28" x14ac:dyDescent="0.25">
      <c r="A620" s="26" t="s">
        <v>984</v>
      </c>
      <c r="B620" s="26" t="s">
        <v>37</v>
      </c>
      <c r="C620" s="26" t="str">
        <f t="shared" si="58"/>
        <v>Patricia Gomes</v>
      </c>
      <c r="D620" s="37" t="s">
        <v>985</v>
      </c>
      <c r="E620" s="27">
        <f t="shared" si="59"/>
        <v>45873</v>
      </c>
      <c r="F620" s="26" t="s">
        <v>47</v>
      </c>
      <c r="G620" s="26" t="str">
        <f t="shared" si="60"/>
        <v>Bruno Martins</v>
      </c>
      <c r="H620" s="26" t="s">
        <v>16</v>
      </c>
      <c r="I620" s="26" t="s">
        <v>17</v>
      </c>
      <c r="J620" s="28">
        <v>3</v>
      </c>
      <c r="K620" s="29">
        <v>39</v>
      </c>
      <c r="L620" s="29">
        <v>0</v>
      </c>
      <c r="M620" s="30">
        <f t="shared" si="62"/>
        <v>117</v>
      </c>
      <c r="N620" s="26" t="s">
        <v>44</v>
      </c>
      <c r="Q620" s="42" t="s">
        <v>984</v>
      </c>
      <c r="R620" s="42" t="s">
        <v>37</v>
      </c>
      <c r="S620" s="57">
        <f t="shared" si="61"/>
        <v>45873</v>
      </c>
      <c r="T620" s="44" t="s">
        <v>47</v>
      </c>
      <c r="U620" s="43" t="s">
        <v>16</v>
      </c>
      <c r="V620" s="42" t="s">
        <v>17</v>
      </c>
      <c r="W620" s="45">
        <v>3</v>
      </c>
      <c r="X620" s="46">
        <v>39</v>
      </c>
      <c r="Y620" s="46">
        <v>0</v>
      </c>
      <c r="Z620" s="47">
        <f t="shared" si="63"/>
        <v>117</v>
      </c>
      <c r="AA620" s="48" t="s">
        <v>44</v>
      </c>
      <c r="AB620"/>
    </row>
    <row r="621" spans="1:28" x14ac:dyDescent="0.25">
      <c r="A621" s="31" t="s">
        <v>986</v>
      </c>
      <c r="B621" s="31" t="s">
        <v>95</v>
      </c>
      <c r="C621" s="32" t="str">
        <f t="shared" si="58"/>
        <v>Maria Oliveira</v>
      </c>
      <c r="D621" s="38" t="s">
        <v>46</v>
      </c>
      <c r="E621" s="33">
        <f t="shared" si="59"/>
        <v>45723</v>
      </c>
      <c r="F621" s="32" t="s">
        <v>15</v>
      </c>
      <c r="G621" s="32" t="str">
        <f t="shared" si="60"/>
        <v>Larissa Dias</v>
      </c>
      <c r="H621" s="32" t="s">
        <v>23</v>
      </c>
      <c r="I621" s="32" t="s">
        <v>43</v>
      </c>
      <c r="J621" s="34">
        <v>1</v>
      </c>
      <c r="K621" s="35">
        <v>350</v>
      </c>
      <c r="L621" s="35">
        <v>0</v>
      </c>
      <c r="M621" s="36">
        <f t="shared" si="62"/>
        <v>350</v>
      </c>
      <c r="N621" s="32" t="s">
        <v>69</v>
      </c>
      <c r="Q621" s="49" t="s">
        <v>986</v>
      </c>
      <c r="R621" s="49" t="s">
        <v>95</v>
      </c>
      <c r="S621" s="58">
        <f t="shared" si="61"/>
        <v>45723</v>
      </c>
      <c r="T621" s="51" t="s">
        <v>15</v>
      </c>
      <c r="U621" s="50" t="s">
        <v>23</v>
      </c>
      <c r="V621" s="52" t="s">
        <v>43</v>
      </c>
      <c r="W621" s="53">
        <v>1</v>
      </c>
      <c r="X621" s="54">
        <v>350</v>
      </c>
      <c r="Y621" s="54">
        <v>0</v>
      </c>
      <c r="Z621" s="55">
        <f t="shared" si="63"/>
        <v>350</v>
      </c>
      <c r="AA621" s="56" t="s">
        <v>69</v>
      </c>
      <c r="AB621"/>
    </row>
    <row r="622" spans="1:28" x14ac:dyDescent="0.25">
      <c r="A622" s="26" t="s">
        <v>987</v>
      </c>
      <c r="B622" s="26" t="s">
        <v>95</v>
      </c>
      <c r="C622" s="26" t="str">
        <f t="shared" si="58"/>
        <v>Maria Oliveira</v>
      </c>
      <c r="D622" s="37" t="s">
        <v>962</v>
      </c>
      <c r="E622" s="27">
        <f t="shared" si="59"/>
        <v>45728</v>
      </c>
      <c r="F622" s="26" t="s">
        <v>29</v>
      </c>
      <c r="G622" s="26" t="str">
        <f t="shared" si="60"/>
        <v>Camila Rocha</v>
      </c>
      <c r="H622" s="26" t="s">
        <v>30</v>
      </c>
      <c r="I622" s="26" t="s">
        <v>106</v>
      </c>
      <c r="J622" s="28">
        <v>3</v>
      </c>
      <c r="K622" s="29">
        <v>299</v>
      </c>
      <c r="L622" s="29">
        <v>0</v>
      </c>
      <c r="M622" s="30">
        <f t="shared" si="62"/>
        <v>897</v>
      </c>
      <c r="N622" s="26" t="s">
        <v>25</v>
      </c>
      <c r="Q622" s="42" t="s">
        <v>987</v>
      </c>
      <c r="R622" s="42" t="s">
        <v>95</v>
      </c>
      <c r="S622" s="57">
        <f t="shared" si="61"/>
        <v>45728</v>
      </c>
      <c r="T622" s="44" t="s">
        <v>29</v>
      </c>
      <c r="U622" s="43" t="s">
        <v>30</v>
      </c>
      <c r="V622" s="42" t="s">
        <v>106</v>
      </c>
      <c r="W622" s="45">
        <v>3</v>
      </c>
      <c r="X622" s="46">
        <v>299</v>
      </c>
      <c r="Y622" s="46">
        <v>0</v>
      </c>
      <c r="Z622" s="47">
        <f t="shared" si="63"/>
        <v>897</v>
      </c>
      <c r="AA622" s="48" t="s">
        <v>25</v>
      </c>
      <c r="AB622"/>
    </row>
    <row r="623" spans="1:28" x14ac:dyDescent="0.25">
      <c r="A623" s="31" t="s">
        <v>988</v>
      </c>
      <c r="B623" s="31" t="s">
        <v>110</v>
      </c>
      <c r="C623" s="32" t="str">
        <f t="shared" si="58"/>
        <v>Fernanda Lima</v>
      </c>
      <c r="D623" s="38" t="s">
        <v>989</v>
      </c>
      <c r="E623" s="33">
        <f t="shared" si="59"/>
        <v>45734</v>
      </c>
      <c r="F623" s="32" t="s">
        <v>15</v>
      </c>
      <c r="G623" s="32" t="str">
        <f t="shared" si="60"/>
        <v>Larissa Dias</v>
      </c>
      <c r="H623" s="32" t="s">
        <v>30</v>
      </c>
      <c r="I623" s="32" t="s">
        <v>152</v>
      </c>
      <c r="J623" s="34">
        <v>4</v>
      </c>
      <c r="K623" s="35">
        <v>4500</v>
      </c>
      <c r="L623" s="35">
        <v>1135.19</v>
      </c>
      <c r="M623" s="36">
        <f t="shared" si="62"/>
        <v>16864.810000000001</v>
      </c>
      <c r="N623" s="32" t="s">
        <v>69</v>
      </c>
      <c r="Q623" s="49" t="s">
        <v>988</v>
      </c>
      <c r="R623" s="49" t="s">
        <v>110</v>
      </c>
      <c r="S623" s="58">
        <f t="shared" si="61"/>
        <v>45734</v>
      </c>
      <c r="T623" s="51" t="s">
        <v>15</v>
      </c>
      <c r="U623" s="50" t="s">
        <v>30</v>
      </c>
      <c r="V623" s="52" t="s">
        <v>152</v>
      </c>
      <c r="W623" s="53">
        <v>4</v>
      </c>
      <c r="X623" s="54">
        <v>4500</v>
      </c>
      <c r="Y623" s="54">
        <v>1135.19</v>
      </c>
      <c r="Z623" s="55">
        <f t="shared" si="63"/>
        <v>16864.810000000001</v>
      </c>
      <c r="AA623" s="56" t="s">
        <v>69</v>
      </c>
      <c r="AB623"/>
    </row>
    <row r="624" spans="1:28" x14ac:dyDescent="0.25">
      <c r="A624" s="26" t="s">
        <v>990</v>
      </c>
      <c r="B624" s="26" t="s">
        <v>101</v>
      </c>
      <c r="C624" s="26" t="str">
        <f t="shared" si="58"/>
        <v>Ana Souza</v>
      </c>
      <c r="D624" s="37" t="s">
        <v>194</v>
      </c>
      <c r="E624" s="27">
        <f t="shared" si="59"/>
        <v>45987</v>
      </c>
      <c r="F624" s="26" t="s">
        <v>29</v>
      </c>
      <c r="G624" s="26" t="str">
        <f t="shared" si="60"/>
        <v>Camila Rocha</v>
      </c>
      <c r="H624" s="26" t="s">
        <v>16</v>
      </c>
      <c r="I624" s="26" t="s">
        <v>17</v>
      </c>
      <c r="J624" s="28">
        <v>2</v>
      </c>
      <c r="K624" s="29">
        <v>39</v>
      </c>
      <c r="L624" s="29">
        <v>2.52</v>
      </c>
      <c r="M624" s="30">
        <f t="shared" si="62"/>
        <v>75.48</v>
      </c>
      <c r="N624" s="26" t="s">
        <v>18</v>
      </c>
      <c r="Q624" s="42" t="s">
        <v>990</v>
      </c>
      <c r="R624" s="42" t="s">
        <v>101</v>
      </c>
      <c r="S624" s="57">
        <f t="shared" si="61"/>
        <v>45987</v>
      </c>
      <c r="T624" s="44" t="s">
        <v>29</v>
      </c>
      <c r="U624" s="43" t="s">
        <v>16</v>
      </c>
      <c r="V624" s="42" t="s">
        <v>17</v>
      </c>
      <c r="W624" s="45">
        <v>2</v>
      </c>
      <c r="X624" s="46">
        <v>39</v>
      </c>
      <c r="Y624" s="46">
        <v>2.52</v>
      </c>
      <c r="Z624" s="47">
        <f t="shared" si="63"/>
        <v>75.48</v>
      </c>
      <c r="AA624" s="48" t="s">
        <v>18</v>
      </c>
      <c r="AB624"/>
    </row>
    <row r="625" spans="1:28" x14ac:dyDescent="0.25">
      <c r="A625" s="31" t="s">
        <v>991</v>
      </c>
      <c r="B625" s="31" t="s">
        <v>37</v>
      </c>
      <c r="C625" s="32" t="str">
        <f t="shared" si="58"/>
        <v>Patricia Gomes</v>
      </c>
      <c r="D625" s="38" t="s">
        <v>397</v>
      </c>
      <c r="E625" s="33">
        <f t="shared" si="59"/>
        <v>45876</v>
      </c>
      <c r="F625" s="32" t="s">
        <v>15</v>
      </c>
      <c r="G625" s="32" t="str">
        <f t="shared" si="60"/>
        <v>Larissa Dias</v>
      </c>
      <c r="H625" s="32" t="s">
        <v>30</v>
      </c>
      <c r="I625" s="32" t="s">
        <v>106</v>
      </c>
      <c r="J625" s="34">
        <v>4</v>
      </c>
      <c r="K625" s="35">
        <v>299</v>
      </c>
      <c r="L625" s="35">
        <v>155.04</v>
      </c>
      <c r="M625" s="36">
        <f t="shared" si="62"/>
        <v>1040.96</v>
      </c>
      <c r="N625" s="32" t="s">
        <v>69</v>
      </c>
      <c r="Q625" s="49" t="s">
        <v>991</v>
      </c>
      <c r="R625" s="49" t="s">
        <v>37</v>
      </c>
      <c r="S625" s="58">
        <f t="shared" si="61"/>
        <v>45876</v>
      </c>
      <c r="T625" s="51" t="s">
        <v>15</v>
      </c>
      <c r="U625" s="50" t="s">
        <v>30</v>
      </c>
      <c r="V625" s="52" t="s">
        <v>106</v>
      </c>
      <c r="W625" s="53">
        <v>4</v>
      </c>
      <c r="X625" s="54">
        <v>299</v>
      </c>
      <c r="Y625" s="54">
        <v>155.04</v>
      </c>
      <c r="Z625" s="55">
        <f t="shared" si="63"/>
        <v>1040.96</v>
      </c>
      <c r="AA625" s="56" t="s">
        <v>69</v>
      </c>
      <c r="AB625"/>
    </row>
    <row r="626" spans="1:28" x14ac:dyDescent="0.25">
      <c r="A626" s="26" t="s">
        <v>992</v>
      </c>
      <c r="B626" s="26" t="s">
        <v>55</v>
      </c>
      <c r="C626" s="26" t="str">
        <f t="shared" si="58"/>
        <v>Ricardo Carvalho</v>
      </c>
      <c r="D626" s="37" t="s">
        <v>180</v>
      </c>
      <c r="E626" s="27">
        <f t="shared" si="59"/>
        <v>45753</v>
      </c>
      <c r="F626" s="26" t="s">
        <v>15</v>
      </c>
      <c r="G626" s="26" t="str">
        <f t="shared" si="60"/>
        <v>Larissa Dias</v>
      </c>
      <c r="H626" s="26" t="s">
        <v>30</v>
      </c>
      <c r="I626" s="26" t="s">
        <v>31</v>
      </c>
      <c r="J626" s="28">
        <v>4</v>
      </c>
      <c r="K626" s="29">
        <v>2500</v>
      </c>
      <c r="L626" s="29">
        <v>0</v>
      </c>
      <c r="M626" s="30">
        <f t="shared" si="62"/>
        <v>10000</v>
      </c>
      <c r="N626" s="26" t="s">
        <v>65</v>
      </c>
      <c r="Q626" s="42" t="s">
        <v>992</v>
      </c>
      <c r="R626" s="42" t="s">
        <v>55</v>
      </c>
      <c r="S626" s="57">
        <f t="shared" si="61"/>
        <v>45753</v>
      </c>
      <c r="T626" s="44" t="s">
        <v>15</v>
      </c>
      <c r="U626" s="43" t="s">
        <v>30</v>
      </c>
      <c r="V626" s="42" t="s">
        <v>31</v>
      </c>
      <c r="W626" s="45">
        <v>4</v>
      </c>
      <c r="X626" s="46">
        <v>2500</v>
      </c>
      <c r="Y626" s="46">
        <v>0</v>
      </c>
      <c r="Z626" s="47">
        <f t="shared" si="63"/>
        <v>10000</v>
      </c>
      <c r="AA626" s="48" t="s">
        <v>65</v>
      </c>
      <c r="AB626"/>
    </row>
    <row r="627" spans="1:28" x14ac:dyDescent="0.25">
      <c r="A627" s="31" t="s">
        <v>993</v>
      </c>
      <c r="B627" s="31" t="s">
        <v>37</v>
      </c>
      <c r="C627" s="32" t="str">
        <f t="shared" si="58"/>
        <v>Patricia Gomes</v>
      </c>
      <c r="D627" s="38" t="s">
        <v>825</v>
      </c>
      <c r="E627" s="33">
        <f t="shared" si="59"/>
        <v>45968</v>
      </c>
      <c r="F627" s="32" t="s">
        <v>29</v>
      </c>
      <c r="G627" s="32" t="str">
        <f t="shared" si="60"/>
        <v>Camila Rocha</v>
      </c>
      <c r="H627" s="32" t="s">
        <v>23</v>
      </c>
      <c r="I627" s="32" t="s">
        <v>24</v>
      </c>
      <c r="J627" s="34">
        <v>1</v>
      </c>
      <c r="K627" s="35">
        <v>180</v>
      </c>
      <c r="L627" s="35">
        <v>0</v>
      </c>
      <c r="M627" s="36">
        <f t="shared" si="62"/>
        <v>180</v>
      </c>
      <c r="N627" s="32" t="s">
        <v>69</v>
      </c>
      <c r="Q627" s="49" t="s">
        <v>993</v>
      </c>
      <c r="R627" s="49" t="s">
        <v>37</v>
      </c>
      <c r="S627" s="58">
        <f t="shared" si="61"/>
        <v>45968</v>
      </c>
      <c r="T627" s="51" t="s">
        <v>29</v>
      </c>
      <c r="U627" s="50" t="s">
        <v>23</v>
      </c>
      <c r="V627" s="52" t="s">
        <v>24</v>
      </c>
      <c r="W627" s="53">
        <v>1</v>
      </c>
      <c r="X627" s="54">
        <v>180</v>
      </c>
      <c r="Y627" s="54">
        <v>0</v>
      </c>
      <c r="Z627" s="55">
        <f t="shared" si="63"/>
        <v>180</v>
      </c>
      <c r="AA627" s="56" t="s">
        <v>69</v>
      </c>
      <c r="AB627"/>
    </row>
    <row r="628" spans="1:28" x14ac:dyDescent="0.25">
      <c r="A628" s="26" t="s">
        <v>994</v>
      </c>
      <c r="B628" s="26" t="s">
        <v>71</v>
      </c>
      <c r="C628" s="26" t="str">
        <f t="shared" si="58"/>
        <v>Juliana Costa</v>
      </c>
      <c r="D628" s="37" t="s">
        <v>14</v>
      </c>
      <c r="E628" s="27">
        <f t="shared" si="59"/>
        <v>45918</v>
      </c>
      <c r="F628" s="26" t="s">
        <v>39</v>
      </c>
      <c r="G628" s="26" t="str">
        <f t="shared" si="60"/>
        <v>Rodrigo Mello</v>
      </c>
      <c r="H628" s="26" t="s">
        <v>23</v>
      </c>
      <c r="I628" s="26" t="s">
        <v>88</v>
      </c>
      <c r="J628" s="28">
        <v>3</v>
      </c>
      <c r="K628" s="29">
        <v>650</v>
      </c>
      <c r="L628" s="29">
        <v>180.12</v>
      </c>
      <c r="M628" s="30">
        <f t="shared" si="62"/>
        <v>1769.88</v>
      </c>
      <c r="N628" s="26" t="s">
        <v>18</v>
      </c>
      <c r="Q628" s="42" t="s">
        <v>994</v>
      </c>
      <c r="R628" s="42" t="s">
        <v>71</v>
      </c>
      <c r="S628" s="57">
        <f t="shared" si="61"/>
        <v>45918</v>
      </c>
      <c r="T628" s="44" t="s">
        <v>39</v>
      </c>
      <c r="U628" s="43" t="s">
        <v>23</v>
      </c>
      <c r="V628" s="42" t="s">
        <v>88</v>
      </c>
      <c r="W628" s="45">
        <v>3</v>
      </c>
      <c r="X628" s="46">
        <v>650</v>
      </c>
      <c r="Y628" s="46">
        <v>180.12</v>
      </c>
      <c r="Z628" s="47">
        <f t="shared" si="63"/>
        <v>1769.88</v>
      </c>
      <c r="AA628" s="48" t="s">
        <v>18</v>
      </c>
      <c r="AB628"/>
    </row>
    <row r="629" spans="1:28" x14ac:dyDescent="0.25">
      <c r="A629" s="31" t="s">
        <v>995</v>
      </c>
      <c r="B629" s="31" t="s">
        <v>71</v>
      </c>
      <c r="C629" s="32" t="str">
        <f t="shared" si="58"/>
        <v>Juliana Costa</v>
      </c>
      <c r="D629" s="38" t="s">
        <v>996</v>
      </c>
      <c r="E629" s="33">
        <f t="shared" si="59"/>
        <v>45960</v>
      </c>
      <c r="F629" s="32" t="s">
        <v>22</v>
      </c>
      <c r="G629" s="32" t="str">
        <f t="shared" si="60"/>
        <v>Amanda Costa</v>
      </c>
      <c r="H629" s="32" t="s">
        <v>52</v>
      </c>
      <c r="I629" s="32" t="s">
        <v>99</v>
      </c>
      <c r="J629" s="34">
        <v>4</v>
      </c>
      <c r="K629" s="35">
        <v>79</v>
      </c>
      <c r="L629" s="35">
        <v>0</v>
      </c>
      <c r="M629" s="36">
        <f t="shared" si="62"/>
        <v>316</v>
      </c>
      <c r="N629" s="32" t="s">
        <v>69</v>
      </c>
      <c r="Q629" s="49" t="s">
        <v>995</v>
      </c>
      <c r="R629" s="49" t="s">
        <v>71</v>
      </c>
      <c r="S629" s="58">
        <f t="shared" si="61"/>
        <v>45960</v>
      </c>
      <c r="T629" s="51" t="s">
        <v>22</v>
      </c>
      <c r="U629" s="50" t="s">
        <v>52</v>
      </c>
      <c r="V629" s="52" t="s">
        <v>99</v>
      </c>
      <c r="W629" s="53">
        <v>4</v>
      </c>
      <c r="X629" s="54">
        <v>79</v>
      </c>
      <c r="Y629" s="54">
        <v>0</v>
      </c>
      <c r="Z629" s="55">
        <f t="shared" si="63"/>
        <v>316</v>
      </c>
      <c r="AA629" s="56" t="s">
        <v>69</v>
      </c>
      <c r="AB629"/>
    </row>
    <row r="630" spans="1:28" x14ac:dyDescent="0.25">
      <c r="A630" s="26" t="s">
        <v>997</v>
      </c>
      <c r="B630" s="26" t="s">
        <v>37</v>
      </c>
      <c r="C630" s="26" t="str">
        <f t="shared" si="58"/>
        <v>Patricia Gomes</v>
      </c>
      <c r="D630" s="37" t="s">
        <v>998</v>
      </c>
      <c r="E630" s="27">
        <f t="shared" si="59"/>
        <v>45881</v>
      </c>
      <c r="F630" s="26" t="s">
        <v>47</v>
      </c>
      <c r="G630" s="26" t="str">
        <f t="shared" si="60"/>
        <v>Bruno Martins</v>
      </c>
      <c r="H630" s="26" t="s">
        <v>16</v>
      </c>
      <c r="I630" s="26" t="s">
        <v>116</v>
      </c>
      <c r="J630" s="28">
        <v>1</v>
      </c>
      <c r="K630" s="29">
        <v>45</v>
      </c>
      <c r="L630" s="29">
        <v>0</v>
      </c>
      <c r="M630" s="30">
        <f t="shared" si="62"/>
        <v>45</v>
      </c>
      <c r="N630" s="26" t="s">
        <v>49</v>
      </c>
      <c r="Q630" s="42" t="s">
        <v>997</v>
      </c>
      <c r="R630" s="42" t="s">
        <v>37</v>
      </c>
      <c r="S630" s="57">
        <f t="shared" si="61"/>
        <v>45881</v>
      </c>
      <c r="T630" s="44" t="s">
        <v>47</v>
      </c>
      <c r="U630" s="43" t="s">
        <v>16</v>
      </c>
      <c r="V630" s="42" t="s">
        <v>116</v>
      </c>
      <c r="W630" s="45">
        <v>1</v>
      </c>
      <c r="X630" s="46">
        <v>45</v>
      </c>
      <c r="Y630" s="46">
        <v>0</v>
      </c>
      <c r="Z630" s="47">
        <f t="shared" si="63"/>
        <v>45</v>
      </c>
      <c r="AA630" s="48" t="s">
        <v>49</v>
      </c>
      <c r="AB630"/>
    </row>
    <row r="631" spans="1:28" x14ac:dyDescent="0.25">
      <c r="A631" s="31" t="s">
        <v>999</v>
      </c>
      <c r="B631" s="31" t="s">
        <v>95</v>
      </c>
      <c r="C631" s="32" t="str">
        <f t="shared" si="58"/>
        <v>Maria Oliveira</v>
      </c>
      <c r="D631" s="38" t="s">
        <v>805</v>
      </c>
      <c r="E631" s="33">
        <f t="shared" si="59"/>
        <v>45869</v>
      </c>
      <c r="F631" s="32" t="s">
        <v>15</v>
      </c>
      <c r="G631" s="32" t="str">
        <f t="shared" si="60"/>
        <v>Larissa Dias</v>
      </c>
      <c r="H631" s="32" t="s">
        <v>30</v>
      </c>
      <c r="I631" s="32" t="s">
        <v>152</v>
      </c>
      <c r="J631" s="34">
        <v>1</v>
      </c>
      <c r="K631" s="35">
        <v>4500</v>
      </c>
      <c r="L631" s="35">
        <v>0</v>
      </c>
      <c r="M631" s="36">
        <f t="shared" si="62"/>
        <v>4500</v>
      </c>
      <c r="N631" s="32" t="s">
        <v>44</v>
      </c>
      <c r="Q631" s="49" t="s">
        <v>999</v>
      </c>
      <c r="R631" s="49" t="s">
        <v>95</v>
      </c>
      <c r="S631" s="58">
        <f t="shared" si="61"/>
        <v>45869</v>
      </c>
      <c r="T631" s="51" t="s">
        <v>15</v>
      </c>
      <c r="U631" s="50" t="s">
        <v>30</v>
      </c>
      <c r="V631" s="52" t="s">
        <v>152</v>
      </c>
      <c r="W631" s="53">
        <v>1</v>
      </c>
      <c r="X631" s="54">
        <v>4500</v>
      </c>
      <c r="Y631" s="54">
        <v>0</v>
      </c>
      <c r="Z631" s="55">
        <f t="shared" si="63"/>
        <v>4500</v>
      </c>
      <c r="AA631" s="56" t="s">
        <v>44</v>
      </c>
      <c r="AB631"/>
    </row>
    <row r="632" spans="1:28" x14ac:dyDescent="0.25">
      <c r="A632" s="26" t="s">
        <v>1000</v>
      </c>
      <c r="B632" s="26" t="s">
        <v>20</v>
      </c>
      <c r="C632" s="26" t="str">
        <f t="shared" si="58"/>
        <v>Beatriz Ribeiro</v>
      </c>
      <c r="D632" s="37" t="s">
        <v>87</v>
      </c>
      <c r="E632" s="27">
        <f t="shared" si="59"/>
        <v>45996</v>
      </c>
      <c r="F632" s="26" t="s">
        <v>29</v>
      </c>
      <c r="G632" s="26" t="str">
        <f t="shared" si="60"/>
        <v>Camila Rocha</v>
      </c>
      <c r="H632" s="26" t="s">
        <v>52</v>
      </c>
      <c r="I632" s="26" t="s">
        <v>53</v>
      </c>
      <c r="J632" s="28">
        <v>3</v>
      </c>
      <c r="K632" s="29">
        <v>149</v>
      </c>
      <c r="L632" s="29">
        <v>0</v>
      </c>
      <c r="M632" s="30">
        <f t="shared" si="62"/>
        <v>447</v>
      </c>
      <c r="N632" s="26" t="s">
        <v>65</v>
      </c>
      <c r="Q632" s="42" t="s">
        <v>1000</v>
      </c>
      <c r="R632" s="42" t="s">
        <v>20</v>
      </c>
      <c r="S632" s="57">
        <f t="shared" si="61"/>
        <v>45996</v>
      </c>
      <c r="T632" s="44" t="s">
        <v>29</v>
      </c>
      <c r="U632" s="43" t="s">
        <v>52</v>
      </c>
      <c r="V632" s="42" t="s">
        <v>53</v>
      </c>
      <c r="W632" s="45">
        <v>3</v>
      </c>
      <c r="X632" s="46">
        <v>149</v>
      </c>
      <c r="Y632" s="46">
        <v>0</v>
      </c>
      <c r="Z632" s="47">
        <f t="shared" si="63"/>
        <v>447</v>
      </c>
      <c r="AA632" s="48" t="s">
        <v>65</v>
      </c>
      <c r="AB632"/>
    </row>
    <row r="633" spans="1:28" x14ac:dyDescent="0.25">
      <c r="A633" s="31" t="s">
        <v>1001</v>
      </c>
      <c r="B633" s="31" t="s">
        <v>277</v>
      </c>
      <c r="C633" s="32" t="str">
        <f t="shared" si="58"/>
        <v>Carlos Silva</v>
      </c>
      <c r="D633" s="38" t="s">
        <v>464</v>
      </c>
      <c r="E633" s="33">
        <f t="shared" si="59"/>
        <v>45694</v>
      </c>
      <c r="F633" s="32" t="s">
        <v>15</v>
      </c>
      <c r="G633" s="32" t="str">
        <f t="shared" si="60"/>
        <v>Larissa Dias</v>
      </c>
      <c r="H633" s="32" t="s">
        <v>16</v>
      </c>
      <c r="I633" s="32" t="s">
        <v>78</v>
      </c>
      <c r="J633" s="34">
        <v>2</v>
      </c>
      <c r="K633" s="35">
        <v>59</v>
      </c>
      <c r="L633" s="35">
        <v>0.15</v>
      </c>
      <c r="M633" s="36">
        <f t="shared" si="62"/>
        <v>117.85</v>
      </c>
      <c r="N633" s="32" t="s">
        <v>69</v>
      </c>
      <c r="Q633" s="49" t="s">
        <v>1001</v>
      </c>
      <c r="R633" s="49" t="s">
        <v>34</v>
      </c>
      <c r="S633" s="58">
        <f t="shared" si="61"/>
        <v>45694</v>
      </c>
      <c r="T633" s="51" t="s">
        <v>15</v>
      </c>
      <c r="U633" s="50" t="s">
        <v>16</v>
      </c>
      <c r="V633" s="52" t="s">
        <v>78</v>
      </c>
      <c r="W633" s="53">
        <v>2</v>
      </c>
      <c r="X633" s="54">
        <v>59</v>
      </c>
      <c r="Y633" s="54">
        <v>0.15</v>
      </c>
      <c r="Z633" s="55">
        <f t="shared" si="63"/>
        <v>117.85</v>
      </c>
      <c r="AA633" s="56" t="s">
        <v>69</v>
      </c>
      <c r="AB633"/>
    </row>
    <row r="634" spans="1:28" x14ac:dyDescent="0.25">
      <c r="A634" s="26" t="s">
        <v>1002</v>
      </c>
      <c r="B634" s="26" t="s">
        <v>13</v>
      </c>
      <c r="C634" s="26" t="str">
        <f t="shared" si="58"/>
        <v>Lucas Almeida</v>
      </c>
      <c r="D634" s="37" t="s">
        <v>273</v>
      </c>
      <c r="E634" s="27">
        <f t="shared" si="59"/>
        <v>45777</v>
      </c>
      <c r="F634" s="26" t="s">
        <v>29</v>
      </c>
      <c r="G634" s="26" t="str">
        <f t="shared" si="60"/>
        <v>Camila Rocha</v>
      </c>
      <c r="H634" s="26" t="s">
        <v>23</v>
      </c>
      <c r="I634" s="26" t="s">
        <v>48</v>
      </c>
      <c r="J634" s="28">
        <v>2</v>
      </c>
      <c r="K634" s="29">
        <v>450</v>
      </c>
      <c r="L634" s="29">
        <v>0</v>
      </c>
      <c r="M634" s="30">
        <f t="shared" si="62"/>
        <v>900</v>
      </c>
      <c r="N634" s="26" t="s">
        <v>89</v>
      </c>
      <c r="Q634" s="42" t="s">
        <v>1002</v>
      </c>
      <c r="R634" s="42" t="s">
        <v>13</v>
      </c>
      <c r="S634" s="57">
        <f t="shared" si="61"/>
        <v>45777</v>
      </c>
      <c r="T634" s="44" t="s">
        <v>29</v>
      </c>
      <c r="U634" s="43" t="s">
        <v>23</v>
      </c>
      <c r="V634" s="42" t="s">
        <v>48</v>
      </c>
      <c r="W634" s="45">
        <v>2</v>
      </c>
      <c r="X634" s="46">
        <v>450</v>
      </c>
      <c r="Y634" s="46">
        <v>0</v>
      </c>
      <c r="Z634" s="47">
        <f t="shared" si="63"/>
        <v>900</v>
      </c>
      <c r="AA634" s="48" t="s">
        <v>89</v>
      </c>
      <c r="AB634"/>
    </row>
    <row r="635" spans="1:28" x14ac:dyDescent="0.25">
      <c r="A635" s="31" t="s">
        <v>1003</v>
      </c>
      <c r="B635" s="31" t="s">
        <v>101</v>
      </c>
      <c r="C635" s="32" t="str">
        <f t="shared" si="58"/>
        <v>Ana Souza</v>
      </c>
      <c r="D635" s="38" t="s">
        <v>1004</v>
      </c>
      <c r="E635" s="33">
        <f t="shared" si="59"/>
        <v>45725</v>
      </c>
      <c r="F635" s="32" t="s">
        <v>39</v>
      </c>
      <c r="G635" s="32" t="str">
        <f t="shared" si="60"/>
        <v>Rodrigo Mello</v>
      </c>
      <c r="H635" s="32" t="s">
        <v>52</v>
      </c>
      <c r="I635" s="32" t="s">
        <v>99</v>
      </c>
      <c r="J635" s="34">
        <v>1</v>
      </c>
      <c r="K635" s="35">
        <v>79</v>
      </c>
      <c r="L635" s="35">
        <v>11.01</v>
      </c>
      <c r="M635" s="36">
        <f t="shared" si="62"/>
        <v>67.989999999999995</v>
      </c>
      <c r="N635" s="32" t="s">
        <v>49</v>
      </c>
      <c r="Q635" s="49" t="s">
        <v>1003</v>
      </c>
      <c r="R635" s="49" t="s">
        <v>101</v>
      </c>
      <c r="S635" s="58">
        <f t="shared" si="61"/>
        <v>45725</v>
      </c>
      <c r="T635" s="51" t="s">
        <v>39</v>
      </c>
      <c r="U635" s="50" t="s">
        <v>52</v>
      </c>
      <c r="V635" s="52" t="s">
        <v>99</v>
      </c>
      <c r="W635" s="53">
        <v>1</v>
      </c>
      <c r="X635" s="54">
        <v>79</v>
      </c>
      <c r="Y635" s="54">
        <v>11.01</v>
      </c>
      <c r="Z635" s="55">
        <f t="shared" si="63"/>
        <v>67.989999999999995</v>
      </c>
      <c r="AA635" s="56" t="s">
        <v>49</v>
      </c>
      <c r="AB635"/>
    </row>
    <row r="636" spans="1:28" x14ac:dyDescent="0.25">
      <c r="A636" s="26" t="s">
        <v>1005</v>
      </c>
      <c r="B636" s="26" t="s">
        <v>277</v>
      </c>
      <c r="C636" s="26" t="str">
        <f t="shared" si="58"/>
        <v>Carlos Silva</v>
      </c>
      <c r="D636" s="37" t="s">
        <v>601</v>
      </c>
      <c r="E636" s="27">
        <f t="shared" si="59"/>
        <v>45831</v>
      </c>
      <c r="F636" s="26" t="s">
        <v>22</v>
      </c>
      <c r="G636" s="26" t="str">
        <f t="shared" si="60"/>
        <v>Amanda Costa</v>
      </c>
      <c r="H636" s="26" t="s">
        <v>30</v>
      </c>
      <c r="I636" s="26" t="s">
        <v>152</v>
      </c>
      <c r="J636" s="28">
        <v>2</v>
      </c>
      <c r="K636" s="29">
        <v>4500</v>
      </c>
      <c r="L636" s="29">
        <v>0</v>
      </c>
      <c r="M636" s="30">
        <f t="shared" si="62"/>
        <v>9000</v>
      </c>
      <c r="N636" s="26" t="s">
        <v>18</v>
      </c>
      <c r="Q636" s="42" t="s">
        <v>1005</v>
      </c>
      <c r="R636" s="42" t="s">
        <v>34</v>
      </c>
      <c r="S636" s="57">
        <f t="shared" si="61"/>
        <v>45831</v>
      </c>
      <c r="T636" s="44" t="s">
        <v>22</v>
      </c>
      <c r="U636" s="43" t="s">
        <v>30</v>
      </c>
      <c r="V636" s="42" t="s">
        <v>152</v>
      </c>
      <c r="W636" s="45">
        <v>2</v>
      </c>
      <c r="X636" s="46">
        <v>4500</v>
      </c>
      <c r="Y636" s="46">
        <v>0</v>
      </c>
      <c r="Z636" s="47">
        <f t="shared" si="63"/>
        <v>9000</v>
      </c>
      <c r="AA636" s="48" t="s">
        <v>18</v>
      </c>
      <c r="AB636"/>
    </row>
    <row r="637" spans="1:28" x14ac:dyDescent="0.25">
      <c r="A637" s="31" t="s">
        <v>1006</v>
      </c>
      <c r="B637" s="31" t="s">
        <v>34</v>
      </c>
      <c r="C637" s="32" t="str">
        <f t="shared" si="58"/>
        <v>Carlos Silva</v>
      </c>
      <c r="D637" s="38" t="s">
        <v>292</v>
      </c>
      <c r="E637" s="33">
        <f t="shared" si="59"/>
        <v>45785</v>
      </c>
      <c r="F637" s="32" t="s">
        <v>47</v>
      </c>
      <c r="G637" s="32" t="str">
        <f t="shared" si="60"/>
        <v>Bruno Martins</v>
      </c>
      <c r="H637" s="32" t="s">
        <v>30</v>
      </c>
      <c r="I637" s="32" t="s">
        <v>31</v>
      </c>
      <c r="J637" s="34">
        <v>5</v>
      </c>
      <c r="K637" s="35">
        <v>2500</v>
      </c>
      <c r="L637" s="35">
        <v>0</v>
      </c>
      <c r="M637" s="36">
        <f t="shared" si="62"/>
        <v>12500</v>
      </c>
      <c r="N637" s="32" t="s">
        <v>69</v>
      </c>
      <c r="Q637" s="49" t="s">
        <v>1006</v>
      </c>
      <c r="R637" s="49" t="s">
        <v>34</v>
      </c>
      <c r="S637" s="58">
        <f t="shared" si="61"/>
        <v>45785</v>
      </c>
      <c r="T637" s="51" t="s">
        <v>47</v>
      </c>
      <c r="U637" s="50" t="s">
        <v>30</v>
      </c>
      <c r="V637" s="52" t="s">
        <v>31</v>
      </c>
      <c r="W637" s="53">
        <v>5</v>
      </c>
      <c r="X637" s="54">
        <v>2500</v>
      </c>
      <c r="Y637" s="54">
        <v>0</v>
      </c>
      <c r="Z637" s="55">
        <f t="shared" si="63"/>
        <v>12500</v>
      </c>
      <c r="AA637" s="56" t="s">
        <v>69</v>
      </c>
      <c r="AB637"/>
    </row>
    <row r="638" spans="1:28" x14ac:dyDescent="0.25">
      <c r="A638" s="26" t="s">
        <v>1007</v>
      </c>
      <c r="B638" s="26" t="s">
        <v>41</v>
      </c>
      <c r="C638" s="26" t="str">
        <f t="shared" si="58"/>
        <v>João Pereira</v>
      </c>
      <c r="D638" s="37" t="s">
        <v>1008</v>
      </c>
      <c r="E638" s="27">
        <f t="shared" si="59"/>
        <v>45704</v>
      </c>
      <c r="F638" s="26" t="s">
        <v>15</v>
      </c>
      <c r="G638" s="26" t="str">
        <f t="shared" si="60"/>
        <v>Larissa Dias</v>
      </c>
      <c r="H638" s="26" t="s">
        <v>16</v>
      </c>
      <c r="I638" s="26" t="s">
        <v>78</v>
      </c>
      <c r="J638" s="28">
        <v>5</v>
      </c>
      <c r="K638" s="29">
        <v>59</v>
      </c>
      <c r="L638" s="29">
        <v>25.77</v>
      </c>
      <c r="M638" s="30">
        <f t="shared" si="62"/>
        <v>269.23</v>
      </c>
      <c r="N638" s="26" t="s">
        <v>32</v>
      </c>
      <c r="Q638" s="42" t="s">
        <v>1007</v>
      </c>
      <c r="R638" s="42" t="s">
        <v>41</v>
      </c>
      <c r="S638" s="57">
        <f t="shared" si="61"/>
        <v>45704</v>
      </c>
      <c r="T638" s="44" t="s">
        <v>15</v>
      </c>
      <c r="U638" s="43" t="s">
        <v>16</v>
      </c>
      <c r="V638" s="42" t="s">
        <v>78</v>
      </c>
      <c r="W638" s="45">
        <v>5</v>
      </c>
      <c r="X638" s="46">
        <v>59</v>
      </c>
      <c r="Y638" s="46">
        <v>25.77</v>
      </c>
      <c r="Z638" s="47">
        <f t="shared" si="63"/>
        <v>269.23</v>
      </c>
      <c r="AA638" s="48" t="s">
        <v>32</v>
      </c>
      <c r="AB638"/>
    </row>
    <row r="639" spans="1:28" x14ac:dyDescent="0.25">
      <c r="A639" s="31" t="s">
        <v>1009</v>
      </c>
      <c r="B639" s="31" t="s">
        <v>101</v>
      </c>
      <c r="C639" s="32" t="str">
        <f t="shared" si="58"/>
        <v>Ana Souza</v>
      </c>
      <c r="D639" s="38" t="s">
        <v>1010</v>
      </c>
      <c r="E639" s="33">
        <f t="shared" si="59"/>
        <v>45766</v>
      </c>
      <c r="F639" s="32" t="s">
        <v>39</v>
      </c>
      <c r="G639" s="32" t="str">
        <f t="shared" si="60"/>
        <v>Rodrigo Mello</v>
      </c>
      <c r="H639" s="32" t="s">
        <v>52</v>
      </c>
      <c r="I639" s="32" t="s">
        <v>99</v>
      </c>
      <c r="J639" s="34">
        <v>5</v>
      </c>
      <c r="K639" s="35">
        <v>79</v>
      </c>
      <c r="L639" s="35">
        <v>0</v>
      </c>
      <c r="M639" s="36">
        <f t="shared" si="62"/>
        <v>395</v>
      </c>
      <c r="N639" s="32" t="s">
        <v>89</v>
      </c>
      <c r="Q639" s="49" t="s">
        <v>1009</v>
      </c>
      <c r="R639" s="49" t="s">
        <v>101</v>
      </c>
      <c r="S639" s="58">
        <f t="shared" si="61"/>
        <v>45766</v>
      </c>
      <c r="T639" s="51" t="s">
        <v>39</v>
      </c>
      <c r="U639" s="50" t="s">
        <v>52</v>
      </c>
      <c r="V639" s="52" t="s">
        <v>99</v>
      </c>
      <c r="W639" s="53">
        <v>5</v>
      </c>
      <c r="X639" s="54">
        <v>79</v>
      </c>
      <c r="Y639" s="54">
        <v>0</v>
      </c>
      <c r="Z639" s="55">
        <f t="shared" si="63"/>
        <v>395</v>
      </c>
      <c r="AA639" s="56" t="s">
        <v>89</v>
      </c>
      <c r="AB639"/>
    </row>
    <row r="640" spans="1:28" x14ac:dyDescent="0.25">
      <c r="A640" s="26" t="s">
        <v>1011</v>
      </c>
      <c r="B640" s="26" t="s">
        <v>55</v>
      </c>
      <c r="C640" s="26" t="str">
        <f t="shared" si="58"/>
        <v>Ricardo Carvalho</v>
      </c>
      <c r="D640" s="37" t="s">
        <v>825</v>
      </c>
      <c r="E640" s="27">
        <f t="shared" si="59"/>
        <v>45968</v>
      </c>
      <c r="F640" s="26" t="s">
        <v>39</v>
      </c>
      <c r="G640" s="26" t="str">
        <f t="shared" si="60"/>
        <v>Rodrigo Mello</v>
      </c>
      <c r="H640" s="26" t="s">
        <v>23</v>
      </c>
      <c r="I640" s="26" t="s">
        <v>88</v>
      </c>
      <c r="J640" s="28">
        <v>5</v>
      </c>
      <c r="K640" s="29">
        <v>650</v>
      </c>
      <c r="L640" s="29">
        <v>426.42</v>
      </c>
      <c r="M640" s="30">
        <f t="shared" si="62"/>
        <v>2823.58</v>
      </c>
      <c r="N640" s="26" t="s">
        <v>65</v>
      </c>
      <c r="Q640" s="42" t="s">
        <v>1011</v>
      </c>
      <c r="R640" s="42" t="s">
        <v>55</v>
      </c>
      <c r="S640" s="57">
        <f t="shared" si="61"/>
        <v>45968</v>
      </c>
      <c r="T640" s="44" t="s">
        <v>39</v>
      </c>
      <c r="U640" s="43" t="s">
        <v>23</v>
      </c>
      <c r="V640" s="42" t="s">
        <v>88</v>
      </c>
      <c r="W640" s="45">
        <v>5</v>
      </c>
      <c r="X640" s="46">
        <v>650</v>
      </c>
      <c r="Y640" s="46">
        <v>426.42</v>
      </c>
      <c r="Z640" s="47">
        <f t="shared" si="63"/>
        <v>2823.58</v>
      </c>
      <c r="AA640" s="48" t="s">
        <v>65</v>
      </c>
      <c r="AB640"/>
    </row>
    <row r="641" spans="1:28" x14ac:dyDescent="0.25">
      <c r="A641" s="31" t="s">
        <v>1012</v>
      </c>
      <c r="B641" s="31" t="s">
        <v>20</v>
      </c>
      <c r="C641" s="32" t="str">
        <f t="shared" si="58"/>
        <v>Beatriz Ribeiro</v>
      </c>
      <c r="D641" s="38" t="s">
        <v>1013</v>
      </c>
      <c r="E641" s="33">
        <f t="shared" si="59"/>
        <v>45925</v>
      </c>
      <c r="F641" s="32" t="s">
        <v>15</v>
      </c>
      <c r="G641" s="32" t="str">
        <f t="shared" si="60"/>
        <v>Larissa Dias</v>
      </c>
      <c r="H641" s="32" t="s">
        <v>30</v>
      </c>
      <c r="I641" s="32" t="s">
        <v>31</v>
      </c>
      <c r="J641" s="34">
        <v>1</v>
      </c>
      <c r="K641" s="35">
        <v>2500</v>
      </c>
      <c r="L641" s="35">
        <v>0</v>
      </c>
      <c r="M641" s="36">
        <f t="shared" si="62"/>
        <v>2500</v>
      </c>
      <c r="N641" s="32" t="s">
        <v>89</v>
      </c>
      <c r="Q641" s="49" t="s">
        <v>1012</v>
      </c>
      <c r="R641" s="49" t="s">
        <v>20</v>
      </c>
      <c r="S641" s="58">
        <f t="shared" si="61"/>
        <v>45925</v>
      </c>
      <c r="T641" s="51" t="s">
        <v>15</v>
      </c>
      <c r="U641" s="50" t="s">
        <v>30</v>
      </c>
      <c r="V641" s="52" t="s">
        <v>31</v>
      </c>
      <c r="W641" s="53">
        <v>1</v>
      </c>
      <c r="X641" s="54">
        <v>2500</v>
      </c>
      <c r="Y641" s="54">
        <v>0</v>
      </c>
      <c r="Z641" s="55">
        <f t="shared" si="63"/>
        <v>2500</v>
      </c>
      <c r="AA641" s="56" t="s">
        <v>89</v>
      </c>
      <c r="AB641"/>
    </row>
    <row r="642" spans="1:28" x14ac:dyDescent="0.25">
      <c r="A642" s="26" t="s">
        <v>1014</v>
      </c>
      <c r="B642" s="26" t="s">
        <v>20</v>
      </c>
      <c r="C642" s="26" t="str">
        <f t="shared" si="58"/>
        <v>Beatriz Ribeiro</v>
      </c>
      <c r="D642" s="37" t="s">
        <v>318</v>
      </c>
      <c r="E642" s="27">
        <f t="shared" si="59"/>
        <v>45717</v>
      </c>
      <c r="F642" s="26" t="s">
        <v>47</v>
      </c>
      <c r="G642" s="26" t="str">
        <f t="shared" si="60"/>
        <v>Bruno Martins</v>
      </c>
      <c r="H642" s="26" t="s">
        <v>16</v>
      </c>
      <c r="I642" s="26" t="s">
        <v>116</v>
      </c>
      <c r="J642" s="28">
        <v>4</v>
      </c>
      <c r="K642" s="29">
        <v>45</v>
      </c>
      <c r="L642" s="29">
        <v>0</v>
      </c>
      <c r="M642" s="30">
        <f t="shared" si="62"/>
        <v>180</v>
      </c>
      <c r="N642" s="26" t="s">
        <v>49</v>
      </c>
      <c r="Q642" s="42" t="s">
        <v>1014</v>
      </c>
      <c r="R642" s="42" t="s">
        <v>20</v>
      </c>
      <c r="S642" s="57">
        <f t="shared" si="61"/>
        <v>45717</v>
      </c>
      <c r="T642" s="44" t="s">
        <v>47</v>
      </c>
      <c r="U642" s="43" t="s">
        <v>16</v>
      </c>
      <c r="V642" s="42" t="s">
        <v>116</v>
      </c>
      <c r="W642" s="45">
        <v>4</v>
      </c>
      <c r="X642" s="46">
        <v>45</v>
      </c>
      <c r="Y642" s="46">
        <v>0</v>
      </c>
      <c r="Z642" s="47">
        <f t="shared" si="63"/>
        <v>180</v>
      </c>
      <c r="AA642" s="48" t="s">
        <v>49</v>
      </c>
      <c r="AB642"/>
    </row>
    <row r="643" spans="1:28" x14ac:dyDescent="0.25">
      <c r="A643" s="31" t="s">
        <v>1015</v>
      </c>
      <c r="B643" s="31" t="s">
        <v>110</v>
      </c>
      <c r="C643" s="32" t="str">
        <f t="shared" ref="C643:C706" si="64">SUBSTITUTE(SUBSTITUTE(SUBSTITUTE(SUBSTITUTE(PROPER(B643)," Da "," ")," De "," ")," Do "," ")," Dos "," ")</f>
        <v>Fernanda Lima</v>
      </c>
      <c r="D643" s="38" t="s">
        <v>1691</v>
      </c>
      <c r="E643" s="33">
        <f t="shared" ref="E643:E706" si="65">DATEVALUE(D643)</f>
        <v>46023</v>
      </c>
      <c r="F643" s="32" t="s">
        <v>15</v>
      </c>
      <c r="G643" s="32" t="str">
        <f t="shared" ref="G643:G706" si="66">SUBSTITUTE(SUBSTITUTE(SUBSTITUTE(SUBSTITUTE(PROPER(F643)," Da "," ")," De "," ")," Do "," ")," Dos "," ")</f>
        <v>Larissa Dias</v>
      </c>
      <c r="H643" s="32" t="s">
        <v>30</v>
      </c>
      <c r="I643" s="32" t="s">
        <v>31</v>
      </c>
      <c r="J643" s="34">
        <v>2</v>
      </c>
      <c r="K643" s="35">
        <v>2500</v>
      </c>
      <c r="L643" s="35">
        <v>0</v>
      </c>
      <c r="M643" s="36">
        <f t="shared" si="62"/>
        <v>5000</v>
      </c>
      <c r="N643" s="32" t="s">
        <v>65</v>
      </c>
      <c r="Q643" s="49" t="s">
        <v>1015</v>
      </c>
      <c r="R643" s="49" t="s">
        <v>110</v>
      </c>
      <c r="S643" s="58">
        <f t="shared" si="61"/>
        <v>46023</v>
      </c>
      <c r="T643" s="51" t="s">
        <v>15</v>
      </c>
      <c r="U643" s="50" t="s">
        <v>30</v>
      </c>
      <c r="V643" s="52" t="s">
        <v>31</v>
      </c>
      <c r="W643" s="53">
        <v>2</v>
      </c>
      <c r="X643" s="54">
        <v>2500</v>
      </c>
      <c r="Y643" s="54">
        <v>0</v>
      </c>
      <c r="Z643" s="55">
        <f t="shared" si="63"/>
        <v>5000</v>
      </c>
      <c r="AA643" s="56" t="s">
        <v>65</v>
      </c>
      <c r="AB643"/>
    </row>
    <row r="644" spans="1:28" x14ac:dyDescent="0.25">
      <c r="A644" s="26" t="s">
        <v>1016</v>
      </c>
      <c r="B644" s="26" t="s">
        <v>13</v>
      </c>
      <c r="C644" s="26" t="str">
        <f t="shared" si="64"/>
        <v>Lucas Almeida</v>
      </c>
      <c r="D644" s="37" t="s">
        <v>518</v>
      </c>
      <c r="E644" s="27">
        <f t="shared" si="65"/>
        <v>45800</v>
      </c>
      <c r="F644" s="26" t="s">
        <v>22</v>
      </c>
      <c r="G644" s="26" t="str">
        <f t="shared" si="66"/>
        <v>Amanda Costa</v>
      </c>
      <c r="H644" s="26" t="s">
        <v>16</v>
      </c>
      <c r="I644" s="26" t="s">
        <v>103</v>
      </c>
      <c r="J644" s="28">
        <v>5</v>
      </c>
      <c r="K644" s="29">
        <v>89</v>
      </c>
      <c r="L644" s="29">
        <v>0</v>
      </c>
      <c r="M644" s="30">
        <f t="shared" si="62"/>
        <v>445</v>
      </c>
      <c r="N644" s="26" t="s">
        <v>69</v>
      </c>
      <c r="Q644" s="42" t="s">
        <v>1016</v>
      </c>
      <c r="R644" s="42" t="s">
        <v>13</v>
      </c>
      <c r="S644" s="57">
        <f t="shared" si="61"/>
        <v>45800</v>
      </c>
      <c r="T644" s="44" t="s">
        <v>22</v>
      </c>
      <c r="U644" s="43" t="s">
        <v>16</v>
      </c>
      <c r="V644" s="42" t="s">
        <v>103</v>
      </c>
      <c r="W644" s="45">
        <v>5</v>
      </c>
      <c r="X644" s="46">
        <v>89</v>
      </c>
      <c r="Y644" s="46">
        <v>0</v>
      </c>
      <c r="Z644" s="47">
        <f t="shared" si="63"/>
        <v>445</v>
      </c>
      <c r="AA644" s="48" t="s">
        <v>69</v>
      </c>
      <c r="AB644"/>
    </row>
    <row r="645" spans="1:28" x14ac:dyDescent="0.25">
      <c r="A645" s="31" t="s">
        <v>1017</v>
      </c>
      <c r="B645" s="31" t="s">
        <v>63</v>
      </c>
      <c r="C645" s="32" t="str">
        <f t="shared" si="64"/>
        <v>Marcos Rodrigues</v>
      </c>
      <c r="D645" s="38" t="s">
        <v>1018</v>
      </c>
      <c r="E645" s="33">
        <f t="shared" si="65"/>
        <v>45836</v>
      </c>
      <c r="F645" s="32" t="s">
        <v>29</v>
      </c>
      <c r="G645" s="32" t="str">
        <f t="shared" si="66"/>
        <v>Camila Rocha</v>
      </c>
      <c r="H645" s="32" t="s">
        <v>16</v>
      </c>
      <c r="I645" s="32" t="s">
        <v>116</v>
      </c>
      <c r="J645" s="34">
        <v>5</v>
      </c>
      <c r="K645" s="35">
        <v>45</v>
      </c>
      <c r="L645" s="35">
        <v>1.81</v>
      </c>
      <c r="M645" s="36">
        <f t="shared" si="62"/>
        <v>223.19</v>
      </c>
      <c r="N645" s="32" t="s">
        <v>69</v>
      </c>
      <c r="Q645" s="49" t="s">
        <v>1017</v>
      </c>
      <c r="R645" s="49" t="s">
        <v>63</v>
      </c>
      <c r="S645" s="58">
        <f t="shared" si="61"/>
        <v>45836</v>
      </c>
      <c r="T645" s="51" t="s">
        <v>29</v>
      </c>
      <c r="U645" s="50" t="s">
        <v>16</v>
      </c>
      <c r="V645" s="52" t="s">
        <v>116</v>
      </c>
      <c r="W645" s="53">
        <v>5</v>
      </c>
      <c r="X645" s="54">
        <v>45</v>
      </c>
      <c r="Y645" s="54">
        <v>1.81</v>
      </c>
      <c r="Z645" s="55">
        <f t="shared" si="63"/>
        <v>223.19</v>
      </c>
      <c r="AA645" s="56" t="s">
        <v>69</v>
      </c>
      <c r="AB645"/>
    </row>
    <row r="646" spans="1:28" x14ac:dyDescent="0.25">
      <c r="A646" s="26" t="s">
        <v>1019</v>
      </c>
      <c r="B646" s="26" t="s">
        <v>20</v>
      </c>
      <c r="C646" s="26" t="str">
        <f t="shared" si="64"/>
        <v>Beatriz Ribeiro</v>
      </c>
      <c r="D646" s="37" t="s">
        <v>655</v>
      </c>
      <c r="E646" s="27">
        <f t="shared" si="65"/>
        <v>45892</v>
      </c>
      <c r="F646" s="26" t="s">
        <v>15</v>
      </c>
      <c r="G646" s="26" t="str">
        <f t="shared" si="66"/>
        <v>Larissa Dias</v>
      </c>
      <c r="H646" s="26" t="s">
        <v>16</v>
      </c>
      <c r="I646" s="26" t="s">
        <v>17</v>
      </c>
      <c r="J646" s="28">
        <v>4</v>
      </c>
      <c r="K646" s="29">
        <v>39</v>
      </c>
      <c r="L646" s="29">
        <v>15.21</v>
      </c>
      <c r="M646" s="30">
        <f t="shared" si="62"/>
        <v>140.79</v>
      </c>
      <c r="N646" s="26" t="s">
        <v>49</v>
      </c>
      <c r="Q646" s="42" t="s">
        <v>1019</v>
      </c>
      <c r="R646" s="42" t="s">
        <v>20</v>
      </c>
      <c r="S646" s="57">
        <f t="shared" ref="S646:S709" si="67">DATEVALUE(D646)</f>
        <v>45892</v>
      </c>
      <c r="T646" s="44" t="s">
        <v>15</v>
      </c>
      <c r="U646" s="43" t="s">
        <v>16</v>
      </c>
      <c r="V646" s="42" t="s">
        <v>17</v>
      </c>
      <c r="W646" s="45">
        <v>4</v>
      </c>
      <c r="X646" s="46">
        <v>39</v>
      </c>
      <c r="Y646" s="46">
        <v>15.21</v>
      </c>
      <c r="Z646" s="47">
        <f t="shared" si="63"/>
        <v>140.79</v>
      </c>
      <c r="AA646" s="48" t="s">
        <v>49</v>
      </c>
      <c r="AB646"/>
    </row>
    <row r="647" spans="1:28" x14ac:dyDescent="0.25">
      <c r="A647" s="31" t="s">
        <v>1020</v>
      </c>
      <c r="B647" s="31" t="s">
        <v>20</v>
      </c>
      <c r="C647" s="32" t="str">
        <f t="shared" si="64"/>
        <v>Beatriz Ribeiro</v>
      </c>
      <c r="D647" s="38" t="s">
        <v>1021</v>
      </c>
      <c r="E647" s="33">
        <f t="shared" si="65"/>
        <v>45998</v>
      </c>
      <c r="F647" s="32" t="s">
        <v>15</v>
      </c>
      <c r="G647" s="32" t="str">
        <f t="shared" si="66"/>
        <v>Larissa Dias</v>
      </c>
      <c r="H647" s="32" t="s">
        <v>23</v>
      </c>
      <c r="I647" s="32" t="s">
        <v>24</v>
      </c>
      <c r="J647" s="34">
        <v>5</v>
      </c>
      <c r="K647" s="35">
        <v>180</v>
      </c>
      <c r="L647" s="35">
        <v>0</v>
      </c>
      <c r="M647" s="36">
        <f t="shared" si="62"/>
        <v>900</v>
      </c>
      <c r="N647" s="32" t="s">
        <v>32</v>
      </c>
      <c r="Q647" s="49" t="s">
        <v>1020</v>
      </c>
      <c r="R647" s="49" t="s">
        <v>20</v>
      </c>
      <c r="S647" s="58">
        <f t="shared" si="67"/>
        <v>45998</v>
      </c>
      <c r="T647" s="51" t="s">
        <v>15</v>
      </c>
      <c r="U647" s="50" t="s">
        <v>23</v>
      </c>
      <c r="V647" s="52" t="s">
        <v>24</v>
      </c>
      <c r="W647" s="53">
        <v>5</v>
      </c>
      <c r="X647" s="54">
        <v>180</v>
      </c>
      <c r="Y647" s="54">
        <v>0</v>
      </c>
      <c r="Z647" s="55">
        <f t="shared" si="63"/>
        <v>900</v>
      </c>
      <c r="AA647" s="56" t="s">
        <v>32</v>
      </c>
      <c r="AB647"/>
    </row>
    <row r="648" spans="1:28" x14ac:dyDescent="0.25">
      <c r="A648" s="26" t="s">
        <v>1022</v>
      </c>
      <c r="B648" s="26" t="s">
        <v>41</v>
      </c>
      <c r="C648" s="26" t="str">
        <f t="shared" si="64"/>
        <v>João Pereira</v>
      </c>
      <c r="D648" s="37" t="s">
        <v>1004</v>
      </c>
      <c r="E648" s="27">
        <f t="shared" si="65"/>
        <v>45725</v>
      </c>
      <c r="F648" s="26" t="s">
        <v>39</v>
      </c>
      <c r="G648" s="26" t="str">
        <f t="shared" si="66"/>
        <v>Rodrigo Mello</v>
      </c>
      <c r="H648" s="26" t="s">
        <v>30</v>
      </c>
      <c r="I648" s="26" t="s">
        <v>152</v>
      </c>
      <c r="J648" s="28">
        <v>5</v>
      </c>
      <c r="K648" s="29">
        <v>4500</v>
      </c>
      <c r="L648" s="29">
        <v>747.75</v>
      </c>
      <c r="M648" s="30">
        <f t="shared" ref="M648:M711" si="68">(J648*K648)-L648</f>
        <v>21752.25</v>
      </c>
      <c r="N648" s="26" t="s">
        <v>69</v>
      </c>
      <c r="Q648" s="42" t="s">
        <v>1022</v>
      </c>
      <c r="R648" s="42" t="s">
        <v>41</v>
      </c>
      <c r="S648" s="57">
        <f t="shared" si="67"/>
        <v>45725</v>
      </c>
      <c r="T648" s="44" t="s">
        <v>39</v>
      </c>
      <c r="U648" s="43" t="s">
        <v>30</v>
      </c>
      <c r="V648" s="42" t="s">
        <v>152</v>
      </c>
      <c r="W648" s="45">
        <v>5</v>
      </c>
      <c r="X648" s="46">
        <v>4500</v>
      </c>
      <c r="Y648" s="46">
        <v>747.75</v>
      </c>
      <c r="Z648" s="47">
        <f t="shared" ref="Z648:Z711" si="69">(W648*X648)-Y648</f>
        <v>21752.25</v>
      </c>
      <c r="AA648" s="48" t="s">
        <v>69</v>
      </c>
      <c r="AB648"/>
    </row>
    <row r="649" spans="1:28" x14ac:dyDescent="0.25">
      <c r="A649" s="31" t="s">
        <v>1023</v>
      </c>
      <c r="B649" s="31" t="s">
        <v>41</v>
      </c>
      <c r="C649" s="32" t="str">
        <f t="shared" si="64"/>
        <v>João Pereira</v>
      </c>
      <c r="D649" s="38" t="s">
        <v>752</v>
      </c>
      <c r="E649" s="33">
        <f t="shared" si="65"/>
        <v>45850</v>
      </c>
      <c r="F649" s="32" t="s">
        <v>15</v>
      </c>
      <c r="G649" s="32" t="str">
        <f t="shared" si="66"/>
        <v>Larissa Dias</v>
      </c>
      <c r="H649" s="32" t="s">
        <v>16</v>
      </c>
      <c r="I649" s="32" t="s">
        <v>103</v>
      </c>
      <c r="J649" s="34">
        <v>1</v>
      </c>
      <c r="K649" s="35">
        <v>89</v>
      </c>
      <c r="L649" s="35">
        <v>0</v>
      </c>
      <c r="M649" s="36">
        <f t="shared" si="68"/>
        <v>89</v>
      </c>
      <c r="N649" s="32" t="s">
        <v>25</v>
      </c>
      <c r="Q649" s="49" t="s">
        <v>1023</v>
      </c>
      <c r="R649" s="49" t="s">
        <v>41</v>
      </c>
      <c r="S649" s="58">
        <f t="shared" si="67"/>
        <v>45850</v>
      </c>
      <c r="T649" s="51" t="s">
        <v>15</v>
      </c>
      <c r="U649" s="50" t="s">
        <v>16</v>
      </c>
      <c r="V649" s="52" t="s">
        <v>103</v>
      </c>
      <c r="W649" s="53">
        <v>1</v>
      </c>
      <c r="X649" s="54">
        <v>89</v>
      </c>
      <c r="Y649" s="54">
        <v>0</v>
      </c>
      <c r="Z649" s="55">
        <f t="shared" si="69"/>
        <v>89</v>
      </c>
      <c r="AA649" s="56" t="s">
        <v>25</v>
      </c>
      <c r="AB649"/>
    </row>
    <row r="650" spans="1:28" x14ac:dyDescent="0.25">
      <c r="A650" s="26" t="s">
        <v>1024</v>
      </c>
      <c r="B650" s="26" t="s">
        <v>27</v>
      </c>
      <c r="C650" s="26" t="str">
        <f t="shared" si="64"/>
        <v>Roberto Santos</v>
      </c>
      <c r="D650" s="37" t="s">
        <v>1021</v>
      </c>
      <c r="E650" s="27">
        <f t="shared" si="65"/>
        <v>45998</v>
      </c>
      <c r="F650" s="26" t="s">
        <v>29</v>
      </c>
      <c r="G650" s="26" t="str">
        <f t="shared" si="66"/>
        <v>Camila Rocha</v>
      </c>
      <c r="H650" s="26" t="s">
        <v>52</v>
      </c>
      <c r="I650" s="26" t="s">
        <v>75</v>
      </c>
      <c r="J650" s="28">
        <v>4</v>
      </c>
      <c r="K650" s="29">
        <v>249</v>
      </c>
      <c r="L650" s="29">
        <v>108.02</v>
      </c>
      <c r="M650" s="30">
        <f t="shared" si="68"/>
        <v>887.98</v>
      </c>
      <c r="N650" s="26" t="s">
        <v>25</v>
      </c>
      <c r="Q650" s="42" t="s">
        <v>1024</v>
      </c>
      <c r="R650" s="42" t="s">
        <v>27</v>
      </c>
      <c r="S650" s="57">
        <f t="shared" si="67"/>
        <v>45998</v>
      </c>
      <c r="T650" s="44" t="s">
        <v>29</v>
      </c>
      <c r="U650" s="43" t="s">
        <v>52</v>
      </c>
      <c r="V650" s="42" t="s">
        <v>75</v>
      </c>
      <c r="W650" s="45">
        <v>4</v>
      </c>
      <c r="X650" s="46">
        <v>249</v>
      </c>
      <c r="Y650" s="46">
        <v>108.02</v>
      </c>
      <c r="Z650" s="47">
        <f t="shared" si="69"/>
        <v>887.98</v>
      </c>
      <c r="AA650" s="48" t="s">
        <v>25</v>
      </c>
      <c r="AB650"/>
    </row>
    <row r="651" spans="1:28" x14ac:dyDescent="0.25">
      <c r="A651" s="31" t="s">
        <v>1025</v>
      </c>
      <c r="B651" s="31" t="s">
        <v>63</v>
      </c>
      <c r="C651" s="32" t="str">
        <f t="shared" si="64"/>
        <v>Marcos Rodrigues</v>
      </c>
      <c r="D651" s="38" t="s">
        <v>601</v>
      </c>
      <c r="E651" s="33">
        <f t="shared" si="65"/>
        <v>45831</v>
      </c>
      <c r="F651" s="32" t="s">
        <v>22</v>
      </c>
      <c r="G651" s="32" t="str">
        <f t="shared" si="66"/>
        <v>Amanda Costa</v>
      </c>
      <c r="H651" s="32" t="s">
        <v>16</v>
      </c>
      <c r="I651" s="32" t="s">
        <v>116</v>
      </c>
      <c r="J651" s="34">
        <v>2</v>
      </c>
      <c r="K651" s="35">
        <v>45</v>
      </c>
      <c r="L651" s="35">
        <v>0</v>
      </c>
      <c r="M651" s="36">
        <f t="shared" si="68"/>
        <v>90</v>
      </c>
      <c r="N651" s="32" t="s">
        <v>18</v>
      </c>
      <c r="Q651" s="49" t="s">
        <v>1025</v>
      </c>
      <c r="R651" s="49" t="s">
        <v>63</v>
      </c>
      <c r="S651" s="58">
        <f t="shared" si="67"/>
        <v>45831</v>
      </c>
      <c r="T651" s="51" t="s">
        <v>22</v>
      </c>
      <c r="U651" s="50" t="s">
        <v>16</v>
      </c>
      <c r="V651" s="52" t="s">
        <v>116</v>
      </c>
      <c r="W651" s="53">
        <v>2</v>
      </c>
      <c r="X651" s="54">
        <v>45</v>
      </c>
      <c r="Y651" s="54">
        <v>0</v>
      </c>
      <c r="Z651" s="55">
        <f t="shared" si="69"/>
        <v>90</v>
      </c>
      <c r="AA651" s="56" t="s">
        <v>18</v>
      </c>
      <c r="AB651"/>
    </row>
    <row r="652" spans="1:28" x14ac:dyDescent="0.25">
      <c r="A652" s="26" t="s">
        <v>1026</v>
      </c>
      <c r="B652" s="26" t="s">
        <v>13</v>
      </c>
      <c r="C652" s="26" t="str">
        <f t="shared" si="64"/>
        <v>Lucas Almeida</v>
      </c>
      <c r="D652" s="37" t="s">
        <v>1027</v>
      </c>
      <c r="E652" s="27">
        <f t="shared" si="65"/>
        <v>45808</v>
      </c>
      <c r="F652" s="26" t="s">
        <v>47</v>
      </c>
      <c r="G652" s="26" t="str">
        <f t="shared" si="66"/>
        <v>Bruno Martins</v>
      </c>
      <c r="H652" s="26" t="s">
        <v>16</v>
      </c>
      <c r="I652" s="26" t="s">
        <v>116</v>
      </c>
      <c r="J652" s="28">
        <v>1</v>
      </c>
      <c r="K652" s="29">
        <v>45</v>
      </c>
      <c r="L652" s="29">
        <v>1.99</v>
      </c>
      <c r="M652" s="30">
        <f t="shared" si="68"/>
        <v>43.01</v>
      </c>
      <c r="N652" s="26" t="s">
        <v>18</v>
      </c>
      <c r="Q652" s="42" t="s">
        <v>1026</v>
      </c>
      <c r="R652" s="42" t="s">
        <v>13</v>
      </c>
      <c r="S652" s="57">
        <f t="shared" si="67"/>
        <v>45808</v>
      </c>
      <c r="T652" s="44" t="s">
        <v>47</v>
      </c>
      <c r="U652" s="43" t="s">
        <v>16</v>
      </c>
      <c r="V652" s="42" t="s">
        <v>116</v>
      </c>
      <c r="W652" s="45">
        <v>1</v>
      </c>
      <c r="X652" s="46">
        <v>45</v>
      </c>
      <c r="Y652" s="46">
        <v>1.99</v>
      </c>
      <c r="Z652" s="47">
        <f t="shared" si="69"/>
        <v>43.01</v>
      </c>
      <c r="AA652" s="48" t="s">
        <v>18</v>
      </c>
      <c r="AB652"/>
    </row>
    <row r="653" spans="1:28" x14ac:dyDescent="0.25">
      <c r="A653" s="31" t="s">
        <v>1028</v>
      </c>
      <c r="B653" s="31" t="s">
        <v>13</v>
      </c>
      <c r="C653" s="32" t="str">
        <f t="shared" si="64"/>
        <v>Lucas Almeida</v>
      </c>
      <c r="D653" s="38" t="s">
        <v>1029</v>
      </c>
      <c r="E653" s="33">
        <f t="shared" si="65"/>
        <v>46006</v>
      </c>
      <c r="F653" s="32" t="s">
        <v>22</v>
      </c>
      <c r="G653" s="32" t="str">
        <f t="shared" si="66"/>
        <v>Amanda Costa</v>
      </c>
      <c r="H653" s="32" t="s">
        <v>23</v>
      </c>
      <c r="I653" s="32" t="s">
        <v>48</v>
      </c>
      <c r="J653" s="34">
        <v>4</v>
      </c>
      <c r="K653" s="35">
        <v>450</v>
      </c>
      <c r="L653" s="35">
        <v>0</v>
      </c>
      <c r="M653" s="36">
        <f t="shared" si="68"/>
        <v>1800</v>
      </c>
      <c r="N653" s="32" t="s">
        <v>32</v>
      </c>
      <c r="Q653" s="49" t="s">
        <v>1028</v>
      </c>
      <c r="R653" s="49" t="s">
        <v>13</v>
      </c>
      <c r="S653" s="58">
        <f t="shared" si="67"/>
        <v>46006</v>
      </c>
      <c r="T653" s="51" t="s">
        <v>22</v>
      </c>
      <c r="U653" s="50" t="s">
        <v>23</v>
      </c>
      <c r="V653" s="52" t="s">
        <v>48</v>
      </c>
      <c r="W653" s="53">
        <v>4</v>
      </c>
      <c r="X653" s="54">
        <v>450</v>
      </c>
      <c r="Y653" s="54">
        <v>0</v>
      </c>
      <c r="Z653" s="55">
        <f t="shared" si="69"/>
        <v>1800</v>
      </c>
      <c r="AA653" s="56" t="s">
        <v>32</v>
      </c>
      <c r="AB653"/>
    </row>
    <row r="654" spans="1:28" x14ac:dyDescent="0.25">
      <c r="A654" s="26" t="s">
        <v>1030</v>
      </c>
      <c r="B654" s="26" t="s">
        <v>34</v>
      </c>
      <c r="C654" s="26" t="str">
        <f t="shared" si="64"/>
        <v>Carlos Silva</v>
      </c>
      <c r="D654" s="37" t="s">
        <v>232</v>
      </c>
      <c r="E654" s="27">
        <f t="shared" si="65"/>
        <v>45700</v>
      </c>
      <c r="F654" s="26" t="s">
        <v>15</v>
      </c>
      <c r="G654" s="26" t="str">
        <f t="shared" si="66"/>
        <v>Larissa Dias</v>
      </c>
      <c r="H654" s="26" t="s">
        <v>30</v>
      </c>
      <c r="I654" s="26" t="s">
        <v>68</v>
      </c>
      <c r="J654" s="28">
        <v>5</v>
      </c>
      <c r="K654" s="29">
        <v>799</v>
      </c>
      <c r="L654" s="29">
        <v>306.52999999999997</v>
      </c>
      <c r="M654" s="30">
        <f t="shared" si="68"/>
        <v>3688.4700000000003</v>
      </c>
      <c r="N654" s="26" t="s">
        <v>32</v>
      </c>
      <c r="Q654" s="42" t="s">
        <v>1030</v>
      </c>
      <c r="R654" s="42" t="s">
        <v>34</v>
      </c>
      <c r="S654" s="57">
        <f t="shared" si="67"/>
        <v>45700</v>
      </c>
      <c r="T654" s="44" t="s">
        <v>15</v>
      </c>
      <c r="U654" s="43" t="s">
        <v>30</v>
      </c>
      <c r="V654" s="42" t="s">
        <v>68</v>
      </c>
      <c r="W654" s="45">
        <v>5</v>
      </c>
      <c r="X654" s="46">
        <v>799</v>
      </c>
      <c r="Y654" s="46">
        <v>306.52999999999997</v>
      </c>
      <c r="Z654" s="47">
        <f t="shared" si="69"/>
        <v>3688.4700000000003</v>
      </c>
      <c r="AA654" s="48" t="s">
        <v>32</v>
      </c>
      <c r="AB654"/>
    </row>
    <row r="655" spans="1:28" x14ac:dyDescent="0.25">
      <c r="A655" s="31" t="s">
        <v>1031</v>
      </c>
      <c r="B655" s="31" t="s">
        <v>95</v>
      </c>
      <c r="C655" s="32" t="str">
        <f t="shared" si="64"/>
        <v>Maria Oliveira</v>
      </c>
      <c r="D655" s="38" t="s">
        <v>535</v>
      </c>
      <c r="E655" s="33">
        <f t="shared" si="65"/>
        <v>45846</v>
      </c>
      <c r="F655" s="32" t="s">
        <v>39</v>
      </c>
      <c r="G655" s="32" t="str">
        <f t="shared" si="66"/>
        <v>Rodrigo Mello</v>
      </c>
      <c r="H655" s="32" t="s">
        <v>52</v>
      </c>
      <c r="I655" s="32" t="s">
        <v>99</v>
      </c>
      <c r="J655" s="34">
        <v>5</v>
      </c>
      <c r="K655" s="35">
        <v>79</v>
      </c>
      <c r="L655" s="35">
        <v>37.299999999999997</v>
      </c>
      <c r="M655" s="36">
        <f t="shared" si="68"/>
        <v>357.7</v>
      </c>
      <c r="N655" s="32" t="s">
        <v>89</v>
      </c>
      <c r="Q655" s="49" t="s">
        <v>1031</v>
      </c>
      <c r="R655" s="49" t="s">
        <v>95</v>
      </c>
      <c r="S655" s="58">
        <f t="shared" si="67"/>
        <v>45846</v>
      </c>
      <c r="T655" s="51" t="s">
        <v>39</v>
      </c>
      <c r="U655" s="50" t="s">
        <v>52</v>
      </c>
      <c r="V655" s="52" t="s">
        <v>99</v>
      </c>
      <c r="W655" s="53">
        <v>5</v>
      </c>
      <c r="X655" s="54">
        <v>79</v>
      </c>
      <c r="Y655" s="54">
        <v>37.299999999999997</v>
      </c>
      <c r="Z655" s="55">
        <f t="shared" si="69"/>
        <v>357.7</v>
      </c>
      <c r="AA655" s="56" t="s">
        <v>89</v>
      </c>
      <c r="AB655"/>
    </row>
    <row r="656" spans="1:28" x14ac:dyDescent="0.25">
      <c r="A656" s="26" t="s">
        <v>1032</v>
      </c>
      <c r="B656" s="26" t="s">
        <v>13</v>
      </c>
      <c r="C656" s="26" t="str">
        <f t="shared" si="64"/>
        <v>Lucas Almeida</v>
      </c>
      <c r="D656" s="37" t="s">
        <v>909</v>
      </c>
      <c r="E656" s="27">
        <f t="shared" si="65"/>
        <v>45864</v>
      </c>
      <c r="F656" s="26" t="s">
        <v>22</v>
      </c>
      <c r="G656" s="26" t="str">
        <f t="shared" si="66"/>
        <v>Amanda Costa</v>
      </c>
      <c r="H656" s="26" t="s">
        <v>52</v>
      </c>
      <c r="I656" s="26" t="s">
        <v>53</v>
      </c>
      <c r="J656" s="28">
        <v>2</v>
      </c>
      <c r="K656" s="29">
        <v>149</v>
      </c>
      <c r="L656" s="29">
        <v>42.01</v>
      </c>
      <c r="M656" s="30">
        <f t="shared" si="68"/>
        <v>255.99</v>
      </c>
      <c r="N656" s="26" t="s">
        <v>44</v>
      </c>
      <c r="Q656" s="42" t="s">
        <v>1032</v>
      </c>
      <c r="R656" s="42" t="s">
        <v>13</v>
      </c>
      <c r="S656" s="57">
        <f t="shared" si="67"/>
        <v>45864</v>
      </c>
      <c r="T656" s="44" t="s">
        <v>22</v>
      </c>
      <c r="U656" s="43" t="s">
        <v>52</v>
      </c>
      <c r="V656" s="42" t="s">
        <v>53</v>
      </c>
      <c r="W656" s="45">
        <v>2</v>
      </c>
      <c r="X656" s="46">
        <v>149</v>
      </c>
      <c r="Y656" s="46">
        <v>42.01</v>
      </c>
      <c r="Z656" s="47">
        <f t="shared" si="69"/>
        <v>255.99</v>
      </c>
      <c r="AA656" s="48" t="s">
        <v>44</v>
      </c>
      <c r="AB656"/>
    </row>
    <row r="657" spans="1:28" x14ac:dyDescent="0.25">
      <c r="A657" s="31" t="s">
        <v>1033</v>
      </c>
      <c r="B657" s="31" t="s">
        <v>101</v>
      </c>
      <c r="C657" s="32" t="str">
        <f t="shared" si="64"/>
        <v>Ana Souza</v>
      </c>
      <c r="D657" s="38" t="s">
        <v>1034</v>
      </c>
      <c r="E657" s="33">
        <f t="shared" si="65"/>
        <v>45799</v>
      </c>
      <c r="F657" s="32" t="s">
        <v>22</v>
      </c>
      <c r="G657" s="32" t="str">
        <f t="shared" si="66"/>
        <v>Amanda Costa</v>
      </c>
      <c r="H657" s="32" t="s">
        <v>23</v>
      </c>
      <c r="I657" s="32" t="s">
        <v>43</v>
      </c>
      <c r="J657" s="34">
        <v>3</v>
      </c>
      <c r="K657" s="35">
        <v>350</v>
      </c>
      <c r="L657" s="35">
        <v>0</v>
      </c>
      <c r="M657" s="36">
        <f t="shared" si="68"/>
        <v>1050</v>
      </c>
      <c r="N657" s="32" t="s">
        <v>44</v>
      </c>
      <c r="Q657" s="49" t="s">
        <v>1033</v>
      </c>
      <c r="R657" s="49" t="s">
        <v>101</v>
      </c>
      <c r="S657" s="58">
        <f t="shared" si="67"/>
        <v>45799</v>
      </c>
      <c r="T657" s="51" t="s">
        <v>22</v>
      </c>
      <c r="U657" s="50" t="s">
        <v>23</v>
      </c>
      <c r="V657" s="52" t="s">
        <v>43</v>
      </c>
      <c r="W657" s="53">
        <v>3</v>
      </c>
      <c r="X657" s="54">
        <v>350</v>
      </c>
      <c r="Y657" s="54">
        <v>0</v>
      </c>
      <c r="Z657" s="55">
        <f t="shared" si="69"/>
        <v>1050</v>
      </c>
      <c r="AA657" s="56" t="s">
        <v>44</v>
      </c>
      <c r="AB657"/>
    </row>
    <row r="658" spans="1:28" x14ac:dyDescent="0.25">
      <c r="A658" s="26" t="s">
        <v>1035</v>
      </c>
      <c r="B658" s="26" t="s">
        <v>55</v>
      </c>
      <c r="C658" s="26" t="str">
        <f t="shared" si="64"/>
        <v>Ricardo Carvalho</v>
      </c>
      <c r="D658" s="37" t="s">
        <v>632</v>
      </c>
      <c r="E658" s="27">
        <f t="shared" si="65"/>
        <v>46008</v>
      </c>
      <c r="F658" s="26" t="s">
        <v>15</v>
      </c>
      <c r="G658" s="26" t="str">
        <f t="shared" si="66"/>
        <v>Larissa Dias</v>
      </c>
      <c r="H658" s="26" t="s">
        <v>52</v>
      </c>
      <c r="I658" s="26" t="s">
        <v>75</v>
      </c>
      <c r="J658" s="28">
        <v>1</v>
      </c>
      <c r="K658" s="29">
        <v>249</v>
      </c>
      <c r="L658" s="29">
        <v>26.36</v>
      </c>
      <c r="M658" s="30">
        <f t="shared" si="68"/>
        <v>222.64</v>
      </c>
      <c r="N658" s="26" t="s">
        <v>18</v>
      </c>
      <c r="Q658" s="42" t="s">
        <v>1035</v>
      </c>
      <c r="R658" s="42" t="s">
        <v>55</v>
      </c>
      <c r="S658" s="57">
        <f t="shared" si="67"/>
        <v>46008</v>
      </c>
      <c r="T658" s="44" t="s">
        <v>15</v>
      </c>
      <c r="U658" s="43" t="s">
        <v>52</v>
      </c>
      <c r="V658" s="42" t="s">
        <v>75</v>
      </c>
      <c r="W658" s="45">
        <v>1</v>
      </c>
      <c r="X658" s="46">
        <v>249</v>
      </c>
      <c r="Y658" s="46">
        <v>26.36</v>
      </c>
      <c r="Z658" s="47">
        <f t="shared" si="69"/>
        <v>222.64</v>
      </c>
      <c r="AA658" s="48" t="s">
        <v>18</v>
      </c>
      <c r="AB658"/>
    </row>
    <row r="659" spans="1:28" x14ac:dyDescent="0.25">
      <c r="A659" s="31" t="s">
        <v>1036</v>
      </c>
      <c r="B659" s="31" t="s">
        <v>34</v>
      </c>
      <c r="C659" s="32" t="str">
        <f t="shared" si="64"/>
        <v>Carlos Silva</v>
      </c>
      <c r="D659" s="38" t="s">
        <v>1037</v>
      </c>
      <c r="E659" s="33">
        <f t="shared" si="65"/>
        <v>45940</v>
      </c>
      <c r="F659" s="32" t="s">
        <v>29</v>
      </c>
      <c r="G659" s="32" t="str">
        <f t="shared" si="66"/>
        <v>Camila Rocha</v>
      </c>
      <c r="H659" s="32" t="s">
        <v>30</v>
      </c>
      <c r="I659" s="32" t="s">
        <v>106</v>
      </c>
      <c r="J659" s="34">
        <v>1</v>
      </c>
      <c r="K659" s="35">
        <v>299</v>
      </c>
      <c r="L659" s="35">
        <v>19.649999999999999</v>
      </c>
      <c r="M659" s="36">
        <f t="shared" si="68"/>
        <v>279.35000000000002</v>
      </c>
      <c r="N659" s="32" t="s">
        <v>18</v>
      </c>
      <c r="Q659" s="49" t="s">
        <v>1036</v>
      </c>
      <c r="R659" s="49" t="s">
        <v>34</v>
      </c>
      <c r="S659" s="58">
        <f t="shared" si="67"/>
        <v>45940</v>
      </c>
      <c r="T659" s="51" t="s">
        <v>29</v>
      </c>
      <c r="U659" s="50" t="s">
        <v>30</v>
      </c>
      <c r="V659" s="52" t="s">
        <v>106</v>
      </c>
      <c r="W659" s="53">
        <v>1</v>
      </c>
      <c r="X659" s="54">
        <v>299</v>
      </c>
      <c r="Y659" s="54">
        <v>19.649999999999999</v>
      </c>
      <c r="Z659" s="55">
        <f t="shared" si="69"/>
        <v>279.35000000000002</v>
      </c>
      <c r="AA659" s="56" t="s">
        <v>18</v>
      </c>
      <c r="AB659"/>
    </row>
    <row r="660" spans="1:28" x14ac:dyDescent="0.25">
      <c r="A660" s="26" t="s">
        <v>1038</v>
      </c>
      <c r="B660" s="26" t="s">
        <v>34</v>
      </c>
      <c r="C660" s="26" t="str">
        <f t="shared" si="64"/>
        <v>Carlos Silva</v>
      </c>
      <c r="D660" s="37" t="s">
        <v>700</v>
      </c>
      <c r="E660" s="27">
        <f t="shared" si="65"/>
        <v>46013</v>
      </c>
      <c r="F660" s="26" t="s">
        <v>47</v>
      </c>
      <c r="G660" s="26" t="str">
        <f t="shared" si="66"/>
        <v>Bruno Martins</v>
      </c>
      <c r="H660" s="26" t="s">
        <v>30</v>
      </c>
      <c r="I660" s="26" t="s">
        <v>152</v>
      </c>
      <c r="J660" s="28">
        <v>3</v>
      </c>
      <c r="K660" s="29">
        <v>4500</v>
      </c>
      <c r="L660" s="29">
        <v>570.78</v>
      </c>
      <c r="M660" s="30">
        <f t="shared" si="68"/>
        <v>12929.22</v>
      </c>
      <c r="N660" s="26" t="s">
        <v>18</v>
      </c>
      <c r="Q660" s="42" t="s">
        <v>1038</v>
      </c>
      <c r="R660" s="42" t="s">
        <v>34</v>
      </c>
      <c r="S660" s="57">
        <f t="shared" si="67"/>
        <v>46013</v>
      </c>
      <c r="T660" s="44" t="s">
        <v>47</v>
      </c>
      <c r="U660" s="43" t="s">
        <v>30</v>
      </c>
      <c r="V660" s="42" t="s">
        <v>152</v>
      </c>
      <c r="W660" s="45">
        <v>3</v>
      </c>
      <c r="X660" s="46">
        <v>4500</v>
      </c>
      <c r="Y660" s="46">
        <v>570.78</v>
      </c>
      <c r="Z660" s="47">
        <f t="shared" si="69"/>
        <v>12929.22</v>
      </c>
      <c r="AA660" s="48" t="s">
        <v>18</v>
      </c>
      <c r="AB660"/>
    </row>
    <row r="661" spans="1:28" x14ac:dyDescent="0.25">
      <c r="A661" s="31" t="s">
        <v>1039</v>
      </c>
      <c r="B661" s="31" t="s">
        <v>34</v>
      </c>
      <c r="C661" s="32" t="str">
        <f t="shared" si="64"/>
        <v>Carlos Silva</v>
      </c>
      <c r="D661" s="38" t="s">
        <v>186</v>
      </c>
      <c r="E661" s="33">
        <f t="shared" si="65"/>
        <v>45792</v>
      </c>
      <c r="F661" s="32" t="s">
        <v>15</v>
      </c>
      <c r="G661" s="32" t="str">
        <f t="shared" si="66"/>
        <v>Larissa Dias</v>
      </c>
      <c r="H661" s="32" t="s">
        <v>16</v>
      </c>
      <c r="I661" s="32" t="s">
        <v>78</v>
      </c>
      <c r="J661" s="34">
        <v>2</v>
      </c>
      <c r="K661" s="35">
        <v>59</v>
      </c>
      <c r="L661" s="35">
        <v>16.559999999999999</v>
      </c>
      <c r="M661" s="36">
        <f t="shared" si="68"/>
        <v>101.44</v>
      </c>
      <c r="N661" s="32" t="s">
        <v>18</v>
      </c>
      <c r="Q661" s="49" t="s">
        <v>1039</v>
      </c>
      <c r="R661" s="49" t="s">
        <v>34</v>
      </c>
      <c r="S661" s="58">
        <f t="shared" si="67"/>
        <v>45792</v>
      </c>
      <c r="T661" s="51" t="s">
        <v>15</v>
      </c>
      <c r="U661" s="50" t="s">
        <v>16</v>
      </c>
      <c r="V661" s="52" t="s">
        <v>78</v>
      </c>
      <c r="W661" s="53">
        <v>2</v>
      </c>
      <c r="X661" s="54">
        <v>59</v>
      </c>
      <c r="Y661" s="54">
        <v>16.559999999999999</v>
      </c>
      <c r="Z661" s="55">
        <f t="shared" si="69"/>
        <v>101.44</v>
      </c>
      <c r="AA661" s="56" t="s">
        <v>18</v>
      </c>
      <c r="AB661"/>
    </row>
    <row r="662" spans="1:28" x14ac:dyDescent="0.25">
      <c r="A662" s="26" t="s">
        <v>1040</v>
      </c>
      <c r="B662" s="26" t="s">
        <v>13</v>
      </c>
      <c r="C662" s="26" t="str">
        <f t="shared" si="64"/>
        <v>Lucas Almeida</v>
      </c>
      <c r="D662" s="37" t="s">
        <v>331</v>
      </c>
      <c r="E662" s="27">
        <f t="shared" si="65"/>
        <v>45854</v>
      </c>
      <c r="F662" s="26" t="s">
        <v>29</v>
      </c>
      <c r="G662" s="26" t="str">
        <f t="shared" si="66"/>
        <v>Camila Rocha</v>
      </c>
      <c r="H662" s="26" t="s">
        <v>30</v>
      </c>
      <c r="I662" s="26" t="s">
        <v>68</v>
      </c>
      <c r="J662" s="28">
        <v>3</v>
      </c>
      <c r="K662" s="29">
        <v>799</v>
      </c>
      <c r="L662" s="29">
        <v>28.41</v>
      </c>
      <c r="M662" s="30">
        <f t="shared" si="68"/>
        <v>2368.59</v>
      </c>
      <c r="N662" s="26" t="s">
        <v>18</v>
      </c>
      <c r="Q662" s="42" t="s">
        <v>1040</v>
      </c>
      <c r="R662" s="42" t="s">
        <v>13</v>
      </c>
      <c r="S662" s="57">
        <f t="shared" si="67"/>
        <v>45854</v>
      </c>
      <c r="T662" s="44" t="s">
        <v>29</v>
      </c>
      <c r="U662" s="43" t="s">
        <v>30</v>
      </c>
      <c r="V662" s="42" t="s">
        <v>68</v>
      </c>
      <c r="W662" s="45">
        <v>3</v>
      </c>
      <c r="X662" s="46">
        <v>799</v>
      </c>
      <c r="Y662" s="46">
        <v>28.41</v>
      </c>
      <c r="Z662" s="47">
        <f t="shared" si="69"/>
        <v>2368.59</v>
      </c>
      <c r="AA662" s="48" t="s">
        <v>18</v>
      </c>
      <c r="AB662"/>
    </row>
    <row r="663" spans="1:28" x14ac:dyDescent="0.25">
      <c r="A663" s="31" t="s">
        <v>1041</v>
      </c>
      <c r="B663" s="31" t="s">
        <v>20</v>
      </c>
      <c r="C663" s="32" t="str">
        <f t="shared" si="64"/>
        <v>Beatriz Ribeiro</v>
      </c>
      <c r="D663" s="38" t="s">
        <v>748</v>
      </c>
      <c r="E663" s="33">
        <f t="shared" si="65"/>
        <v>45900</v>
      </c>
      <c r="F663" s="32" t="s">
        <v>39</v>
      </c>
      <c r="G663" s="32" t="str">
        <f t="shared" si="66"/>
        <v>Rodrigo Mello</v>
      </c>
      <c r="H663" s="32" t="s">
        <v>52</v>
      </c>
      <c r="I663" s="32" t="s">
        <v>99</v>
      </c>
      <c r="J663" s="34">
        <v>1</v>
      </c>
      <c r="K663" s="35">
        <v>79</v>
      </c>
      <c r="L663" s="35">
        <v>0.65</v>
      </c>
      <c r="M663" s="36">
        <f t="shared" si="68"/>
        <v>78.349999999999994</v>
      </c>
      <c r="N663" s="32" t="s">
        <v>25</v>
      </c>
      <c r="Q663" s="49" t="s">
        <v>1041</v>
      </c>
      <c r="R663" s="49" t="s">
        <v>20</v>
      </c>
      <c r="S663" s="58">
        <f t="shared" si="67"/>
        <v>45900</v>
      </c>
      <c r="T663" s="51" t="s">
        <v>39</v>
      </c>
      <c r="U663" s="50" t="s">
        <v>52</v>
      </c>
      <c r="V663" s="52" t="s">
        <v>99</v>
      </c>
      <c r="W663" s="53">
        <v>1</v>
      </c>
      <c r="X663" s="54">
        <v>79</v>
      </c>
      <c r="Y663" s="54">
        <v>0.65</v>
      </c>
      <c r="Z663" s="55">
        <f t="shared" si="69"/>
        <v>78.349999999999994</v>
      </c>
      <c r="AA663" s="56" t="s">
        <v>25</v>
      </c>
      <c r="AB663"/>
    </row>
    <row r="664" spans="1:28" x14ac:dyDescent="0.25">
      <c r="A664" s="26" t="s">
        <v>1042</v>
      </c>
      <c r="B664" s="26" t="s">
        <v>134</v>
      </c>
      <c r="C664" s="26" t="str">
        <f t="shared" si="64"/>
        <v>Ana Souza</v>
      </c>
      <c r="D664" s="37" t="s">
        <v>750</v>
      </c>
      <c r="E664" s="27">
        <f t="shared" si="65"/>
        <v>45755</v>
      </c>
      <c r="F664" s="26" t="s">
        <v>22</v>
      </c>
      <c r="G664" s="26" t="str">
        <f t="shared" si="66"/>
        <v>Amanda Costa</v>
      </c>
      <c r="H664" s="26" t="s">
        <v>52</v>
      </c>
      <c r="I664" s="26" t="s">
        <v>53</v>
      </c>
      <c r="J664" s="28">
        <v>5</v>
      </c>
      <c r="K664" s="29">
        <v>149</v>
      </c>
      <c r="L664" s="29">
        <v>0</v>
      </c>
      <c r="M664" s="30">
        <f t="shared" si="68"/>
        <v>745</v>
      </c>
      <c r="N664" s="26" t="s">
        <v>69</v>
      </c>
      <c r="Q664" s="42" t="s">
        <v>1042</v>
      </c>
      <c r="R664" s="42" t="s">
        <v>101</v>
      </c>
      <c r="S664" s="57">
        <f t="shared" si="67"/>
        <v>45755</v>
      </c>
      <c r="T664" s="44" t="s">
        <v>22</v>
      </c>
      <c r="U664" s="43" t="s">
        <v>52</v>
      </c>
      <c r="V664" s="42" t="s">
        <v>53</v>
      </c>
      <c r="W664" s="45">
        <v>5</v>
      </c>
      <c r="X664" s="46">
        <v>149</v>
      </c>
      <c r="Y664" s="46">
        <v>0</v>
      </c>
      <c r="Z664" s="47">
        <f t="shared" si="69"/>
        <v>745</v>
      </c>
      <c r="AA664" s="48" t="s">
        <v>69</v>
      </c>
      <c r="AB664"/>
    </row>
    <row r="665" spans="1:28" x14ac:dyDescent="0.25">
      <c r="A665" s="31" t="s">
        <v>1043</v>
      </c>
      <c r="B665" s="31" t="s">
        <v>101</v>
      </c>
      <c r="C665" s="32" t="str">
        <f t="shared" si="64"/>
        <v>Ana Souza</v>
      </c>
      <c r="D665" s="38" t="s">
        <v>931</v>
      </c>
      <c r="E665" s="33">
        <f t="shared" si="65"/>
        <v>45834</v>
      </c>
      <c r="F665" s="32" t="s">
        <v>29</v>
      </c>
      <c r="G665" s="32" t="str">
        <f t="shared" si="66"/>
        <v>Camila Rocha</v>
      </c>
      <c r="H665" s="32" t="s">
        <v>52</v>
      </c>
      <c r="I665" s="32" t="s">
        <v>75</v>
      </c>
      <c r="J665" s="34">
        <v>3</v>
      </c>
      <c r="K665" s="35">
        <v>249</v>
      </c>
      <c r="L665" s="35">
        <v>0</v>
      </c>
      <c r="M665" s="36">
        <f t="shared" si="68"/>
        <v>747</v>
      </c>
      <c r="N665" s="32" t="s">
        <v>18</v>
      </c>
      <c r="Q665" s="49" t="s">
        <v>1043</v>
      </c>
      <c r="R665" s="49" t="s">
        <v>101</v>
      </c>
      <c r="S665" s="58">
        <f t="shared" si="67"/>
        <v>45834</v>
      </c>
      <c r="T665" s="51" t="s">
        <v>29</v>
      </c>
      <c r="U665" s="50" t="s">
        <v>52</v>
      </c>
      <c r="V665" s="52" t="s">
        <v>75</v>
      </c>
      <c r="W665" s="53">
        <v>3</v>
      </c>
      <c r="X665" s="54">
        <v>249</v>
      </c>
      <c r="Y665" s="54">
        <v>0</v>
      </c>
      <c r="Z665" s="55">
        <f t="shared" si="69"/>
        <v>747</v>
      </c>
      <c r="AA665" s="56" t="s">
        <v>18</v>
      </c>
      <c r="AB665"/>
    </row>
    <row r="666" spans="1:28" x14ac:dyDescent="0.25">
      <c r="A666" s="26" t="s">
        <v>1044</v>
      </c>
      <c r="B666" s="26" t="s">
        <v>41</v>
      </c>
      <c r="C666" s="26" t="str">
        <f t="shared" si="64"/>
        <v>João Pereira</v>
      </c>
      <c r="D666" s="37" t="s">
        <v>768</v>
      </c>
      <c r="E666" s="27">
        <f t="shared" si="65"/>
        <v>45855</v>
      </c>
      <c r="F666" s="26" t="s">
        <v>15</v>
      </c>
      <c r="G666" s="26" t="str">
        <f t="shared" si="66"/>
        <v>Larissa Dias</v>
      </c>
      <c r="H666" s="26" t="s">
        <v>30</v>
      </c>
      <c r="I666" s="26" t="s">
        <v>31</v>
      </c>
      <c r="J666" s="28">
        <v>4</v>
      </c>
      <c r="K666" s="29">
        <v>2500</v>
      </c>
      <c r="L666" s="29">
        <v>1148.6300000000001</v>
      </c>
      <c r="M666" s="30">
        <f t="shared" si="68"/>
        <v>8851.369999999999</v>
      </c>
      <c r="N666" s="26" t="s">
        <v>25</v>
      </c>
      <c r="Q666" s="42" t="s">
        <v>1044</v>
      </c>
      <c r="R666" s="42" t="s">
        <v>41</v>
      </c>
      <c r="S666" s="57">
        <f t="shared" si="67"/>
        <v>45855</v>
      </c>
      <c r="T666" s="44" t="s">
        <v>15</v>
      </c>
      <c r="U666" s="43" t="s">
        <v>30</v>
      </c>
      <c r="V666" s="42" t="s">
        <v>31</v>
      </c>
      <c r="W666" s="45">
        <v>4</v>
      </c>
      <c r="X666" s="46">
        <v>2500</v>
      </c>
      <c r="Y666" s="46">
        <v>1148.6300000000001</v>
      </c>
      <c r="Z666" s="47">
        <f t="shared" si="69"/>
        <v>8851.369999999999</v>
      </c>
      <c r="AA666" s="48" t="s">
        <v>25</v>
      </c>
      <c r="AB666"/>
    </row>
    <row r="667" spans="1:28" x14ac:dyDescent="0.25">
      <c r="A667" s="31" t="s">
        <v>1045</v>
      </c>
      <c r="B667" s="31" t="s">
        <v>13</v>
      </c>
      <c r="C667" s="32" t="str">
        <f t="shared" si="64"/>
        <v>Lucas Almeida</v>
      </c>
      <c r="D667" s="38" t="s">
        <v>860</v>
      </c>
      <c r="E667" s="33">
        <f t="shared" si="65"/>
        <v>45672</v>
      </c>
      <c r="F667" s="32" t="s">
        <v>39</v>
      </c>
      <c r="G667" s="32" t="str">
        <f t="shared" si="66"/>
        <v>Rodrigo Mello</v>
      </c>
      <c r="H667" s="32" t="s">
        <v>16</v>
      </c>
      <c r="I667" s="32" t="s">
        <v>17</v>
      </c>
      <c r="J667" s="34">
        <v>3</v>
      </c>
      <c r="K667" s="35">
        <v>39</v>
      </c>
      <c r="L667" s="35">
        <v>0.95</v>
      </c>
      <c r="M667" s="36">
        <f t="shared" si="68"/>
        <v>116.05</v>
      </c>
      <c r="N667" s="32" t="s">
        <v>44</v>
      </c>
      <c r="Q667" s="49" t="s">
        <v>1045</v>
      </c>
      <c r="R667" s="49" t="s">
        <v>13</v>
      </c>
      <c r="S667" s="58">
        <f t="shared" si="67"/>
        <v>45672</v>
      </c>
      <c r="T667" s="51" t="s">
        <v>39</v>
      </c>
      <c r="U667" s="50" t="s">
        <v>16</v>
      </c>
      <c r="V667" s="52" t="s">
        <v>17</v>
      </c>
      <c r="W667" s="53">
        <v>3</v>
      </c>
      <c r="X667" s="54">
        <v>39</v>
      </c>
      <c r="Y667" s="54">
        <v>0.95</v>
      </c>
      <c r="Z667" s="55">
        <f t="shared" si="69"/>
        <v>116.05</v>
      </c>
      <c r="AA667" s="56" t="s">
        <v>44</v>
      </c>
      <c r="AB667"/>
    </row>
    <row r="668" spans="1:28" x14ac:dyDescent="0.25">
      <c r="A668" s="26" t="s">
        <v>1046</v>
      </c>
      <c r="B668" s="26" t="s">
        <v>110</v>
      </c>
      <c r="C668" s="26" t="str">
        <f t="shared" si="64"/>
        <v>Fernanda Lima</v>
      </c>
      <c r="D668" s="37" t="s">
        <v>309</v>
      </c>
      <c r="E668" s="27">
        <f t="shared" si="65"/>
        <v>45868</v>
      </c>
      <c r="F668" s="26" t="s">
        <v>47</v>
      </c>
      <c r="G668" s="26" t="str">
        <f t="shared" si="66"/>
        <v>Bruno Martins</v>
      </c>
      <c r="H668" s="26" t="s">
        <v>23</v>
      </c>
      <c r="I668" s="26" t="s">
        <v>24</v>
      </c>
      <c r="J668" s="28">
        <v>1</v>
      </c>
      <c r="K668" s="29">
        <v>180</v>
      </c>
      <c r="L668" s="29">
        <v>0</v>
      </c>
      <c r="M668" s="30">
        <f t="shared" si="68"/>
        <v>180</v>
      </c>
      <c r="N668" s="26" t="s">
        <v>18</v>
      </c>
      <c r="Q668" s="42" t="s">
        <v>1046</v>
      </c>
      <c r="R668" s="42" t="s">
        <v>110</v>
      </c>
      <c r="S668" s="57">
        <f t="shared" si="67"/>
        <v>45868</v>
      </c>
      <c r="T668" s="44" t="s">
        <v>47</v>
      </c>
      <c r="U668" s="43" t="s">
        <v>23</v>
      </c>
      <c r="V668" s="42" t="s">
        <v>24</v>
      </c>
      <c r="W668" s="45">
        <v>1</v>
      </c>
      <c r="X668" s="46">
        <v>180</v>
      </c>
      <c r="Y668" s="46">
        <v>0</v>
      </c>
      <c r="Z668" s="47">
        <f t="shared" si="69"/>
        <v>180</v>
      </c>
      <c r="AA668" s="48" t="s">
        <v>18</v>
      </c>
      <c r="AB668"/>
    </row>
    <row r="669" spans="1:28" x14ac:dyDescent="0.25">
      <c r="A669" s="31" t="s">
        <v>1047</v>
      </c>
      <c r="B669" s="31" t="s">
        <v>71</v>
      </c>
      <c r="C669" s="32" t="str">
        <f t="shared" si="64"/>
        <v>Juliana Costa</v>
      </c>
      <c r="D669" s="38" t="s">
        <v>1037</v>
      </c>
      <c r="E669" s="33">
        <f t="shared" si="65"/>
        <v>45940</v>
      </c>
      <c r="F669" s="32" t="s">
        <v>22</v>
      </c>
      <c r="G669" s="32" t="str">
        <f t="shared" si="66"/>
        <v>Amanda Costa</v>
      </c>
      <c r="H669" s="32" t="s">
        <v>16</v>
      </c>
      <c r="I669" s="32" t="s">
        <v>17</v>
      </c>
      <c r="J669" s="34">
        <v>4</v>
      </c>
      <c r="K669" s="35">
        <v>39</v>
      </c>
      <c r="L669" s="35">
        <v>0</v>
      </c>
      <c r="M669" s="36">
        <f t="shared" si="68"/>
        <v>156</v>
      </c>
      <c r="N669" s="32" t="s">
        <v>44</v>
      </c>
      <c r="Q669" s="49" t="s">
        <v>1047</v>
      </c>
      <c r="R669" s="49" t="s">
        <v>71</v>
      </c>
      <c r="S669" s="58">
        <f t="shared" si="67"/>
        <v>45940</v>
      </c>
      <c r="T669" s="51" t="s">
        <v>22</v>
      </c>
      <c r="U669" s="50" t="s">
        <v>16</v>
      </c>
      <c r="V669" s="52" t="s">
        <v>17</v>
      </c>
      <c r="W669" s="53">
        <v>4</v>
      </c>
      <c r="X669" s="54">
        <v>39</v>
      </c>
      <c r="Y669" s="54">
        <v>0</v>
      </c>
      <c r="Z669" s="55">
        <f t="shared" si="69"/>
        <v>156</v>
      </c>
      <c r="AA669" s="56" t="s">
        <v>44</v>
      </c>
      <c r="AB669"/>
    </row>
    <row r="670" spans="1:28" x14ac:dyDescent="0.25">
      <c r="A670" s="26" t="s">
        <v>1048</v>
      </c>
      <c r="B670" s="26" t="s">
        <v>34</v>
      </c>
      <c r="C670" s="26" t="str">
        <f t="shared" si="64"/>
        <v>Carlos Silva</v>
      </c>
      <c r="D670" s="37" t="s">
        <v>211</v>
      </c>
      <c r="E670" s="27">
        <f t="shared" si="65"/>
        <v>45919</v>
      </c>
      <c r="F670" s="26" t="s">
        <v>15</v>
      </c>
      <c r="G670" s="26" t="str">
        <f t="shared" si="66"/>
        <v>Larissa Dias</v>
      </c>
      <c r="H670" s="26" t="s">
        <v>52</v>
      </c>
      <c r="I670" s="26" t="s">
        <v>75</v>
      </c>
      <c r="J670" s="28">
        <v>5</v>
      </c>
      <c r="K670" s="29">
        <v>249</v>
      </c>
      <c r="L670" s="29">
        <v>0</v>
      </c>
      <c r="M670" s="30">
        <f t="shared" si="68"/>
        <v>1245</v>
      </c>
      <c r="N670" s="26" t="s">
        <v>65</v>
      </c>
      <c r="Q670" s="42" t="s">
        <v>1048</v>
      </c>
      <c r="R670" s="42" t="s">
        <v>34</v>
      </c>
      <c r="S670" s="57">
        <f t="shared" si="67"/>
        <v>45919</v>
      </c>
      <c r="T670" s="44" t="s">
        <v>15</v>
      </c>
      <c r="U670" s="43" t="s">
        <v>52</v>
      </c>
      <c r="V670" s="42" t="s">
        <v>75</v>
      </c>
      <c r="W670" s="45">
        <v>5</v>
      </c>
      <c r="X670" s="46">
        <v>249</v>
      </c>
      <c r="Y670" s="46">
        <v>0</v>
      </c>
      <c r="Z670" s="47">
        <f t="shared" si="69"/>
        <v>1245</v>
      </c>
      <c r="AA670" s="48" t="s">
        <v>65</v>
      </c>
      <c r="AB670"/>
    </row>
    <row r="671" spans="1:28" x14ac:dyDescent="0.25">
      <c r="A671" s="31" t="s">
        <v>1049</v>
      </c>
      <c r="B671" s="31" t="s">
        <v>71</v>
      </c>
      <c r="C671" s="32" t="str">
        <f t="shared" si="64"/>
        <v>Juliana Costa</v>
      </c>
      <c r="D671" s="38" t="s">
        <v>1050</v>
      </c>
      <c r="E671" s="33">
        <f t="shared" si="65"/>
        <v>45681</v>
      </c>
      <c r="F671" s="32" t="s">
        <v>29</v>
      </c>
      <c r="G671" s="32" t="str">
        <f t="shared" si="66"/>
        <v>Camila Rocha</v>
      </c>
      <c r="H671" s="32" t="s">
        <v>52</v>
      </c>
      <c r="I671" s="32" t="s">
        <v>75</v>
      </c>
      <c r="J671" s="34">
        <v>3</v>
      </c>
      <c r="K671" s="35">
        <v>249</v>
      </c>
      <c r="L671" s="35">
        <v>52.26</v>
      </c>
      <c r="M671" s="36">
        <f t="shared" si="68"/>
        <v>694.74</v>
      </c>
      <c r="N671" s="32" t="s">
        <v>18</v>
      </c>
      <c r="Q671" s="49" t="s">
        <v>1049</v>
      </c>
      <c r="R671" s="49" t="s">
        <v>71</v>
      </c>
      <c r="S671" s="58">
        <f t="shared" si="67"/>
        <v>45681</v>
      </c>
      <c r="T671" s="51" t="s">
        <v>29</v>
      </c>
      <c r="U671" s="50" t="s">
        <v>52</v>
      </c>
      <c r="V671" s="52" t="s">
        <v>75</v>
      </c>
      <c r="W671" s="53">
        <v>3</v>
      </c>
      <c r="X671" s="54">
        <v>249</v>
      </c>
      <c r="Y671" s="54">
        <v>52.26</v>
      </c>
      <c r="Z671" s="55">
        <f t="shared" si="69"/>
        <v>694.74</v>
      </c>
      <c r="AA671" s="56" t="s">
        <v>18</v>
      </c>
      <c r="AB671"/>
    </row>
    <row r="672" spans="1:28" x14ac:dyDescent="0.25">
      <c r="A672" s="26" t="s">
        <v>1051</v>
      </c>
      <c r="B672" s="26" t="s">
        <v>37</v>
      </c>
      <c r="C672" s="26" t="str">
        <f t="shared" si="64"/>
        <v>Patricia Gomes</v>
      </c>
      <c r="D672" s="37" t="s">
        <v>390</v>
      </c>
      <c r="E672" s="27">
        <f t="shared" si="65"/>
        <v>45670</v>
      </c>
      <c r="F672" s="26" t="s">
        <v>22</v>
      </c>
      <c r="G672" s="26" t="str">
        <f t="shared" si="66"/>
        <v>Amanda Costa</v>
      </c>
      <c r="H672" s="26" t="s">
        <v>30</v>
      </c>
      <c r="I672" s="26" t="s">
        <v>152</v>
      </c>
      <c r="J672" s="28">
        <v>3</v>
      </c>
      <c r="K672" s="29">
        <v>4500</v>
      </c>
      <c r="L672" s="29">
        <v>0</v>
      </c>
      <c r="M672" s="30">
        <f t="shared" si="68"/>
        <v>13500</v>
      </c>
      <c r="N672" s="26" t="s">
        <v>89</v>
      </c>
      <c r="Q672" s="42" t="s">
        <v>1051</v>
      </c>
      <c r="R672" s="42" t="s">
        <v>37</v>
      </c>
      <c r="S672" s="57">
        <f t="shared" si="67"/>
        <v>45670</v>
      </c>
      <c r="T672" s="44" t="s">
        <v>22</v>
      </c>
      <c r="U672" s="43" t="s">
        <v>30</v>
      </c>
      <c r="V672" s="42" t="s">
        <v>152</v>
      </c>
      <c r="W672" s="45">
        <v>3</v>
      </c>
      <c r="X672" s="46">
        <v>4500</v>
      </c>
      <c r="Y672" s="46">
        <v>0</v>
      </c>
      <c r="Z672" s="47">
        <f t="shared" si="69"/>
        <v>13500</v>
      </c>
      <c r="AA672" s="48" t="s">
        <v>89</v>
      </c>
      <c r="AB672"/>
    </row>
    <row r="673" spans="1:28" x14ac:dyDescent="0.25">
      <c r="A673" s="31" t="s">
        <v>1052</v>
      </c>
      <c r="B673" s="31" t="s">
        <v>27</v>
      </c>
      <c r="C673" s="32" t="str">
        <f t="shared" si="64"/>
        <v>Roberto Santos</v>
      </c>
      <c r="D673" s="38" t="s">
        <v>344</v>
      </c>
      <c r="E673" s="33">
        <f t="shared" si="65"/>
        <v>45801</v>
      </c>
      <c r="F673" s="32" t="s">
        <v>22</v>
      </c>
      <c r="G673" s="32" t="str">
        <f t="shared" si="66"/>
        <v>Amanda Costa</v>
      </c>
      <c r="H673" s="32" t="s">
        <v>52</v>
      </c>
      <c r="I673" s="32" t="s">
        <v>61</v>
      </c>
      <c r="J673" s="34">
        <v>5</v>
      </c>
      <c r="K673" s="35">
        <v>199</v>
      </c>
      <c r="L673" s="35">
        <v>68.03</v>
      </c>
      <c r="M673" s="36">
        <f t="shared" si="68"/>
        <v>926.97</v>
      </c>
      <c r="N673" s="32" t="s">
        <v>25</v>
      </c>
      <c r="Q673" s="49" t="s">
        <v>1052</v>
      </c>
      <c r="R673" s="49" t="s">
        <v>27</v>
      </c>
      <c r="S673" s="58">
        <f t="shared" si="67"/>
        <v>45801</v>
      </c>
      <c r="T673" s="51" t="s">
        <v>22</v>
      </c>
      <c r="U673" s="50" t="s">
        <v>52</v>
      </c>
      <c r="V673" s="52" t="s">
        <v>61</v>
      </c>
      <c r="W673" s="53">
        <v>5</v>
      </c>
      <c r="X673" s="54">
        <v>199</v>
      </c>
      <c r="Y673" s="54">
        <v>68.03</v>
      </c>
      <c r="Z673" s="55">
        <f t="shared" si="69"/>
        <v>926.97</v>
      </c>
      <c r="AA673" s="56" t="s">
        <v>25</v>
      </c>
      <c r="AB673"/>
    </row>
    <row r="674" spans="1:28" x14ac:dyDescent="0.25">
      <c r="A674" s="26" t="s">
        <v>1053</v>
      </c>
      <c r="B674" s="26" t="s">
        <v>41</v>
      </c>
      <c r="C674" s="26" t="str">
        <f t="shared" si="64"/>
        <v>João Pereira</v>
      </c>
      <c r="D674" s="37" t="s">
        <v>1054</v>
      </c>
      <c r="E674" s="27">
        <f t="shared" si="65"/>
        <v>46040</v>
      </c>
      <c r="F674" s="26" t="s">
        <v>22</v>
      </c>
      <c r="G674" s="26" t="str">
        <f t="shared" si="66"/>
        <v>Amanda Costa</v>
      </c>
      <c r="H674" s="26" t="s">
        <v>16</v>
      </c>
      <c r="I674" s="26" t="s">
        <v>103</v>
      </c>
      <c r="J674" s="28">
        <v>4</v>
      </c>
      <c r="K674" s="29">
        <v>89</v>
      </c>
      <c r="L674" s="29">
        <v>3.15</v>
      </c>
      <c r="M674" s="30">
        <f t="shared" si="68"/>
        <v>352.85</v>
      </c>
      <c r="N674" s="26" t="s">
        <v>25</v>
      </c>
      <c r="Q674" s="42" t="s">
        <v>1053</v>
      </c>
      <c r="R674" s="42" t="s">
        <v>41</v>
      </c>
      <c r="S674" s="57">
        <f t="shared" si="67"/>
        <v>46040</v>
      </c>
      <c r="T674" s="44" t="s">
        <v>22</v>
      </c>
      <c r="U674" s="43" t="s">
        <v>16</v>
      </c>
      <c r="V674" s="42" t="s">
        <v>103</v>
      </c>
      <c r="W674" s="45">
        <v>4</v>
      </c>
      <c r="X674" s="46">
        <v>89</v>
      </c>
      <c r="Y674" s="46">
        <v>3.15</v>
      </c>
      <c r="Z674" s="47">
        <f t="shared" si="69"/>
        <v>352.85</v>
      </c>
      <c r="AA674" s="48" t="s">
        <v>25</v>
      </c>
      <c r="AB674"/>
    </row>
    <row r="675" spans="1:28" x14ac:dyDescent="0.25">
      <c r="A675" s="31" t="s">
        <v>1055</v>
      </c>
      <c r="B675" s="31" t="s">
        <v>110</v>
      </c>
      <c r="C675" s="32" t="str">
        <f t="shared" si="64"/>
        <v>Fernanda Lima</v>
      </c>
      <c r="D675" s="38" t="s">
        <v>1056</v>
      </c>
      <c r="E675" s="33">
        <f t="shared" si="65"/>
        <v>45970</v>
      </c>
      <c r="F675" s="32" t="s">
        <v>15</v>
      </c>
      <c r="G675" s="32" t="str">
        <f t="shared" si="66"/>
        <v>Larissa Dias</v>
      </c>
      <c r="H675" s="32" t="s">
        <v>30</v>
      </c>
      <c r="I675" s="32" t="s">
        <v>31</v>
      </c>
      <c r="J675" s="34">
        <v>4</v>
      </c>
      <c r="K675" s="35">
        <v>2500</v>
      </c>
      <c r="L675" s="35">
        <v>0</v>
      </c>
      <c r="M675" s="36">
        <f t="shared" si="68"/>
        <v>10000</v>
      </c>
      <c r="N675" s="32" t="s">
        <v>89</v>
      </c>
      <c r="Q675" s="49" t="s">
        <v>1055</v>
      </c>
      <c r="R675" s="49" t="s">
        <v>110</v>
      </c>
      <c r="S675" s="58">
        <f t="shared" si="67"/>
        <v>45970</v>
      </c>
      <c r="T675" s="51" t="s">
        <v>15</v>
      </c>
      <c r="U675" s="50" t="s">
        <v>30</v>
      </c>
      <c r="V675" s="52" t="s">
        <v>31</v>
      </c>
      <c r="W675" s="53">
        <v>4</v>
      </c>
      <c r="X675" s="54">
        <v>2500</v>
      </c>
      <c r="Y675" s="54">
        <v>0</v>
      </c>
      <c r="Z675" s="55">
        <f t="shared" si="69"/>
        <v>10000</v>
      </c>
      <c r="AA675" s="56" t="s">
        <v>89</v>
      </c>
      <c r="AB675"/>
    </row>
    <row r="676" spans="1:28" x14ac:dyDescent="0.25">
      <c r="A676" s="26" t="s">
        <v>1057</v>
      </c>
      <c r="B676" s="26" t="s">
        <v>63</v>
      </c>
      <c r="C676" s="26" t="str">
        <f t="shared" si="64"/>
        <v>Marcos Rodrigues</v>
      </c>
      <c r="D676" s="37" t="s">
        <v>1058</v>
      </c>
      <c r="E676" s="27">
        <f t="shared" si="65"/>
        <v>45824</v>
      </c>
      <c r="F676" s="26" t="s">
        <v>22</v>
      </c>
      <c r="G676" s="26" t="str">
        <f t="shared" si="66"/>
        <v>Amanda Costa</v>
      </c>
      <c r="H676" s="26" t="s">
        <v>30</v>
      </c>
      <c r="I676" s="26" t="s">
        <v>106</v>
      </c>
      <c r="J676" s="28">
        <v>5</v>
      </c>
      <c r="K676" s="29">
        <v>299</v>
      </c>
      <c r="L676" s="29">
        <v>0</v>
      </c>
      <c r="M676" s="30">
        <f t="shared" si="68"/>
        <v>1495</v>
      </c>
      <c r="N676" s="26" t="s">
        <v>32</v>
      </c>
      <c r="Q676" s="42" t="s">
        <v>1057</v>
      </c>
      <c r="R676" s="42" t="s">
        <v>63</v>
      </c>
      <c r="S676" s="57">
        <f t="shared" si="67"/>
        <v>45824</v>
      </c>
      <c r="T676" s="44" t="s">
        <v>22</v>
      </c>
      <c r="U676" s="43" t="s">
        <v>30</v>
      </c>
      <c r="V676" s="42" t="s">
        <v>106</v>
      </c>
      <c r="W676" s="45">
        <v>5</v>
      </c>
      <c r="X676" s="46">
        <v>299</v>
      </c>
      <c r="Y676" s="46">
        <v>0</v>
      </c>
      <c r="Z676" s="47">
        <f t="shared" si="69"/>
        <v>1495</v>
      </c>
      <c r="AA676" s="48" t="s">
        <v>32</v>
      </c>
      <c r="AB676"/>
    </row>
    <row r="677" spans="1:28" x14ac:dyDescent="0.25">
      <c r="A677" s="31" t="s">
        <v>1059</v>
      </c>
      <c r="B677" s="31" t="s">
        <v>13</v>
      </c>
      <c r="C677" s="32" t="str">
        <f t="shared" si="64"/>
        <v>Lucas Almeida</v>
      </c>
      <c r="D677" s="38" t="s">
        <v>1060</v>
      </c>
      <c r="E677" s="33">
        <f t="shared" si="65"/>
        <v>45889</v>
      </c>
      <c r="F677" s="32" t="s">
        <v>29</v>
      </c>
      <c r="G677" s="32" t="str">
        <f t="shared" si="66"/>
        <v>Camila Rocha</v>
      </c>
      <c r="H677" s="32" t="s">
        <v>52</v>
      </c>
      <c r="I677" s="32" t="s">
        <v>99</v>
      </c>
      <c r="J677" s="34">
        <v>2</v>
      </c>
      <c r="K677" s="35">
        <v>79</v>
      </c>
      <c r="L677" s="35">
        <v>0</v>
      </c>
      <c r="M677" s="36">
        <f t="shared" si="68"/>
        <v>158</v>
      </c>
      <c r="N677" s="32" t="s">
        <v>25</v>
      </c>
      <c r="Q677" s="49" t="s">
        <v>1059</v>
      </c>
      <c r="R677" s="49" t="s">
        <v>13</v>
      </c>
      <c r="S677" s="58">
        <f t="shared" si="67"/>
        <v>45889</v>
      </c>
      <c r="T677" s="51" t="s">
        <v>29</v>
      </c>
      <c r="U677" s="50" t="s">
        <v>52</v>
      </c>
      <c r="V677" s="52" t="s">
        <v>99</v>
      </c>
      <c r="W677" s="53">
        <v>2</v>
      </c>
      <c r="X677" s="54">
        <v>79</v>
      </c>
      <c r="Y677" s="54">
        <v>0</v>
      </c>
      <c r="Z677" s="55">
        <f t="shared" si="69"/>
        <v>158</v>
      </c>
      <c r="AA677" s="56" t="s">
        <v>25</v>
      </c>
      <c r="AB677"/>
    </row>
    <row r="678" spans="1:28" x14ac:dyDescent="0.25">
      <c r="A678" s="26" t="s">
        <v>1061</v>
      </c>
      <c r="B678" s="26" t="s">
        <v>20</v>
      </c>
      <c r="C678" s="26" t="str">
        <f t="shared" si="64"/>
        <v>Beatriz Ribeiro</v>
      </c>
      <c r="D678" s="37" t="s">
        <v>423</v>
      </c>
      <c r="E678" s="27">
        <f t="shared" si="65"/>
        <v>45771</v>
      </c>
      <c r="F678" s="26" t="s">
        <v>15</v>
      </c>
      <c r="G678" s="26" t="str">
        <f t="shared" si="66"/>
        <v>Larissa Dias</v>
      </c>
      <c r="H678" s="26" t="s">
        <v>52</v>
      </c>
      <c r="I678" s="26" t="s">
        <v>99</v>
      </c>
      <c r="J678" s="28">
        <v>3</v>
      </c>
      <c r="K678" s="29">
        <v>79</v>
      </c>
      <c r="L678" s="29">
        <v>18.45</v>
      </c>
      <c r="M678" s="30">
        <f t="shared" si="68"/>
        <v>218.55</v>
      </c>
      <c r="N678" s="26" t="s">
        <v>69</v>
      </c>
      <c r="Q678" s="42" t="s">
        <v>1061</v>
      </c>
      <c r="R678" s="42" t="s">
        <v>20</v>
      </c>
      <c r="S678" s="57">
        <f t="shared" si="67"/>
        <v>45771</v>
      </c>
      <c r="T678" s="44" t="s">
        <v>15</v>
      </c>
      <c r="U678" s="43" t="s">
        <v>52</v>
      </c>
      <c r="V678" s="42" t="s">
        <v>99</v>
      </c>
      <c r="W678" s="45">
        <v>3</v>
      </c>
      <c r="X678" s="46">
        <v>79</v>
      </c>
      <c r="Y678" s="46">
        <v>18.45</v>
      </c>
      <c r="Z678" s="47">
        <f t="shared" si="69"/>
        <v>218.55</v>
      </c>
      <c r="AA678" s="48" t="s">
        <v>69</v>
      </c>
      <c r="AB678"/>
    </row>
    <row r="679" spans="1:28" x14ac:dyDescent="0.25">
      <c r="A679" s="31" t="s">
        <v>1062</v>
      </c>
      <c r="B679" s="31" t="s">
        <v>20</v>
      </c>
      <c r="C679" s="32" t="str">
        <f t="shared" si="64"/>
        <v>Beatriz Ribeiro</v>
      </c>
      <c r="D679" s="38" t="s">
        <v>537</v>
      </c>
      <c r="E679" s="33">
        <f t="shared" si="65"/>
        <v>45924</v>
      </c>
      <c r="F679" s="32" t="s">
        <v>22</v>
      </c>
      <c r="G679" s="32" t="str">
        <f t="shared" si="66"/>
        <v>Amanda Costa</v>
      </c>
      <c r="H679" s="32" t="s">
        <v>30</v>
      </c>
      <c r="I679" s="32" t="s">
        <v>106</v>
      </c>
      <c r="J679" s="34">
        <v>1</v>
      </c>
      <c r="K679" s="35">
        <v>299</v>
      </c>
      <c r="L679" s="35">
        <v>2.25</v>
      </c>
      <c r="M679" s="36">
        <f t="shared" si="68"/>
        <v>296.75</v>
      </c>
      <c r="N679" s="32" t="s">
        <v>32</v>
      </c>
      <c r="Q679" s="49" t="s">
        <v>1062</v>
      </c>
      <c r="R679" s="49" t="s">
        <v>20</v>
      </c>
      <c r="S679" s="58">
        <f t="shared" si="67"/>
        <v>45924</v>
      </c>
      <c r="T679" s="51" t="s">
        <v>22</v>
      </c>
      <c r="U679" s="50" t="s">
        <v>30</v>
      </c>
      <c r="V679" s="52" t="s">
        <v>106</v>
      </c>
      <c r="W679" s="53">
        <v>1</v>
      </c>
      <c r="X679" s="54">
        <v>299</v>
      </c>
      <c r="Y679" s="54">
        <v>2.25</v>
      </c>
      <c r="Z679" s="55">
        <f t="shared" si="69"/>
        <v>296.75</v>
      </c>
      <c r="AA679" s="56" t="s">
        <v>32</v>
      </c>
      <c r="AB679"/>
    </row>
    <row r="680" spans="1:28" x14ac:dyDescent="0.25">
      <c r="A680" s="26" t="s">
        <v>1063</v>
      </c>
      <c r="B680" s="26" t="s">
        <v>55</v>
      </c>
      <c r="C680" s="26" t="str">
        <f t="shared" si="64"/>
        <v>Ricardo Carvalho</v>
      </c>
      <c r="D680" s="37" t="s">
        <v>975</v>
      </c>
      <c r="E680" s="27">
        <f t="shared" si="65"/>
        <v>46022</v>
      </c>
      <c r="F680" s="26" t="s">
        <v>15</v>
      </c>
      <c r="G680" s="26" t="str">
        <f t="shared" si="66"/>
        <v>Larissa Dias</v>
      </c>
      <c r="H680" s="26" t="s">
        <v>52</v>
      </c>
      <c r="I680" s="26" t="s">
        <v>99</v>
      </c>
      <c r="J680" s="28">
        <v>2</v>
      </c>
      <c r="K680" s="29">
        <v>79</v>
      </c>
      <c r="L680" s="29">
        <v>0</v>
      </c>
      <c r="M680" s="30">
        <f t="shared" si="68"/>
        <v>158</v>
      </c>
      <c r="N680" s="26" t="s">
        <v>49</v>
      </c>
      <c r="Q680" s="42" t="s">
        <v>1063</v>
      </c>
      <c r="R680" s="42" t="s">
        <v>55</v>
      </c>
      <c r="S680" s="57">
        <f t="shared" si="67"/>
        <v>46022</v>
      </c>
      <c r="T680" s="44" t="s">
        <v>15</v>
      </c>
      <c r="U680" s="43" t="s">
        <v>52</v>
      </c>
      <c r="V680" s="42" t="s">
        <v>99</v>
      </c>
      <c r="W680" s="45">
        <v>2</v>
      </c>
      <c r="X680" s="46">
        <v>79</v>
      </c>
      <c r="Y680" s="46">
        <v>0</v>
      </c>
      <c r="Z680" s="47">
        <f t="shared" si="69"/>
        <v>158</v>
      </c>
      <c r="AA680" s="48" t="s">
        <v>49</v>
      </c>
      <c r="AB680"/>
    </row>
    <row r="681" spans="1:28" x14ac:dyDescent="0.25">
      <c r="A681" s="31" t="s">
        <v>1064</v>
      </c>
      <c r="B681" s="31" t="s">
        <v>13</v>
      </c>
      <c r="C681" s="32" t="str">
        <f t="shared" si="64"/>
        <v>Lucas Almeida</v>
      </c>
      <c r="D681" s="38" t="s">
        <v>1037</v>
      </c>
      <c r="E681" s="33">
        <f t="shared" si="65"/>
        <v>45940</v>
      </c>
      <c r="F681" s="32" t="s">
        <v>39</v>
      </c>
      <c r="G681" s="32" t="str">
        <f t="shared" si="66"/>
        <v>Rodrigo Mello</v>
      </c>
      <c r="H681" s="32" t="s">
        <v>16</v>
      </c>
      <c r="I681" s="32" t="s">
        <v>17</v>
      </c>
      <c r="J681" s="34">
        <v>2</v>
      </c>
      <c r="K681" s="35">
        <v>39</v>
      </c>
      <c r="L681" s="35">
        <v>2.83</v>
      </c>
      <c r="M681" s="36">
        <f t="shared" si="68"/>
        <v>75.17</v>
      </c>
      <c r="N681" s="32" t="s">
        <v>89</v>
      </c>
      <c r="Q681" s="49" t="s">
        <v>1064</v>
      </c>
      <c r="R681" s="49" t="s">
        <v>13</v>
      </c>
      <c r="S681" s="58">
        <f t="shared" si="67"/>
        <v>45940</v>
      </c>
      <c r="T681" s="51" t="s">
        <v>39</v>
      </c>
      <c r="U681" s="50" t="s">
        <v>16</v>
      </c>
      <c r="V681" s="52" t="s">
        <v>17</v>
      </c>
      <c r="W681" s="53">
        <v>2</v>
      </c>
      <c r="X681" s="54">
        <v>39</v>
      </c>
      <c r="Y681" s="54">
        <v>2.83</v>
      </c>
      <c r="Z681" s="55">
        <f t="shared" si="69"/>
        <v>75.17</v>
      </c>
      <c r="AA681" s="56" t="s">
        <v>89</v>
      </c>
      <c r="AB681"/>
    </row>
    <row r="682" spans="1:28" x14ac:dyDescent="0.25">
      <c r="A682" s="26" t="s">
        <v>1065</v>
      </c>
      <c r="B682" s="26" t="s">
        <v>13</v>
      </c>
      <c r="C682" s="26" t="str">
        <f t="shared" si="64"/>
        <v>Lucas Almeida</v>
      </c>
      <c r="D682" s="37" t="s">
        <v>1066</v>
      </c>
      <c r="E682" s="27">
        <f t="shared" si="65"/>
        <v>45687</v>
      </c>
      <c r="F682" s="26" t="s">
        <v>39</v>
      </c>
      <c r="G682" s="26" t="str">
        <f t="shared" si="66"/>
        <v>Rodrigo Mello</v>
      </c>
      <c r="H682" s="26" t="s">
        <v>16</v>
      </c>
      <c r="I682" s="26" t="s">
        <v>116</v>
      </c>
      <c r="J682" s="28">
        <v>3</v>
      </c>
      <c r="K682" s="29">
        <v>45</v>
      </c>
      <c r="L682" s="29">
        <v>4.5599999999999996</v>
      </c>
      <c r="M682" s="30">
        <f t="shared" si="68"/>
        <v>130.44</v>
      </c>
      <c r="N682" s="26" t="s">
        <v>44</v>
      </c>
      <c r="Q682" s="42" t="s">
        <v>1065</v>
      </c>
      <c r="R682" s="42" t="s">
        <v>13</v>
      </c>
      <c r="S682" s="57">
        <f t="shared" si="67"/>
        <v>45687</v>
      </c>
      <c r="T682" s="44" t="s">
        <v>39</v>
      </c>
      <c r="U682" s="43" t="s">
        <v>16</v>
      </c>
      <c r="V682" s="42" t="s">
        <v>116</v>
      </c>
      <c r="W682" s="45">
        <v>3</v>
      </c>
      <c r="X682" s="46">
        <v>45</v>
      </c>
      <c r="Y682" s="46">
        <v>4.5599999999999996</v>
      </c>
      <c r="Z682" s="47">
        <f t="shared" si="69"/>
        <v>130.44</v>
      </c>
      <c r="AA682" s="48" t="s">
        <v>44</v>
      </c>
      <c r="AB682"/>
    </row>
    <row r="683" spans="1:28" x14ac:dyDescent="0.25">
      <c r="A683" s="31" t="s">
        <v>1067</v>
      </c>
      <c r="B683" s="31" t="s">
        <v>110</v>
      </c>
      <c r="C683" s="32" t="str">
        <f t="shared" si="64"/>
        <v>Fernanda Lima</v>
      </c>
      <c r="D683" s="38" t="s">
        <v>630</v>
      </c>
      <c r="E683" s="33">
        <f t="shared" si="65"/>
        <v>46005</v>
      </c>
      <c r="F683" s="32" t="s">
        <v>29</v>
      </c>
      <c r="G683" s="32" t="str">
        <f t="shared" si="66"/>
        <v>Camila Rocha</v>
      </c>
      <c r="H683" s="32" t="s">
        <v>16</v>
      </c>
      <c r="I683" s="32" t="s">
        <v>17</v>
      </c>
      <c r="J683" s="34">
        <v>2</v>
      </c>
      <c r="K683" s="35">
        <v>39</v>
      </c>
      <c r="L683" s="35">
        <v>9.0299999999999994</v>
      </c>
      <c r="M683" s="36">
        <f t="shared" si="68"/>
        <v>68.97</v>
      </c>
      <c r="N683" s="32" t="s">
        <v>32</v>
      </c>
      <c r="Q683" s="49" t="s">
        <v>1067</v>
      </c>
      <c r="R683" s="49" t="s">
        <v>110</v>
      </c>
      <c r="S683" s="58">
        <f t="shared" si="67"/>
        <v>46005</v>
      </c>
      <c r="T683" s="51" t="s">
        <v>29</v>
      </c>
      <c r="U683" s="50" t="s">
        <v>16</v>
      </c>
      <c r="V683" s="52" t="s">
        <v>17</v>
      </c>
      <c r="W683" s="53">
        <v>2</v>
      </c>
      <c r="X683" s="54">
        <v>39</v>
      </c>
      <c r="Y683" s="54">
        <v>9.0299999999999994</v>
      </c>
      <c r="Z683" s="55">
        <f t="shared" si="69"/>
        <v>68.97</v>
      </c>
      <c r="AA683" s="56" t="s">
        <v>32</v>
      </c>
      <c r="AB683"/>
    </row>
    <row r="684" spans="1:28" x14ac:dyDescent="0.25">
      <c r="A684" s="26" t="s">
        <v>1068</v>
      </c>
      <c r="B684" s="26" t="s">
        <v>63</v>
      </c>
      <c r="C684" s="26" t="str">
        <f t="shared" si="64"/>
        <v>Marcos Rodrigues</v>
      </c>
      <c r="D684" s="37" t="s">
        <v>1004</v>
      </c>
      <c r="E684" s="27">
        <f t="shared" si="65"/>
        <v>45725</v>
      </c>
      <c r="F684" s="26" t="s">
        <v>15</v>
      </c>
      <c r="G684" s="26" t="str">
        <f t="shared" si="66"/>
        <v>Larissa Dias</v>
      </c>
      <c r="H684" s="26" t="s">
        <v>30</v>
      </c>
      <c r="I684" s="26" t="s">
        <v>68</v>
      </c>
      <c r="J684" s="28">
        <v>2</v>
      </c>
      <c r="K684" s="29">
        <v>799</v>
      </c>
      <c r="L684" s="29">
        <v>0</v>
      </c>
      <c r="M684" s="30">
        <f t="shared" si="68"/>
        <v>1598</v>
      </c>
      <c r="N684" s="26" t="s">
        <v>18</v>
      </c>
      <c r="Q684" s="42" t="s">
        <v>1068</v>
      </c>
      <c r="R684" s="42" t="s">
        <v>63</v>
      </c>
      <c r="S684" s="57">
        <f t="shared" si="67"/>
        <v>45725</v>
      </c>
      <c r="T684" s="44" t="s">
        <v>15</v>
      </c>
      <c r="U684" s="43" t="s">
        <v>30</v>
      </c>
      <c r="V684" s="42" t="s">
        <v>68</v>
      </c>
      <c r="W684" s="45">
        <v>2</v>
      </c>
      <c r="X684" s="46">
        <v>799</v>
      </c>
      <c r="Y684" s="46">
        <v>0</v>
      </c>
      <c r="Z684" s="47">
        <f t="shared" si="69"/>
        <v>1598</v>
      </c>
      <c r="AA684" s="48" t="s">
        <v>18</v>
      </c>
      <c r="AB684"/>
    </row>
    <row r="685" spans="1:28" x14ac:dyDescent="0.25">
      <c r="A685" s="31" t="s">
        <v>1069</v>
      </c>
      <c r="B685" s="31" t="s">
        <v>55</v>
      </c>
      <c r="C685" s="32" t="str">
        <f t="shared" si="64"/>
        <v>Ricardo Carvalho</v>
      </c>
      <c r="D685" s="38" t="s">
        <v>349</v>
      </c>
      <c r="E685" s="33">
        <f t="shared" si="65"/>
        <v>45939</v>
      </c>
      <c r="F685" s="32" t="s">
        <v>39</v>
      </c>
      <c r="G685" s="32" t="str">
        <f t="shared" si="66"/>
        <v>Rodrigo Mello</v>
      </c>
      <c r="H685" s="32" t="s">
        <v>52</v>
      </c>
      <c r="I685" s="32" t="s">
        <v>61</v>
      </c>
      <c r="J685" s="34">
        <v>3</v>
      </c>
      <c r="K685" s="35">
        <v>199</v>
      </c>
      <c r="L685" s="35">
        <v>71.75</v>
      </c>
      <c r="M685" s="36">
        <f t="shared" si="68"/>
        <v>525.25</v>
      </c>
      <c r="N685" s="32" t="s">
        <v>89</v>
      </c>
      <c r="Q685" s="49" t="s">
        <v>1069</v>
      </c>
      <c r="R685" s="49" t="s">
        <v>55</v>
      </c>
      <c r="S685" s="58">
        <f t="shared" si="67"/>
        <v>45939</v>
      </c>
      <c r="T685" s="51" t="s">
        <v>39</v>
      </c>
      <c r="U685" s="50" t="s">
        <v>52</v>
      </c>
      <c r="V685" s="52" t="s">
        <v>61</v>
      </c>
      <c r="W685" s="53">
        <v>3</v>
      </c>
      <c r="X685" s="54">
        <v>199</v>
      </c>
      <c r="Y685" s="54">
        <v>71.75</v>
      </c>
      <c r="Z685" s="55">
        <f t="shared" si="69"/>
        <v>525.25</v>
      </c>
      <c r="AA685" s="56" t="s">
        <v>89</v>
      </c>
      <c r="AB685"/>
    </row>
    <row r="686" spans="1:28" x14ac:dyDescent="0.25">
      <c r="A686" s="26" t="s">
        <v>1070</v>
      </c>
      <c r="B686" s="26" t="s">
        <v>95</v>
      </c>
      <c r="C686" s="26" t="str">
        <f t="shared" si="64"/>
        <v>Maria Oliveira</v>
      </c>
      <c r="D686" s="37" t="s">
        <v>196</v>
      </c>
      <c r="E686" s="27">
        <f t="shared" si="65"/>
        <v>45743</v>
      </c>
      <c r="F686" s="26" t="s">
        <v>15</v>
      </c>
      <c r="G686" s="26" t="str">
        <f t="shared" si="66"/>
        <v>Larissa Dias</v>
      </c>
      <c r="H686" s="26" t="s">
        <v>16</v>
      </c>
      <c r="I686" s="26" t="s">
        <v>116</v>
      </c>
      <c r="J686" s="28">
        <v>3</v>
      </c>
      <c r="K686" s="29">
        <v>45</v>
      </c>
      <c r="L686" s="29">
        <v>0</v>
      </c>
      <c r="M686" s="30">
        <f t="shared" si="68"/>
        <v>135</v>
      </c>
      <c r="N686" s="26" t="s">
        <v>69</v>
      </c>
      <c r="Q686" s="42" t="s">
        <v>1070</v>
      </c>
      <c r="R686" s="42" t="s">
        <v>95</v>
      </c>
      <c r="S686" s="57">
        <f t="shared" si="67"/>
        <v>45743</v>
      </c>
      <c r="T686" s="44" t="s">
        <v>15</v>
      </c>
      <c r="U686" s="43" t="s">
        <v>16</v>
      </c>
      <c r="V686" s="42" t="s">
        <v>116</v>
      </c>
      <c r="W686" s="45">
        <v>3</v>
      </c>
      <c r="X686" s="46">
        <v>45</v>
      </c>
      <c r="Y686" s="46">
        <v>0</v>
      </c>
      <c r="Z686" s="47">
        <f t="shared" si="69"/>
        <v>135</v>
      </c>
      <c r="AA686" s="48" t="s">
        <v>69</v>
      </c>
      <c r="AB686"/>
    </row>
    <row r="687" spans="1:28" x14ac:dyDescent="0.25">
      <c r="A687" s="31" t="s">
        <v>1071</v>
      </c>
      <c r="B687" s="31" t="s">
        <v>71</v>
      </c>
      <c r="C687" s="32" t="str">
        <f t="shared" si="64"/>
        <v>Juliana Costa</v>
      </c>
      <c r="D687" s="38" t="s">
        <v>1072</v>
      </c>
      <c r="E687" s="33">
        <f t="shared" si="65"/>
        <v>45733</v>
      </c>
      <c r="F687" s="32" t="s">
        <v>47</v>
      </c>
      <c r="G687" s="32" t="str">
        <f t="shared" si="66"/>
        <v>Bruno Martins</v>
      </c>
      <c r="H687" s="32" t="s">
        <v>52</v>
      </c>
      <c r="I687" s="32" t="s">
        <v>75</v>
      </c>
      <c r="J687" s="34">
        <v>5</v>
      </c>
      <c r="K687" s="35">
        <v>249</v>
      </c>
      <c r="L687" s="35">
        <v>0</v>
      </c>
      <c r="M687" s="36">
        <f t="shared" si="68"/>
        <v>1245</v>
      </c>
      <c r="N687" s="32" t="s">
        <v>49</v>
      </c>
      <c r="Q687" s="49" t="s">
        <v>1071</v>
      </c>
      <c r="R687" s="49" t="s">
        <v>71</v>
      </c>
      <c r="S687" s="58">
        <f t="shared" si="67"/>
        <v>45733</v>
      </c>
      <c r="T687" s="51" t="s">
        <v>47</v>
      </c>
      <c r="U687" s="50" t="s">
        <v>52</v>
      </c>
      <c r="V687" s="52" t="s">
        <v>75</v>
      </c>
      <c r="W687" s="53">
        <v>5</v>
      </c>
      <c r="X687" s="54">
        <v>249</v>
      </c>
      <c r="Y687" s="54">
        <v>0</v>
      </c>
      <c r="Z687" s="55">
        <f t="shared" si="69"/>
        <v>1245</v>
      </c>
      <c r="AA687" s="56" t="s">
        <v>49</v>
      </c>
      <c r="AB687"/>
    </row>
    <row r="688" spans="1:28" x14ac:dyDescent="0.25">
      <c r="A688" s="26" t="s">
        <v>1073</v>
      </c>
      <c r="B688" s="26" t="s">
        <v>63</v>
      </c>
      <c r="C688" s="26" t="str">
        <f t="shared" si="64"/>
        <v>Marcos Rodrigues</v>
      </c>
      <c r="D688" s="37" t="s">
        <v>1074</v>
      </c>
      <c r="E688" s="27">
        <f t="shared" si="65"/>
        <v>45978</v>
      </c>
      <c r="F688" s="26" t="s">
        <v>29</v>
      </c>
      <c r="G688" s="26" t="str">
        <f t="shared" si="66"/>
        <v>Camila Rocha</v>
      </c>
      <c r="H688" s="26" t="s">
        <v>52</v>
      </c>
      <c r="I688" s="26" t="s">
        <v>75</v>
      </c>
      <c r="J688" s="28">
        <v>2</v>
      </c>
      <c r="K688" s="29">
        <v>249</v>
      </c>
      <c r="L688" s="29">
        <v>64.17</v>
      </c>
      <c r="M688" s="30">
        <f t="shared" si="68"/>
        <v>433.83</v>
      </c>
      <c r="N688" s="26" t="s">
        <v>89</v>
      </c>
      <c r="Q688" s="42" t="s">
        <v>1073</v>
      </c>
      <c r="R688" s="42" t="s">
        <v>63</v>
      </c>
      <c r="S688" s="57">
        <f t="shared" si="67"/>
        <v>45978</v>
      </c>
      <c r="T688" s="44" t="s">
        <v>29</v>
      </c>
      <c r="U688" s="43" t="s">
        <v>52</v>
      </c>
      <c r="V688" s="42" t="s">
        <v>75</v>
      </c>
      <c r="W688" s="45">
        <v>2</v>
      </c>
      <c r="X688" s="46">
        <v>249</v>
      </c>
      <c r="Y688" s="46">
        <v>64.17</v>
      </c>
      <c r="Z688" s="47">
        <f t="shared" si="69"/>
        <v>433.83</v>
      </c>
      <c r="AA688" s="48" t="s">
        <v>89</v>
      </c>
      <c r="AB688"/>
    </row>
    <row r="689" spans="1:28" x14ac:dyDescent="0.25">
      <c r="A689" s="31" t="s">
        <v>1075</v>
      </c>
      <c r="B689" s="31" t="s">
        <v>71</v>
      </c>
      <c r="C689" s="32" t="str">
        <f t="shared" si="64"/>
        <v>Juliana Costa</v>
      </c>
      <c r="D689" s="38" t="s">
        <v>1076</v>
      </c>
      <c r="E689" s="33">
        <f t="shared" si="65"/>
        <v>45929</v>
      </c>
      <c r="F689" s="32" t="s">
        <v>22</v>
      </c>
      <c r="G689" s="32" t="str">
        <f t="shared" si="66"/>
        <v>Amanda Costa</v>
      </c>
      <c r="H689" s="32" t="s">
        <v>23</v>
      </c>
      <c r="I689" s="32" t="s">
        <v>24</v>
      </c>
      <c r="J689" s="34">
        <v>5</v>
      </c>
      <c r="K689" s="35">
        <v>180</v>
      </c>
      <c r="L689" s="35">
        <v>0</v>
      </c>
      <c r="M689" s="36">
        <f t="shared" si="68"/>
        <v>900</v>
      </c>
      <c r="N689" s="32" t="s">
        <v>69</v>
      </c>
      <c r="Q689" s="49" t="s">
        <v>1075</v>
      </c>
      <c r="R689" s="49" t="s">
        <v>71</v>
      </c>
      <c r="S689" s="58">
        <f t="shared" si="67"/>
        <v>45929</v>
      </c>
      <c r="T689" s="51" t="s">
        <v>22</v>
      </c>
      <c r="U689" s="50" t="s">
        <v>23</v>
      </c>
      <c r="V689" s="52" t="s">
        <v>24</v>
      </c>
      <c r="W689" s="53">
        <v>5</v>
      </c>
      <c r="X689" s="54">
        <v>180</v>
      </c>
      <c r="Y689" s="54">
        <v>0</v>
      </c>
      <c r="Z689" s="55">
        <f t="shared" si="69"/>
        <v>900</v>
      </c>
      <c r="AA689" s="56" t="s">
        <v>69</v>
      </c>
      <c r="AB689"/>
    </row>
    <row r="690" spans="1:28" x14ac:dyDescent="0.25">
      <c r="A690" s="26" t="s">
        <v>1077</v>
      </c>
      <c r="B690" s="26" t="s">
        <v>95</v>
      </c>
      <c r="C690" s="26" t="str">
        <f t="shared" si="64"/>
        <v>Maria Oliveira</v>
      </c>
      <c r="D690" s="37" t="s">
        <v>975</v>
      </c>
      <c r="E690" s="27">
        <f t="shared" si="65"/>
        <v>46022</v>
      </c>
      <c r="F690" s="26" t="s">
        <v>15</v>
      </c>
      <c r="G690" s="26" t="str">
        <f t="shared" si="66"/>
        <v>Larissa Dias</v>
      </c>
      <c r="H690" s="26" t="s">
        <v>16</v>
      </c>
      <c r="I690" s="26" t="s">
        <v>103</v>
      </c>
      <c r="J690" s="28">
        <v>3</v>
      </c>
      <c r="K690" s="29">
        <v>89</v>
      </c>
      <c r="L690" s="29">
        <v>0</v>
      </c>
      <c r="M690" s="30">
        <f t="shared" si="68"/>
        <v>267</v>
      </c>
      <c r="N690" s="26" t="s">
        <v>65</v>
      </c>
      <c r="Q690" s="42" t="s">
        <v>1077</v>
      </c>
      <c r="R690" s="42" t="s">
        <v>95</v>
      </c>
      <c r="S690" s="57">
        <f t="shared" si="67"/>
        <v>46022</v>
      </c>
      <c r="T690" s="44" t="s">
        <v>15</v>
      </c>
      <c r="U690" s="43" t="s">
        <v>16</v>
      </c>
      <c r="V690" s="42" t="s">
        <v>103</v>
      </c>
      <c r="W690" s="45">
        <v>3</v>
      </c>
      <c r="X690" s="46">
        <v>89</v>
      </c>
      <c r="Y690" s="46">
        <v>0</v>
      </c>
      <c r="Z690" s="47">
        <f t="shared" si="69"/>
        <v>267</v>
      </c>
      <c r="AA690" s="48" t="s">
        <v>65</v>
      </c>
      <c r="AB690"/>
    </row>
    <row r="691" spans="1:28" x14ac:dyDescent="0.25">
      <c r="A691" s="31" t="s">
        <v>1078</v>
      </c>
      <c r="B691" s="31" t="s">
        <v>27</v>
      </c>
      <c r="C691" s="32" t="str">
        <f t="shared" si="64"/>
        <v>Roberto Santos</v>
      </c>
      <c r="D691" s="38" t="s">
        <v>51</v>
      </c>
      <c r="E691" s="33">
        <f t="shared" si="65"/>
        <v>45659</v>
      </c>
      <c r="F691" s="32" t="s">
        <v>22</v>
      </c>
      <c r="G691" s="32" t="str">
        <f t="shared" si="66"/>
        <v>Amanda Costa</v>
      </c>
      <c r="H691" s="32" t="s">
        <v>30</v>
      </c>
      <c r="I691" s="32" t="s">
        <v>106</v>
      </c>
      <c r="J691" s="34">
        <v>2</v>
      </c>
      <c r="K691" s="35">
        <v>299</v>
      </c>
      <c r="L691" s="35">
        <v>0</v>
      </c>
      <c r="M691" s="36">
        <f t="shared" si="68"/>
        <v>598</v>
      </c>
      <c r="N691" s="32" t="s">
        <v>32</v>
      </c>
      <c r="Q691" s="49" t="s">
        <v>1078</v>
      </c>
      <c r="R691" s="49" t="s">
        <v>27</v>
      </c>
      <c r="S691" s="58">
        <f t="shared" si="67"/>
        <v>45659</v>
      </c>
      <c r="T691" s="51" t="s">
        <v>22</v>
      </c>
      <c r="U691" s="50" t="s">
        <v>30</v>
      </c>
      <c r="V691" s="52" t="s">
        <v>106</v>
      </c>
      <c r="W691" s="53">
        <v>2</v>
      </c>
      <c r="X691" s="54">
        <v>299</v>
      </c>
      <c r="Y691" s="54">
        <v>0</v>
      </c>
      <c r="Z691" s="55">
        <f t="shared" si="69"/>
        <v>598</v>
      </c>
      <c r="AA691" s="56" t="s">
        <v>32</v>
      </c>
      <c r="AB691"/>
    </row>
    <row r="692" spans="1:28" x14ac:dyDescent="0.25">
      <c r="A692" s="26" t="s">
        <v>1079</v>
      </c>
      <c r="B692" s="26" t="s">
        <v>37</v>
      </c>
      <c r="C692" s="26" t="str">
        <f t="shared" si="64"/>
        <v>Patricia Gomes</v>
      </c>
      <c r="D692" s="37" t="s">
        <v>111</v>
      </c>
      <c r="E692" s="27">
        <f t="shared" si="65"/>
        <v>45976</v>
      </c>
      <c r="F692" s="26" t="s">
        <v>15</v>
      </c>
      <c r="G692" s="26" t="str">
        <f t="shared" si="66"/>
        <v>Larissa Dias</v>
      </c>
      <c r="H692" s="26" t="s">
        <v>23</v>
      </c>
      <c r="I692" s="26" t="s">
        <v>43</v>
      </c>
      <c r="J692" s="28">
        <v>2</v>
      </c>
      <c r="K692" s="29">
        <v>350</v>
      </c>
      <c r="L692" s="29">
        <v>0</v>
      </c>
      <c r="M692" s="30">
        <f t="shared" si="68"/>
        <v>700</v>
      </c>
      <c r="N692" s="26" t="s">
        <v>25</v>
      </c>
      <c r="Q692" s="42" t="s">
        <v>1079</v>
      </c>
      <c r="R692" s="42" t="s">
        <v>37</v>
      </c>
      <c r="S692" s="57">
        <f t="shared" si="67"/>
        <v>45976</v>
      </c>
      <c r="T692" s="44" t="s">
        <v>15</v>
      </c>
      <c r="U692" s="43" t="s">
        <v>23</v>
      </c>
      <c r="V692" s="42" t="s">
        <v>43</v>
      </c>
      <c r="W692" s="45">
        <v>2</v>
      </c>
      <c r="X692" s="46">
        <v>350</v>
      </c>
      <c r="Y692" s="46">
        <v>0</v>
      </c>
      <c r="Z692" s="47">
        <f t="shared" si="69"/>
        <v>700</v>
      </c>
      <c r="AA692" s="48" t="s">
        <v>25</v>
      </c>
      <c r="AB692"/>
    </row>
    <row r="693" spans="1:28" x14ac:dyDescent="0.25">
      <c r="A693" s="31" t="s">
        <v>1080</v>
      </c>
      <c r="B693" s="31" t="s">
        <v>55</v>
      </c>
      <c r="C693" s="32" t="str">
        <f t="shared" si="64"/>
        <v>Ricardo Carvalho</v>
      </c>
      <c r="D693" s="38" t="s">
        <v>1081</v>
      </c>
      <c r="E693" s="33">
        <f t="shared" si="65"/>
        <v>45789</v>
      </c>
      <c r="F693" s="32" t="s">
        <v>39</v>
      </c>
      <c r="G693" s="32" t="str">
        <f t="shared" si="66"/>
        <v>Rodrigo Mello</v>
      </c>
      <c r="H693" s="32" t="s">
        <v>23</v>
      </c>
      <c r="I693" s="32" t="s">
        <v>88</v>
      </c>
      <c r="J693" s="34">
        <v>1</v>
      </c>
      <c r="K693" s="35">
        <v>650</v>
      </c>
      <c r="L693" s="35">
        <v>85.71</v>
      </c>
      <c r="M693" s="36">
        <f t="shared" si="68"/>
        <v>564.29</v>
      </c>
      <c r="N693" s="32" t="s">
        <v>25</v>
      </c>
      <c r="Q693" s="49" t="s">
        <v>1080</v>
      </c>
      <c r="R693" s="49" t="s">
        <v>55</v>
      </c>
      <c r="S693" s="58">
        <f t="shared" si="67"/>
        <v>45789</v>
      </c>
      <c r="T693" s="51" t="s">
        <v>39</v>
      </c>
      <c r="U693" s="50" t="s">
        <v>23</v>
      </c>
      <c r="V693" s="52" t="s">
        <v>88</v>
      </c>
      <c r="W693" s="53">
        <v>1</v>
      </c>
      <c r="X693" s="54">
        <v>650</v>
      </c>
      <c r="Y693" s="54">
        <v>85.71</v>
      </c>
      <c r="Z693" s="55">
        <f t="shared" si="69"/>
        <v>564.29</v>
      </c>
      <c r="AA693" s="56" t="s">
        <v>25</v>
      </c>
      <c r="AB693"/>
    </row>
    <row r="694" spans="1:28" x14ac:dyDescent="0.25">
      <c r="A694" s="26" t="s">
        <v>1082</v>
      </c>
      <c r="B694" s="26" t="s">
        <v>13</v>
      </c>
      <c r="C694" s="26" t="str">
        <f t="shared" si="64"/>
        <v>Lucas Almeida</v>
      </c>
      <c r="D694" s="37" t="s">
        <v>239</v>
      </c>
      <c r="E694" s="27">
        <f t="shared" si="65"/>
        <v>45818</v>
      </c>
      <c r="F694" s="26" t="s">
        <v>22</v>
      </c>
      <c r="G694" s="26" t="str">
        <f t="shared" si="66"/>
        <v>Amanda Costa</v>
      </c>
      <c r="H694" s="26" t="s">
        <v>30</v>
      </c>
      <c r="I694" s="26" t="s">
        <v>106</v>
      </c>
      <c r="J694" s="28">
        <v>5</v>
      </c>
      <c r="K694" s="29">
        <v>299</v>
      </c>
      <c r="L694" s="29">
        <v>40.08</v>
      </c>
      <c r="M694" s="30">
        <f t="shared" si="68"/>
        <v>1454.92</v>
      </c>
      <c r="N694" s="26" t="s">
        <v>18</v>
      </c>
      <c r="Q694" s="42" t="s">
        <v>1082</v>
      </c>
      <c r="R694" s="42" t="s">
        <v>13</v>
      </c>
      <c r="S694" s="57">
        <f t="shared" si="67"/>
        <v>45818</v>
      </c>
      <c r="T694" s="44" t="s">
        <v>22</v>
      </c>
      <c r="U694" s="43" t="s">
        <v>30</v>
      </c>
      <c r="V694" s="42" t="s">
        <v>106</v>
      </c>
      <c r="W694" s="45">
        <v>5</v>
      </c>
      <c r="X694" s="46">
        <v>299</v>
      </c>
      <c r="Y694" s="46">
        <v>40.08</v>
      </c>
      <c r="Z694" s="47">
        <f t="shared" si="69"/>
        <v>1454.92</v>
      </c>
      <c r="AA694" s="48" t="s">
        <v>18</v>
      </c>
      <c r="AB694"/>
    </row>
    <row r="695" spans="1:28" x14ac:dyDescent="0.25">
      <c r="A695" s="31" t="s">
        <v>1083</v>
      </c>
      <c r="B695" s="31" t="s">
        <v>34</v>
      </c>
      <c r="C695" s="32" t="str">
        <f t="shared" si="64"/>
        <v>Carlos Silva</v>
      </c>
      <c r="D695" s="38" t="s">
        <v>1084</v>
      </c>
      <c r="E695" s="33">
        <f t="shared" si="65"/>
        <v>45988</v>
      </c>
      <c r="F695" s="32" t="s">
        <v>29</v>
      </c>
      <c r="G695" s="32" t="str">
        <f t="shared" si="66"/>
        <v>Camila Rocha</v>
      </c>
      <c r="H695" s="32" t="s">
        <v>16</v>
      </c>
      <c r="I695" s="32" t="s">
        <v>78</v>
      </c>
      <c r="J695" s="34">
        <v>2</v>
      </c>
      <c r="K695" s="35">
        <v>59</v>
      </c>
      <c r="L695" s="35">
        <v>0</v>
      </c>
      <c r="M695" s="36">
        <f t="shared" si="68"/>
        <v>118</v>
      </c>
      <c r="N695" s="32" t="s">
        <v>49</v>
      </c>
      <c r="Q695" s="49" t="s">
        <v>1083</v>
      </c>
      <c r="R695" s="49" t="s">
        <v>34</v>
      </c>
      <c r="S695" s="58">
        <f t="shared" si="67"/>
        <v>45988</v>
      </c>
      <c r="T695" s="51" t="s">
        <v>29</v>
      </c>
      <c r="U695" s="50" t="s">
        <v>16</v>
      </c>
      <c r="V695" s="52" t="s">
        <v>78</v>
      </c>
      <c r="W695" s="53">
        <v>2</v>
      </c>
      <c r="X695" s="54">
        <v>59</v>
      </c>
      <c r="Y695" s="54">
        <v>0</v>
      </c>
      <c r="Z695" s="55">
        <f t="shared" si="69"/>
        <v>118</v>
      </c>
      <c r="AA695" s="56" t="s">
        <v>49</v>
      </c>
      <c r="AB695"/>
    </row>
    <row r="696" spans="1:28" x14ac:dyDescent="0.25">
      <c r="A696" s="26" t="s">
        <v>1085</v>
      </c>
      <c r="B696" s="26" t="s">
        <v>37</v>
      </c>
      <c r="C696" s="26" t="str">
        <f t="shared" si="64"/>
        <v>Patricia Gomes</v>
      </c>
      <c r="D696" s="37" t="s">
        <v>449</v>
      </c>
      <c r="E696" s="27">
        <f t="shared" si="65"/>
        <v>45912</v>
      </c>
      <c r="F696" s="26" t="s">
        <v>29</v>
      </c>
      <c r="G696" s="26" t="str">
        <f t="shared" si="66"/>
        <v>Camila Rocha</v>
      </c>
      <c r="H696" s="26" t="s">
        <v>52</v>
      </c>
      <c r="I696" s="26" t="s">
        <v>99</v>
      </c>
      <c r="J696" s="28">
        <v>5</v>
      </c>
      <c r="K696" s="29">
        <v>79</v>
      </c>
      <c r="L696" s="29">
        <v>49.37</v>
      </c>
      <c r="M696" s="30">
        <f t="shared" si="68"/>
        <v>345.63</v>
      </c>
      <c r="N696" s="26" t="s">
        <v>25</v>
      </c>
      <c r="Q696" s="42" t="s">
        <v>1085</v>
      </c>
      <c r="R696" s="42" t="s">
        <v>37</v>
      </c>
      <c r="S696" s="57">
        <f t="shared" si="67"/>
        <v>45912</v>
      </c>
      <c r="T696" s="44" t="s">
        <v>29</v>
      </c>
      <c r="U696" s="43" t="s">
        <v>52</v>
      </c>
      <c r="V696" s="42" t="s">
        <v>99</v>
      </c>
      <c r="W696" s="45">
        <v>5</v>
      </c>
      <c r="X696" s="46">
        <v>79</v>
      </c>
      <c r="Y696" s="46">
        <v>49.37</v>
      </c>
      <c r="Z696" s="47">
        <f t="shared" si="69"/>
        <v>345.63</v>
      </c>
      <c r="AA696" s="48" t="s">
        <v>25</v>
      </c>
      <c r="AB696"/>
    </row>
    <row r="697" spans="1:28" x14ac:dyDescent="0.25">
      <c r="A697" s="31" t="s">
        <v>1086</v>
      </c>
      <c r="B697" s="31" t="s">
        <v>95</v>
      </c>
      <c r="C697" s="32" t="str">
        <f t="shared" si="64"/>
        <v>Maria Oliveira</v>
      </c>
      <c r="D697" s="38" t="s">
        <v>752</v>
      </c>
      <c r="E697" s="33">
        <f t="shared" si="65"/>
        <v>45850</v>
      </c>
      <c r="F697" s="32" t="s">
        <v>39</v>
      </c>
      <c r="G697" s="32" t="str">
        <f t="shared" si="66"/>
        <v>Rodrigo Mello</v>
      </c>
      <c r="H697" s="32" t="s">
        <v>30</v>
      </c>
      <c r="I697" s="32" t="s">
        <v>106</v>
      </c>
      <c r="J697" s="34">
        <v>3</v>
      </c>
      <c r="K697" s="35">
        <v>299</v>
      </c>
      <c r="L697" s="35">
        <v>0</v>
      </c>
      <c r="M697" s="36">
        <f t="shared" si="68"/>
        <v>897</v>
      </c>
      <c r="N697" s="32" t="s">
        <v>25</v>
      </c>
      <c r="Q697" s="49" t="s">
        <v>1086</v>
      </c>
      <c r="R697" s="49" t="s">
        <v>95</v>
      </c>
      <c r="S697" s="58">
        <f t="shared" si="67"/>
        <v>45850</v>
      </c>
      <c r="T697" s="51" t="s">
        <v>39</v>
      </c>
      <c r="U697" s="50" t="s">
        <v>30</v>
      </c>
      <c r="V697" s="52" t="s">
        <v>106</v>
      </c>
      <c r="W697" s="53">
        <v>3</v>
      </c>
      <c r="X697" s="54">
        <v>299</v>
      </c>
      <c r="Y697" s="54">
        <v>0</v>
      </c>
      <c r="Z697" s="55">
        <f t="shared" si="69"/>
        <v>897</v>
      </c>
      <c r="AA697" s="56" t="s">
        <v>25</v>
      </c>
      <c r="AB697"/>
    </row>
    <row r="698" spans="1:28" x14ac:dyDescent="0.25">
      <c r="A698" s="26" t="s">
        <v>1087</v>
      </c>
      <c r="B698" s="26" t="s">
        <v>41</v>
      </c>
      <c r="C698" s="26" t="str">
        <f t="shared" si="64"/>
        <v>João Pereira</v>
      </c>
      <c r="D698" s="37" t="s">
        <v>248</v>
      </c>
      <c r="E698" s="27">
        <f t="shared" si="65"/>
        <v>45962</v>
      </c>
      <c r="F698" s="26" t="s">
        <v>22</v>
      </c>
      <c r="G698" s="26" t="str">
        <f t="shared" si="66"/>
        <v>Amanda Costa</v>
      </c>
      <c r="H698" s="26" t="s">
        <v>52</v>
      </c>
      <c r="I698" s="26" t="s">
        <v>99</v>
      </c>
      <c r="J698" s="28">
        <v>3</v>
      </c>
      <c r="K698" s="29">
        <v>79</v>
      </c>
      <c r="L698" s="29">
        <v>0</v>
      </c>
      <c r="M698" s="30">
        <f t="shared" si="68"/>
        <v>237</v>
      </c>
      <c r="N698" s="26" t="s">
        <v>49</v>
      </c>
      <c r="Q698" s="42" t="s">
        <v>1087</v>
      </c>
      <c r="R698" s="42" t="s">
        <v>41</v>
      </c>
      <c r="S698" s="57">
        <f t="shared" si="67"/>
        <v>45962</v>
      </c>
      <c r="T698" s="44" t="s">
        <v>22</v>
      </c>
      <c r="U698" s="43" t="s">
        <v>52</v>
      </c>
      <c r="V698" s="42" t="s">
        <v>99</v>
      </c>
      <c r="W698" s="45">
        <v>3</v>
      </c>
      <c r="X698" s="46">
        <v>79</v>
      </c>
      <c r="Y698" s="46">
        <v>0</v>
      </c>
      <c r="Z698" s="47">
        <f t="shared" si="69"/>
        <v>237</v>
      </c>
      <c r="AA698" s="48" t="s">
        <v>49</v>
      </c>
      <c r="AB698"/>
    </row>
    <row r="699" spans="1:28" x14ac:dyDescent="0.25">
      <c r="A699" s="31" t="s">
        <v>1088</v>
      </c>
      <c r="B699" s="31" t="s">
        <v>55</v>
      </c>
      <c r="C699" s="32" t="str">
        <f t="shared" si="64"/>
        <v>Ricardo Carvalho</v>
      </c>
      <c r="D699" s="38" t="s">
        <v>1058</v>
      </c>
      <c r="E699" s="33">
        <f t="shared" si="65"/>
        <v>45824</v>
      </c>
      <c r="F699" s="32" t="s">
        <v>39</v>
      </c>
      <c r="G699" s="32" t="str">
        <f t="shared" si="66"/>
        <v>Rodrigo Mello</v>
      </c>
      <c r="H699" s="32" t="s">
        <v>52</v>
      </c>
      <c r="I699" s="32" t="s">
        <v>75</v>
      </c>
      <c r="J699" s="34">
        <v>5</v>
      </c>
      <c r="K699" s="35">
        <v>249</v>
      </c>
      <c r="L699" s="35">
        <v>0</v>
      </c>
      <c r="M699" s="36">
        <f t="shared" si="68"/>
        <v>1245</v>
      </c>
      <c r="N699" s="32" t="s">
        <v>69</v>
      </c>
      <c r="Q699" s="49" t="s">
        <v>1088</v>
      </c>
      <c r="R699" s="49" t="s">
        <v>55</v>
      </c>
      <c r="S699" s="58">
        <f t="shared" si="67"/>
        <v>45824</v>
      </c>
      <c r="T699" s="51" t="s">
        <v>39</v>
      </c>
      <c r="U699" s="50" t="s">
        <v>52</v>
      </c>
      <c r="V699" s="52" t="s">
        <v>75</v>
      </c>
      <c r="W699" s="53">
        <v>5</v>
      </c>
      <c r="X699" s="54">
        <v>249</v>
      </c>
      <c r="Y699" s="54">
        <v>0</v>
      </c>
      <c r="Z699" s="55">
        <f t="shared" si="69"/>
        <v>1245</v>
      </c>
      <c r="AA699" s="56" t="s">
        <v>69</v>
      </c>
      <c r="AB699"/>
    </row>
    <row r="700" spans="1:28" x14ac:dyDescent="0.25">
      <c r="A700" s="26" t="s">
        <v>1089</v>
      </c>
      <c r="B700" s="26" t="s">
        <v>27</v>
      </c>
      <c r="C700" s="26" t="str">
        <f t="shared" si="64"/>
        <v>Roberto Santos</v>
      </c>
      <c r="D700" s="37" t="s">
        <v>1090</v>
      </c>
      <c r="E700" s="27">
        <f t="shared" si="65"/>
        <v>45866</v>
      </c>
      <c r="F700" s="26" t="s">
        <v>29</v>
      </c>
      <c r="G700" s="26" t="str">
        <f t="shared" si="66"/>
        <v>Camila Rocha</v>
      </c>
      <c r="H700" s="26" t="s">
        <v>16</v>
      </c>
      <c r="I700" s="26" t="s">
        <v>103</v>
      </c>
      <c r="J700" s="28">
        <v>5</v>
      </c>
      <c r="K700" s="29">
        <v>89</v>
      </c>
      <c r="L700" s="29">
        <v>60.73</v>
      </c>
      <c r="M700" s="30">
        <f t="shared" si="68"/>
        <v>384.27</v>
      </c>
      <c r="N700" s="26" t="s">
        <v>65</v>
      </c>
      <c r="Q700" s="42" t="s">
        <v>1089</v>
      </c>
      <c r="R700" s="42" t="s">
        <v>27</v>
      </c>
      <c r="S700" s="57">
        <f t="shared" si="67"/>
        <v>45866</v>
      </c>
      <c r="T700" s="44" t="s">
        <v>29</v>
      </c>
      <c r="U700" s="43" t="s">
        <v>16</v>
      </c>
      <c r="V700" s="42" t="s">
        <v>103</v>
      </c>
      <c r="W700" s="45">
        <v>5</v>
      </c>
      <c r="X700" s="46">
        <v>89</v>
      </c>
      <c r="Y700" s="46">
        <v>60.73</v>
      </c>
      <c r="Z700" s="47">
        <f t="shared" si="69"/>
        <v>384.27</v>
      </c>
      <c r="AA700" s="48" t="s">
        <v>65</v>
      </c>
      <c r="AB700"/>
    </row>
    <row r="701" spans="1:28" x14ac:dyDescent="0.25">
      <c r="A701" s="31" t="s">
        <v>1091</v>
      </c>
      <c r="B701" s="31" t="s">
        <v>95</v>
      </c>
      <c r="C701" s="32" t="str">
        <f t="shared" si="64"/>
        <v>Maria Oliveira</v>
      </c>
      <c r="D701" s="38" t="s">
        <v>458</v>
      </c>
      <c r="E701" s="33">
        <f t="shared" si="65"/>
        <v>45707</v>
      </c>
      <c r="F701" s="32" t="s">
        <v>39</v>
      </c>
      <c r="G701" s="32" t="str">
        <f t="shared" si="66"/>
        <v>Rodrigo Mello</v>
      </c>
      <c r="H701" s="32" t="s">
        <v>23</v>
      </c>
      <c r="I701" s="32" t="s">
        <v>48</v>
      </c>
      <c r="J701" s="34">
        <v>4</v>
      </c>
      <c r="K701" s="35">
        <v>450</v>
      </c>
      <c r="L701" s="35">
        <v>0</v>
      </c>
      <c r="M701" s="36">
        <f t="shared" si="68"/>
        <v>1800</v>
      </c>
      <c r="N701" s="32" t="s">
        <v>25</v>
      </c>
      <c r="Q701" s="49" t="s">
        <v>1091</v>
      </c>
      <c r="R701" s="49" t="s">
        <v>95</v>
      </c>
      <c r="S701" s="58">
        <f t="shared" si="67"/>
        <v>45707</v>
      </c>
      <c r="T701" s="51" t="s">
        <v>39</v>
      </c>
      <c r="U701" s="50" t="s">
        <v>23</v>
      </c>
      <c r="V701" s="52" t="s">
        <v>48</v>
      </c>
      <c r="W701" s="53">
        <v>4</v>
      </c>
      <c r="X701" s="54">
        <v>450</v>
      </c>
      <c r="Y701" s="54">
        <v>0</v>
      </c>
      <c r="Z701" s="55">
        <f t="shared" si="69"/>
        <v>1800</v>
      </c>
      <c r="AA701" s="56" t="s">
        <v>25</v>
      </c>
      <c r="AB701"/>
    </row>
    <row r="702" spans="1:28" x14ac:dyDescent="0.25">
      <c r="A702" s="26" t="s">
        <v>1092</v>
      </c>
      <c r="B702" s="26" t="s">
        <v>20</v>
      </c>
      <c r="C702" s="26" t="str">
        <f t="shared" si="64"/>
        <v>Beatriz Ribeiro</v>
      </c>
      <c r="D702" s="37" t="s">
        <v>566</v>
      </c>
      <c r="E702" s="27">
        <f t="shared" si="65"/>
        <v>45894</v>
      </c>
      <c r="F702" s="26" t="s">
        <v>39</v>
      </c>
      <c r="G702" s="26" t="str">
        <f t="shared" si="66"/>
        <v>Rodrigo Mello</v>
      </c>
      <c r="H702" s="26" t="s">
        <v>23</v>
      </c>
      <c r="I702" s="26" t="s">
        <v>88</v>
      </c>
      <c r="J702" s="28">
        <v>2</v>
      </c>
      <c r="K702" s="29">
        <v>650</v>
      </c>
      <c r="L702" s="29">
        <v>135.86000000000001</v>
      </c>
      <c r="M702" s="30">
        <f t="shared" si="68"/>
        <v>1164.1399999999999</v>
      </c>
      <c r="N702" s="26" t="s">
        <v>89</v>
      </c>
      <c r="Q702" s="42" t="s">
        <v>1092</v>
      </c>
      <c r="R702" s="42" t="s">
        <v>20</v>
      </c>
      <c r="S702" s="57">
        <f t="shared" si="67"/>
        <v>45894</v>
      </c>
      <c r="T702" s="44" t="s">
        <v>39</v>
      </c>
      <c r="U702" s="43" t="s">
        <v>23</v>
      </c>
      <c r="V702" s="42" t="s">
        <v>88</v>
      </c>
      <c r="W702" s="45">
        <v>2</v>
      </c>
      <c r="X702" s="46">
        <v>650</v>
      </c>
      <c r="Y702" s="46">
        <v>135.86000000000001</v>
      </c>
      <c r="Z702" s="47">
        <f t="shared" si="69"/>
        <v>1164.1399999999999</v>
      </c>
      <c r="AA702" s="48" t="s">
        <v>89</v>
      </c>
      <c r="AB702"/>
    </row>
    <row r="703" spans="1:28" x14ac:dyDescent="0.25">
      <c r="A703" s="31" t="s">
        <v>1093</v>
      </c>
      <c r="B703" s="31" t="s">
        <v>110</v>
      </c>
      <c r="C703" s="32" t="str">
        <f t="shared" si="64"/>
        <v>Fernanda Lima</v>
      </c>
      <c r="D703" s="38" t="s">
        <v>1094</v>
      </c>
      <c r="E703" s="33">
        <f t="shared" si="65"/>
        <v>45958</v>
      </c>
      <c r="F703" s="32" t="s">
        <v>39</v>
      </c>
      <c r="G703" s="32" t="str">
        <f t="shared" si="66"/>
        <v>Rodrigo Mello</v>
      </c>
      <c r="H703" s="32" t="s">
        <v>30</v>
      </c>
      <c r="I703" s="32" t="s">
        <v>106</v>
      </c>
      <c r="J703" s="34">
        <v>2</v>
      </c>
      <c r="K703" s="35">
        <v>299</v>
      </c>
      <c r="L703" s="35">
        <v>0</v>
      </c>
      <c r="M703" s="36">
        <f t="shared" si="68"/>
        <v>598</v>
      </c>
      <c r="N703" s="32" t="s">
        <v>49</v>
      </c>
      <c r="Q703" s="49" t="s">
        <v>1093</v>
      </c>
      <c r="R703" s="49" t="s">
        <v>110</v>
      </c>
      <c r="S703" s="58">
        <f t="shared" si="67"/>
        <v>45958</v>
      </c>
      <c r="T703" s="51" t="s">
        <v>39</v>
      </c>
      <c r="U703" s="50" t="s">
        <v>30</v>
      </c>
      <c r="V703" s="52" t="s">
        <v>106</v>
      </c>
      <c r="W703" s="53">
        <v>2</v>
      </c>
      <c r="X703" s="54">
        <v>299</v>
      </c>
      <c r="Y703" s="54">
        <v>0</v>
      </c>
      <c r="Z703" s="55">
        <f t="shared" si="69"/>
        <v>598</v>
      </c>
      <c r="AA703" s="56" t="s">
        <v>49</v>
      </c>
      <c r="AB703"/>
    </row>
    <row r="704" spans="1:28" x14ac:dyDescent="0.25">
      <c r="A704" s="26" t="s">
        <v>1095</v>
      </c>
      <c r="B704" s="26" t="s">
        <v>27</v>
      </c>
      <c r="C704" s="26" t="str">
        <f t="shared" si="64"/>
        <v>Roberto Santos</v>
      </c>
      <c r="D704" s="37" t="s">
        <v>1029</v>
      </c>
      <c r="E704" s="27">
        <f t="shared" si="65"/>
        <v>46006</v>
      </c>
      <c r="F704" s="26" t="s">
        <v>22</v>
      </c>
      <c r="G704" s="26" t="str">
        <f t="shared" si="66"/>
        <v>Amanda Costa</v>
      </c>
      <c r="H704" s="26" t="s">
        <v>52</v>
      </c>
      <c r="I704" s="26" t="s">
        <v>75</v>
      </c>
      <c r="J704" s="28">
        <v>1</v>
      </c>
      <c r="K704" s="29">
        <v>249</v>
      </c>
      <c r="L704" s="29">
        <v>26.23</v>
      </c>
      <c r="M704" s="30">
        <f t="shared" si="68"/>
        <v>222.77</v>
      </c>
      <c r="N704" s="26" t="s">
        <v>32</v>
      </c>
      <c r="Q704" s="42" t="s">
        <v>1095</v>
      </c>
      <c r="R704" s="42" t="s">
        <v>27</v>
      </c>
      <c r="S704" s="57">
        <f t="shared" si="67"/>
        <v>46006</v>
      </c>
      <c r="T704" s="44" t="s">
        <v>22</v>
      </c>
      <c r="U704" s="43" t="s">
        <v>52</v>
      </c>
      <c r="V704" s="42" t="s">
        <v>75</v>
      </c>
      <c r="W704" s="45">
        <v>1</v>
      </c>
      <c r="X704" s="46">
        <v>249</v>
      </c>
      <c r="Y704" s="46">
        <v>26.23</v>
      </c>
      <c r="Z704" s="47">
        <f t="shared" si="69"/>
        <v>222.77</v>
      </c>
      <c r="AA704" s="48" t="s">
        <v>32</v>
      </c>
      <c r="AB704"/>
    </row>
    <row r="705" spans="1:28" x14ac:dyDescent="0.25">
      <c r="A705" s="31" t="s">
        <v>1096</v>
      </c>
      <c r="B705" s="31" t="s">
        <v>34</v>
      </c>
      <c r="C705" s="32" t="str">
        <f t="shared" si="64"/>
        <v>Carlos Silva</v>
      </c>
      <c r="D705" s="38" t="s">
        <v>120</v>
      </c>
      <c r="E705" s="33">
        <f t="shared" si="65"/>
        <v>45730</v>
      </c>
      <c r="F705" s="32" t="s">
        <v>22</v>
      </c>
      <c r="G705" s="32" t="str">
        <f t="shared" si="66"/>
        <v>Amanda Costa</v>
      </c>
      <c r="H705" s="32" t="s">
        <v>23</v>
      </c>
      <c r="I705" s="32" t="s">
        <v>43</v>
      </c>
      <c r="J705" s="34">
        <v>5</v>
      </c>
      <c r="K705" s="35">
        <v>350</v>
      </c>
      <c r="L705" s="35">
        <v>195.27</v>
      </c>
      <c r="M705" s="36">
        <f t="shared" si="68"/>
        <v>1554.73</v>
      </c>
      <c r="N705" s="32" t="s">
        <v>49</v>
      </c>
      <c r="Q705" s="49" t="s">
        <v>1096</v>
      </c>
      <c r="R705" s="49" t="s">
        <v>34</v>
      </c>
      <c r="S705" s="58">
        <f t="shared" si="67"/>
        <v>45730</v>
      </c>
      <c r="T705" s="51" t="s">
        <v>22</v>
      </c>
      <c r="U705" s="50" t="s">
        <v>23</v>
      </c>
      <c r="V705" s="52" t="s">
        <v>43</v>
      </c>
      <c r="W705" s="53">
        <v>5</v>
      </c>
      <c r="X705" s="54">
        <v>350</v>
      </c>
      <c r="Y705" s="54">
        <v>195.27</v>
      </c>
      <c r="Z705" s="55">
        <f t="shared" si="69"/>
        <v>1554.73</v>
      </c>
      <c r="AA705" s="56" t="s">
        <v>49</v>
      </c>
      <c r="AB705"/>
    </row>
    <row r="706" spans="1:28" x14ac:dyDescent="0.25">
      <c r="A706" s="26" t="s">
        <v>1097</v>
      </c>
      <c r="B706" s="26" t="s">
        <v>110</v>
      </c>
      <c r="C706" s="26" t="str">
        <f t="shared" si="64"/>
        <v>Fernanda Lima</v>
      </c>
      <c r="D706" s="37" t="s">
        <v>1690</v>
      </c>
      <c r="E706" s="27">
        <f t="shared" si="65"/>
        <v>46016</v>
      </c>
      <c r="F706" s="26" t="s">
        <v>29</v>
      </c>
      <c r="G706" s="26" t="str">
        <f t="shared" si="66"/>
        <v>Camila Rocha</v>
      </c>
      <c r="H706" s="26" t="s">
        <v>30</v>
      </c>
      <c r="I706" s="26" t="s">
        <v>31</v>
      </c>
      <c r="J706" s="28">
        <v>1</v>
      </c>
      <c r="K706" s="29">
        <v>2500</v>
      </c>
      <c r="L706" s="29">
        <v>0</v>
      </c>
      <c r="M706" s="30">
        <f t="shared" si="68"/>
        <v>2500</v>
      </c>
      <c r="N706" s="26" t="s">
        <v>32</v>
      </c>
      <c r="Q706" s="42" t="s">
        <v>1097</v>
      </c>
      <c r="R706" s="42" t="s">
        <v>110</v>
      </c>
      <c r="S706" s="57">
        <f t="shared" si="67"/>
        <v>46016</v>
      </c>
      <c r="T706" s="44" t="s">
        <v>29</v>
      </c>
      <c r="U706" s="43" t="s">
        <v>30</v>
      </c>
      <c r="V706" s="42" t="s">
        <v>31</v>
      </c>
      <c r="W706" s="45">
        <v>1</v>
      </c>
      <c r="X706" s="46">
        <v>2500</v>
      </c>
      <c r="Y706" s="46">
        <v>0</v>
      </c>
      <c r="Z706" s="47">
        <f t="shared" si="69"/>
        <v>2500</v>
      </c>
      <c r="AA706" s="48" t="s">
        <v>32</v>
      </c>
      <c r="AB706"/>
    </row>
    <row r="707" spans="1:28" x14ac:dyDescent="0.25">
      <c r="A707" s="31" t="s">
        <v>1098</v>
      </c>
      <c r="B707" s="31" t="s">
        <v>27</v>
      </c>
      <c r="C707" s="32" t="str">
        <f t="shared" ref="C707:C770" si="70">SUBSTITUTE(SUBSTITUTE(SUBSTITUTE(SUBSTITUTE(PROPER(B707)," Da "," ")," De "," ")," Do "," ")," Dos "," ")</f>
        <v>Roberto Santos</v>
      </c>
      <c r="D707" s="38" t="s">
        <v>789</v>
      </c>
      <c r="E707" s="33">
        <f t="shared" ref="E707:E770" si="71">DATEVALUE(D707)</f>
        <v>45773</v>
      </c>
      <c r="F707" s="32" t="s">
        <v>15</v>
      </c>
      <c r="G707" s="32" t="str">
        <f t="shared" ref="G707:G770" si="72">SUBSTITUTE(SUBSTITUTE(SUBSTITUTE(SUBSTITUTE(PROPER(F707)," Da "," ")," De "," ")," Do "," ")," Dos "," ")</f>
        <v>Larissa Dias</v>
      </c>
      <c r="H707" s="32" t="s">
        <v>23</v>
      </c>
      <c r="I707" s="32" t="s">
        <v>43</v>
      </c>
      <c r="J707" s="34">
        <v>4</v>
      </c>
      <c r="K707" s="35">
        <v>350</v>
      </c>
      <c r="L707" s="35">
        <v>54.94</v>
      </c>
      <c r="M707" s="36">
        <f t="shared" si="68"/>
        <v>1345.06</v>
      </c>
      <c r="N707" s="32" t="s">
        <v>89</v>
      </c>
      <c r="Q707" s="49" t="s">
        <v>1098</v>
      </c>
      <c r="R707" s="49" t="s">
        <v>27</v>
      </c>
      <c r="S707" s="58">
        <f t="shared" si="67"/>
        <v>45773</v>
      </c>
      <c r="T707" s="51" t="s">
        <v>15</v>
      </c>
      <c r="U707" s="50" t="s">
        <v>23</v>
      </c>
      <c r="V707" s="52" t="s">
        <v>43</v>
      </c>
      <c r="W707" s="53">
        <v>4</v>
      </c>
      <c r="X707" s="54">
        <v>350</v>
      </c>
      <c r="Y707" s="54">
        <v>54.94</v>
      </c>
      <c r="Z707" s="55">
        <f t="shared" si="69"/>
        <v>1345.06</v>
      </c>
      <c r="AA707" s="56" t="s">
        <v>89</v>
      </c>
      <c r="AB707"/>
    </row>
    <row r="708" spans="1:28" x14ac:dyDescent="0.25">
      <c r="A708" s="26" t="s">
        <v>1099</v>
      </c>
      <c r="B708" s="26" t="s">
        <v>41</v>
      </c>
      <c r="C708" s="26" t="str">
        <f t="shared" si="70"/>
        <v>João Pereira</v>
      </c>
      <c r="D708" s="37" t="s">
        <v>220</v>
      </c>
      <c r="E708" s="27">
        <f t="shared" si="71"/>
        <v>45760</v>
      </c>
      <c r="F708" s="26" t="s">
        <v>15</v>
      </c>
      <c r="G708" s="26" t="str">
        <f t="shared" si="72"/>
        <v>Larissa Dias</v>
      </c>
      <c r="H708" s="26" t="s">
        <v>23</v>
      </c>
      <c r="I708" s="26" t="s">
        <v>43</v>
      </c>
      <c r="J708" s="28">
        <v>2</v>
      </c>
      <c r="K708" s="29">
        <v>350</v>
      </c>
      <c r="L708" s="29">
        <v>13.93</v>
      </c>
      <c r="M708" s="30">
        <f t="shared" si="68"/>
        <v>686.07</v>
      </c>
      <c r="N708" s="26" t="s">
        <v>25</v>
      </c>
      <c r="Q708" s="42" t="s">
        <v>1099</v>
      </c>
      <c r="R708" s="42" t="s">
        <v>41</v>
      </c>
      <c r="S708" s="57">
        <f t="shared" si="67"/>
        <v>45760</v>
      </c>
      <c r="T708" s="44" t="s">
        <v>15</v>
      </c>
      <c r="U708" s="43" t="s">
        <v>23</v>
      </c>
      <c r="V708" s="42" t="s">
        <v>43</v>
      </c>
      <c r="W708" s="45">
        <v>2</v>
      </c>
      <c r="X708" s="46">
        <v>350</v>
      </c>
      <c r="Y708" s="46">
        <v>13.93</v>
      </c>
      <c r="Z708" s="47">
        <f t="shared" si="69"/>
        <v>686.07</v>
      </c>
      <c r="AA708" s="48" t="s">
        <v>25</v>
      </c>
      <c r="AB708"/>
    </row>
    <row r="709" spans="1:28" x14ac:dyDescent="0.25">
      <c r="A709" s="31" t="s">
        <v>1100</v>
      </c>
      <c r="B709" s="31" t="s">
        <v>34</v>
      </c>
      <c r="C709" s="32" t="str">
        <f t="shared" si="70"/>
        <v>Carlos Silva</v>
      </c>
      <c r="D709" s="38" t="s">
        <v>1101</v>
      </c>
      <c r="E709" s="33">
        <f t="shared" si="71"/>
        <v>45711</v>
      </c>
      <c r="F709" s="32" t="s">
        <v>15</v>
      </c>
      <c r="G709" s="32" t="str">
        <f t="shared" si="72"/>
        <v>Larissa Dias</v>
      </c>
      <c r="H709" s="32" t="s">
        <v>30</v>
      </c>
      <c r="I709" s="32" t="s">
        <v>68</v>
      </c>
      <c r="J709" s="34">
        <v>3</v>
      </c>
      <c r="K709" s="35">
        <v>799</v>
      </c>
      <c r="L709" s="35">
        <v>0</v>
      </c>
      <c r="M709" s="36">
        <f t="shared" si="68"/>
        <v>2397</v>
      </c>
      <c r="N709" s="32" t="s">
        <v>65</v>
      </c>
      <c r="Q709" s="49" t="s">
        <v>1100</v>
      </c>
      <c r="R709" s="49" t="s">
        <v>34</v>
      </c>
      <c r="S709" s="58">
        <f t="shared" si="67"/>
        <v>45711</v>
      </c>
      <c r="T709" s="51" t="s">
        <v>15</v>
      </c>
      <c r="U709" s="50" t="s">
        <v>30</v>
      </c>
      <c r="V709" s="52" t="s">
        <v>68</v>
      </c>
      <c r="W709" s="53">
        <v>3</v>
      </c>
      <c r="X709" s="54">
        <v>799</v>
      </c>
      <c r="Y709" s="54">
        <v>0</v>
      </c>
      <c r="Z709" s="55">
        <f t="shared" si="69"/>
        <v>2397</v>
      </c>
      <c r="AA709" s="56" t="s">
        <v>65</v>
      </c>
      <c r="AB709"/>
    </row>
    <row r="710" spans="1:28" x14ac:dyDescent="0.25">
      <c r="A710" s="26" t="s">
        <v>1102</v>
      </c>
      <c r="B710" s="26" t="s">
        <v>277</v>
      </c>
      <c r="C710" s="26" t="str">
        <f t="shared" si="70"/>
        <v>Carlos Silva</v>
      </c>
      <c r="D710" s="37" t="s">
        <v>612</v>
      </c>
      <c r="E710" s="27">
        <f t="shared" si="71"/>
        <v>45908</v>
      </c>
      <c r="F710" s="26" t="s">
        <v>15</v>
      </c>
      <c r="G710" s="26" t="str">
        <f t="shared" si="72"/>
        <v>Larissa Dias</v>
      </c>
      <c r="H710" s="26" t="s">
        <v>30</v>
      </c>
      <c r="I710" s="26" t="s">
        <v>68</v>
      </c>
      <c r="J710" s="28">
        <v>1</v>
      </c>
      <c r="K710" s="29">
        <v>799</v>
      </c>
      <c r="L710" s="29">
        <v>50.98</v>
      </c>
      <c r="M710" s="30">
        <f t="shared" si="68"/>
        <v>748.02</v>
      </c>
      <c r="N710" s="26" t="s">
        <v>69</v>
      </c>
      <c r="Q710" s="42" t="s">
        <v>1102</v>
      </c>
      <c r="R710" s="42" t="s">
        <v>34</v>
      </c>
      <c r="S710" s="57">
        <f t="shared" ref="S710:S773" si="73">DATEVALUE(D710)</f>
        <v>45908</v>
      </c>
      <c r="T710" s="44" t="s">
        <v>15</v>
      </c>
      <c r="U710" s="43" t="s">
        <v>30</v>
      </c>
      <c r="V710" s="42" t="s">
        <v>68</v>
      </c>
      <c r="W710" s="45">
        <v>1</v>
      </c>
      <c r="X710" s="46">
        <v>799</v>
      </c>
      <c r="Y710" s="46">
        <v>50.98</v>
      </c>
      <c r="Z710" s="47">
        <f t="shared" si="69"/>
        <v>748.02</v>
      </c>
      <c r="AA710" s="48" t="s">
        <v>69</v>
      </c>
      <c r="AB710"/>
    </row>
    <row r="711" spans="1:28" x14ac:dyDescent="0.25">
      <c r="A711" s="31" t="s">
        <v>1103</v>
      </c>
      <c r="B711" s="31" t="s">
        <v>110</v>
      </c>
      <c r="C711" s="32" t="str">
        <f t="shared" si="70"/>
        <v>Fernanda Lima</v>
      </c>
      <c r="D711" s="38" t="s">
        <v>202</v>
      </c>
      <c r="E711" s="33">
        <f t="shared" si="71"/>
        <v>46038</v>
      </c>
      <c r="F711" s="32" t="s">
        <v>15</v>
      </c>
      <c r="G711" s="32" t="str">
        <f t="shared" si="72"/>
        <v>Larissa Dias</v>
      </c>
      <c r="H711" s="32" t="s">
        <v>30</v>
      </c>
      <c r="I711" s="32" t="s">
        <v>106</v>
      </c>
      <c r="J711" s="34">
        <v>4</v>
      </c>
      <c r="K711" s="35">
        <v>299</v>
      </c>
      <c r="L711" s="35">
        <v>0</v>
      </c>
      <c r="M711" s="36">
        <f t="shared" si="68"/>
        <v>1196</v>
      </c>
      <c r="N711" s="32" t="s">
        <v>32</v>
      </c>
      <c r="Q711" s="49" t="s">
        <v>1103</v>
      </c>
      <c r="R711" s="49" t="s">
        <v>110</v>
      </c>
      <c r="S711" s="58">
        <f t="shared" si="73"/>
        <v>46038</v>
      </c>
      <c r="T711" s="51" t="s">
        <v>15</v>
      </c>
      <c r="U711" s="50" t="s">
        <v>30</v>
      </c>
      <c r="V711" s="52" t="s">
        <v>106</v>
      </c>
      <c r="W711" s="53">
        <v>4</v>
      </c>
      <c r="X711" s="54">
        <v>299</v>
      </c>
      <c r="Y711" s="54">
        <v>0</v>
      </c>
      <c r="Z711" s="55">
        <f t="shared" si="69"/>
        <v>1196</v>
      </c>
      <c r="AA711" s="56" t="s">
        <v>32</v>
      </c>
      <c r="AB711"/>
    </row>
    <row r="712" spans="1:28" x14ac:dyDescent="0.25">
      <c r="A712" s="26" t="s">
        <v>1104</v>
      </c>
      <c r="B712" s="26" t="s">
        <v>63</v>
      </c>
      <c r="C712" s="26" t="str">
        <f t="shared" si="70"/>
        <v>Marcos Rodrigues</v>
      </c>
      <c r="D712" s="37" t="s">
        <v>105</v>
      </c>
      <c r="E712" s="27">
        <f t="shared" si="71"/>
        <v>45902</v>
      </c>
      <c r="F712" s="26" t="s">
        <v>22</v>
      </c>
      <c r="G712" s="26" t="str">
        <f t="shared" si="72"/>
        <v>Amanda Costa</v>
      </c>
      <c r="H712" s="26" t="s">
        <v>23</v>
      </c>
      <c r="I712" s="26" t="s">
        <v>43</v>
      </c>
      <c r="J712" s="28">
        <v>2</v>
      </c>
      <c r="K712" s="29">
        <v>350</v>
      </c>
      <c r="L712" s="29">
        <v>37.89</v>
      </c>
      <c r="M712" s="30">
        <f t="shared" ref="M712:M775" si="74">(J712*K712)-L712</f>
        <v>662.11</v>
      </c>
      <c r="N712" s="26" t="s">
        <v>25</v>
      </c>
      <c r="Q712" s="42" t="s">
        <v>1104</v>
      </c>
      <c r="R712" s="42" t="s">
        <v>63</v>
      </c>
      <c r="S712" s="57">
        <f t="shared" si="73"/>
        <v>45902</v>
      </c>
      <c r="T712" s="44" t="s">
        <v>22</v>
      </c>
      <c r="U712" s="43" t="s">
        <v>23</v>
      </c>
      <c r="V712" s="42" t="s">
        <v>43</v>
      </c>
      <c r="W712" s="45">
        <v>2</v>
      </c>
      <c r="X712" s="46">
        <v>350</v>
      </c>
      <c r="Y712" s="46">
        <v>37.89</v>
      </c>
      <c r="Z712" s="47">
        <f t="shared" ref="Z712:Z775" si="75">(W712*X712)-Y712</f>
        <v>662.11</v>
      </c>
      <c r="AA712" s="48" t="s">
        <v>25</v>
      </c>
      <c r="AB712"/>
    </row>
    <row r="713" spans="1:28" x14ac:dyDescent="0.25">
      <c r="A713" s="31" t="s">
        <v>1105</v>
      </c>
      <c r="B713" s="31" t="s">
        <v>101</v>
      </c>
      <c r="C713" s="32" t="str">
        <f t="shared" si="70"/>
        <v>Ana Souza</v>
      </c>
      <c r="D713" s="38" t="s">
        <v>449</v>
      </c>
      <c r="E713" s="33">
        <f t="shared" si="71"/>
        <v>45912</v>
      </c>
      <c r="F713" s="32" t="s">
        <v>29</v>
      </c>
      <c r="G713" s="32" t="str">
        <f t="shared" si="72"/>
        <v>Camila Rocha</v>
      </c>
      <c r="H713" s="32" t="s">
        <v>23</v>
      </c>
      <c r="I713" s="32" t="s">
        <v>48</v>
      </c>
      <c r="J713" s="34">
        <v>1</v>
      </c>
      <c r="K713" s="35">
        <v>450</v>
      </c>
      <c r="L713" s="35">
        <v>9.99</v>
      </c>
      <c r="M713" s="36">
        <f t="shared" si="74"/>
        <v>440.01</v>
      </c>
      <c r="N713" s="32" t="s">
        <v>25</v>
      </c>
      <c r="Q713" s="49" t="s">
        <v>1105</v>
      </c>
      <c r="R713" s="49" t="s">
        <v>101</v>
      </c>
      <c r="S713" s="58">
        <f t="shared" si="73"/>
        <v>45912</v>
      </c>
      <c r="T713" s="51" t="s">
        <v>29</v>
      </c>
      <c r="U713" s="50" t="s">
        <v>23</v>
      </c>
      <c r="V713" s="52" t="s">
        <v>48</v>
      </c>
      <c r="W713" s="53">
        <v>1</v>
      </c>
      <c r="X713" s="54">
        <v>450</v>
      </c>
      <c r="Y713" s="54">
        <v>9.99</v>
      </c>
      <c r="Z713" s="55">
        <f t="shared" si="75"/>
        <v>440.01</v>
      </c>
      <c r="AA713" s="56" t="s">
        <v>25</v>
      </c>
      <c r="AB713"/>
    </row>
    <row r="714" spans="1:28" x14ac:dyDescent="0.25">
      <c r="A714" s="26" t="s">
        <v>1106</v>
      </c>
      <c r="B714" s="26" t="s">
        <v>37</v>
      </c>
      <c r="C714" s="26" t="str">
        <f t="shared" si="70"/>
        <v>Patricia Gomes</v>
      </c>
      <c r="D714" s="37" t="s">
        <v>446</v>
      </c>
      <c r="E714" s="27">
        <f t="shared" si="71"/>
        <v>45946</v>
      </c>
      <c r="F714" s="26" t="s">
        <v>22</v>
      </c>
      <c r="G714" s="26" t="str">
        <f t="shared" si="72"/>
        <v>Amanda Costa</v>
      </c>
      <c r="H714" s="26" t="s">
        <v>23</v>
      </c>
      <c r="I714" s="26" t="s">
        <v>88</v>
      </c>
      <c r="J714" s="28">
        <v>3</v>
      </c>
      <c r="K714" s="29">
        <v>650</v>
      </c>
      <c r="L714" s="29">
        <v>177.09</v>
      </c>
      <c r="M714" s="30">
        <f t="shared" si="74"/>
        <v>1772.91</v>
      </c>
      <c r="N714" s="26" t="s">
        <v>89</v>
      </c>
      <c r="Q714" s="42" t="s">
        <v>1106</v>
      </c>
      <c r="R714" s="42" t="s">
        <v>37</v>
      </c>
      <c r="S714" s="57">
        <f t="shared" si="73"/>
        <v>45946</v>
      </c>
      <c r="T714" s="44" t="s">
        <v>22</v>
      </c>
      <c r="U714" s="43" t="s">
        <v>23</v>
      </c>
      <c r="V714" s="42" t="s">
        <v>88</v>
      </c>
      <c r="W714" s="45">
        <v>3</v>
      </c>
      <c r="X714" s="46">
        <v>650</v>
      </c>
      <c r="Y714" s="46">
        <v>177.09</v>
      </c>
      <c r="Z714" s="47">
        <f t="shared" si="75"/>
        <v>1772.91</v>
      </c>
      <c r="AA714" s="48" t="s">
        <v>89</v>
      </c>
      <c r="AB714"/>
    </row>
    <row r="715" spans="1:28" x14ac:dyDescent="0.25">
      <c r="A715" s="31" t="s">
        <v>1107</v>
      </c>
      <c r="B715" s="31" t="s">
        <v>34</v>
      </c>
      <c r="C715" s="32" t="str">
        <f t="shared" si="70"/>
        <v>Carlos Silva</v>
      </c>
      <c r="D715" s="38" t="s">
        <v>650</v>
      </c>
      <c r="E715" s="33">
        <f t="shared" si="71"/>
        <v>45974</v>
      </c>
      <c r="F715" s="32" t="s">
        <v>22</v>
      </c>
      <c r="G715" s="32" t="str">
        <f t="shared" si="72"/>
        <v>Amanda Costa</v>
      </c>
      <c r="H715" s="32" t="s">
        <v>23</v>
      </c>
      <c r="I715" s="32" t="s">
        <v>48</v>
      </c>
      <c r="J715" s="34">
        <v>5</v>
      </c>
      <c r="K715" s="35">
        <v>450</v>
      </c>
      <c r="L715" s="35">
        <v>190.48</v>
      </c>
      <c r="M715" s="36">
        <f t="shared" si="74"/>
        <v>2059.52</v>
      </c>
      <c r="N715" s="32" t="s">
        <v>18</v>
      </c>
      <c r="Q715" s="49" t="s">
        <v>1107</v>
      </c>
      <c r="R715" s="49" t="s">
        <v>34</v>
      </c>
      <c r="S715" s="58">
        <f t="shared" si="73"/>
        <v>45974</v>
      </c>
      <c r="T715" s="51" t="s">
        <v>22</v>
      </c>
      <c r="U715" s="50" t="s">
        <v>23</v>
      </c>
      <c r="V715" s="52" t="s">
        <v>48</v>
      </c>
      <c r="W715" s="53">
        <v>5</v>
      </c>
      <c r="X715" s="54">
        <v>450</v>
      </c>
      <c r="Y715" s="54">
        <v>190.48</v>
      </c>
      <c r="Z715" s="55">
        <f t="shared" si="75"/>
        <v>2059.52</v>
      </c>
      <c r="AA715" s="56" t="s">
        <v>18</v>
      </c>
      <c r="AB715"/>
    </row>
    <row r="716" spans="1:28" x14ac:dyDescent="0.25">
      <c r="A716" s="26" t="s">
        <v>1108</v>
      </c>
      <c r="B716" s="26" t="s">
        <v>27</v>
      </c>
      <c r="C716" s="26" t="str">
        <f t="shared" si="70"/>
        <v>Roberto Santos</v>
      </c>
      <c r="D716" s="37" t="s">
        <v>280</v>
      </c>
      <c r="E716" s="27">
        <f t="shared" si="71"/>
        <v>45893</v>
      </c>
      <c r="F716" s="26" t="s">
        <v>29</v>
      </c>
      <c r="G716" s="26" t="str">
        <f t="shared" si="72"/>
        <v>Camila Rocha</v>
      </c>
      <c r="H716" s="26" t="s">
        <v>52</v>
      </c>
      <c r="I716" s="26" t="s">
        <v>53</v>
      </c>
      <c r="J716" s="28">
        <v>1</v>
      </c>
      <c r="K716" s="29">
        <v>149</v>
      </c>
      <c r="L716" s="29">
        <v>0</v>
      </c>
      <c r="M716" s="30">
        <f t="shared" si="74"/>
        <v>149</v>
      </c>
      <c r="N716" s="26" t="s">
        <v>18</v>
      </c>
      <c r="Q716" s="42" t="s">
        <v>1108</v>
      </c>
      <c r="R716" s="42" t="s">
        <v>27</v>
      </c>
      <c r="S716" s="57">
        <f t="shared" si="73"/>
        <v>45893</v>
      </c>
      <c r="T716" s="44" t="s">
        <v>29</v>
      </c>
      <c r="U716" s="43" t="s">
        <v>52</v>
      </c>
      <c r="V716" s="42" t="s">
        <v>53</v>
      </c>
      <c r="W716" s="45">
        <v>1</v>
      </c>
      <c r="X716" s="46">
        <v>149</v>
      </c>
      <c r="Y716" s="46">
        <v>0</v>
      </c>
      <c r="Z716" s="47">
        <f t="shared" si="75"/>
        <v>149</v>
      </c>
      <c r="AA716" s="48" t="s">
        <v>18</v>
      </c>
      <c r="AB716"/>
    </row>
    <row r="717" spans="1:28" x14ac:dyDescent="0.25">
      <c r="A717" s="31" t="s">
        <v>1109</v>
      </c>
      <c r="B717" s="31" t="s">
        <v>55</v>
      </c>
      <c r="C717" s="32" t="str">
        <f t="shared" si="70"/>
        <v>Ricardo Carvalho</v>
      </c>
      <c r="D717" s="38" t="s">
        <v>384</v>
      </c>
      <c r="E717" s="33">
        <f t="shared" si="71"/>
        <v>46058</v>
      </c>
      <c r="F717" s="32" t="s">
        <v>29</v>
      </c>
      <c r="G717" s="32" t="str">
        <f t="shared" si="72"/>
        <v>Camila Rocha</v>
      </c>
      <c r="H717" s="32" t="s">
        <v>52</v>
      </c>
      <c r="I717" s="32" t="s">
        <v>53</v>
      </c>
      <c r="J717" s="34">
        <v>2</v>
      </c>
      <c r="K717" s="35">
        <v>149</v>
      </c>
      <c r="L717" s="35">
        <v>0.89</v>
      </c>
      <c r="M717" s="36">
        <f t="shared" si="74"/>
        <v>297.11</v>
      </c>
      <c r="N717" s="32" t="s">
        <v>25</v>
      </c>
      <c r="Q717" s="49" t="s">
        <v>1109</v>
      </c>
      <c r="R717" s="49" t="s">
        <v>55</v>
      </c>
      <c r="S717" s="58">
        <f t="shared" si="73"/>
        <v>46058</v>
      </c>
      <c r="T717" s="51" t="s">
        <v>29</v>
      </c>
      <c r="U717" s="50" t="s">
        <v>52</v>
      </c>
      <c r="V717" s="52" t="s">
        <v>53</v>
      </c>
      <c r="W717" s="53">
        <v>2</v>
      </c>
      <c r="X717" s="54">
        <v>149</v>
      </c>
      <c r="Y717" s="54">
        <v>0.89</v>
      </c>
      <c r="Z717" s="55">
        <f t="shared" si="75"/>
        <v>297.11</v>
      </c>
      <c r="AA717" s="56" t="s">
        <v>25</v>
      </c>
      <c r="AB717"/>
    </row>
    <row r="718" spans="1:28" x14ac:dyDescent="0.25">
      <c r="A718" s="26" t="s">
        <v>1110</v>
      </c>
      <c r="B718" s="26" t="s">
        <v>71</v>
      </c>
      <c r="C718" s="26" t="str">
        <f t="shared" si="70"/>
        <v>Juliana Costa</v>
      </c>
      <c r="D718" s="37" t="s">
        <v>484</v>
      </c>
      <c r="E718" s="27">
        <f t="shared" si="71"/>
        <v>45922</v>
      </c>
      <c r="F718" s="26" t="s">
        <v>15</v>
      </c>
      <c r="G718" s="26" t="str">
        <f t="shared" si="72"/>
        <v>Larissa Dias</v>
      </c>
      <c r="H718" s="26" t="s">
        <v>16</v>
      </c>
      <c r="I718" s="26" t="s">
        <v>116</v>
      </c>
      <c r="J718" s="28">
        <v>3</v>
      </c>
      <c r="K718" s="29">
        <v>45</v>
      </c>
      <c r="L718" s="29">
        <v>20.02</v>
      </c>
      <c r="M718" s="30">
        <f t="shared" si="74"/>
        <v>114.98</v>
      </c>
      <c r="N718" s="26" t="s">
        <v>18</v>
      </c>
      <c r="Q718" s="42" t="s">
        <v>1110</v>
      </c>
      <c r="R718" s="42" t="s">
        <v>71</v>
      </c>
      <c r="S718" s="57">
        <f t="shared" si="73"/>
        <v>45922</v>
      </c>
      <c r="T718" s="44" t="s">
        <v>15</v>
      </c>
      <c r="U718" s="43" t="s">
        <v>16</v>
      </c>
      <c r="V718" s="42" t="s">
        <v>116</v>
      </c>
      <c r="W718" s="45">
        <v>3</v>
      </c>
      <c r="X718" s="46">
        <v>45</v>
      </c>
      <c r="Y718" s="46">
        <v>20.02</v>
      </c>
      <c r="Z718" s="47">
        <f t="shared" si="75"/>
        <v>114.98</v>
      </c>
      <c r="AA718" s="48" t="s">
        <v>18</v>
      </c>
      <c r="AB718"/>
    </row>
    <row r="719" spans="1:28" x14ac:dyDescent="0.25">
      <c r="A719" s="31" t="s">
        <v>1111</v>
      </c>
      <c r="B719" s="31" t="s">
        <v>37</v>
      </c>
      <c r="C719" s="32" t="str">
        <f t="shared" si="70"/>
        <v>Patricia Gomes</v>
      </c>
      <c r="D719" s="38" t="s">
        <v>1112</v>
      </c>
      <c r="E719" s="33">
        <f t="shared" si="71"/>
        <v>46015</v>
      </c>
      <c r="F719" s="32" t="s">
        <v>47</v>
      </c>
      <c r="G719" s="32" t="str">
        <f t="shared" si="72"/>
        <v>Bruno Martins</v>
      </c>
      <c r="H719" s="32" t="s">
        <v>30</v>
      </c>
      <c r="I719" s="32" t="s">
        <v>152</v>
      </c>
      <c r="J719" s="34">
        <v>2</v>
      </c>
      <c r="K719" s="35">
        <v>4500</v>
      </c>
      <c r="L719" s="35">
        <v>1208.1099999999999</v>
      </c>
      <c r="M719" s="36">
        <f t="shared" si="74"/>
        <v>7791.89</v>
      </c>
      <c r="N719" s="32" t="s">
        <v>18</v>
      </c>
      <c r="Q719" s="49" t="s">
        <v>1111</v>
      </c>
      <c r="R719" s="49" t="s">
        <v>37</v>
      </c>
      <c r="S719" s="58">
        <f t="shared" si="73"/>
        <v>46015</v>
      </c>
      <c r="T719" s="51" t="s">
        <v>47</v>
      </c>
      <c r="U719" s="50" t="s">
        <v>30</v>
      </c>
      <c r="V719" s="52" t="s">
        <v>152</v>
      </c>
      <c r="W719" s="53">
        <v>2</v>
      </c>
      <c r="X719" s="54">
        <v>4500</v>
      </c>
      <c r="Y719" s="54">
        <v>1208.1099999999999</v>
      </c>
      <c r="Z719" s="55">
        <f t="shared" si="75"/>
        <v>7791.89</v>
      </c>
      <c r="AA719" s="56" t="s">
        <v>18</v>
      </c>
      <c r="AB719"/>
    </row>
    <row r="720" spans="1:28" x14ac:dyDescent="0.25">
      <c r="A720" s="26" t="s">
        <v>1113</v>
      </c>
      <c r="B720" s="26" t="s">
        <v>27</v>
      </c>
      <c r="C720" s="26" t="str">
        <f t="shared" si="70"/>
        <v>Roberto Santos</v>
      </c>
      <c r="D720" s="37" t="s">
        <v>394</v>
      </c>
      <c r="E720" s="27">
        <f t="shared" si="71"/>
        <v>45954</v>
      </c>
      <c r="F720" s="26" t="s">
        <v>15</v>
      </c>
      <c r="G720" s="26" t="str">
        <f t="shared" si="72"/>
        <v>Larissa Dias</v>
      </c>
      <c r="H720" s="26" t="s">
        <v>30</v>
      </c>
      <c r="I720" s="26" t="s">
        <v>31</v>
      </c>
      <c r="J720" s="28">
        <v>1</v>
      </c>
      <c r="K720" s="29">
        <v>2500</v>
      </c>
      <c r="L720" s="29">
        <v>0</v>
      </c>
      <c r="M720" s="30">
        <f t="shared" si="74"/>
        <v>2500</v>
      </c>
      <c r="N720" s="26" t="s">
        <v>25</v>
      </c>
      <c r="Q720" s="42" t="s">
        <v>1113</v>
      </c>
      <c r="R720" s="42" t="s">
        <v>27</v>
      </c>
      <c r="S720" s="57">
        <f t="shared" si="73"/>
        <v>45954</v>
      </c>
      <c r="T720" s="44" t="s">
        <v>15</v>
      </c>
      <c r="U720" s="43" t="s">
        <v>30</v>
      </c>
      <c r="V720" s="42" t="s">
        <v>31</v>
      </c>
      <c r="W720" s="45">
        <v>1</v>
      </c>
      <c r="X720" s="46">
        <v>2500</v>
      </c>
      <c r="Y720" s="46">
        <v>0</v>
      </c>
      <c r="Z720" s="47">
        <f t="shared" si="75"/>
        <v>2500</v>
      </c>
      <c r="AA720" s="48" t="s">
        <v>25</v>
      </c>
      <c r="AB720"/>
    </row>
    <row r="721" spans="1:28" x14ac:dyDescent="0.25">
      <c r="A721" s="31" t="s">
        <v>1114</v>
      </c>
      <c r="B721" s="31" t="s">
        <v>1689</v>
      </c>
      <c r="C721" s="32" t="str">
        <f t="shared" si="70"/>
        <v>Sem Dados</v>
      </c>
      <c r="D721" s="38" t="s">
        <v>371</v>
      </c>
      <c r="E721" s="33">
        <f t="shared" si="71"/>
        <v>46007</v>
      </c>
      <c r="F721" s="32" t="s">
        <v>39</v>
      </c>
      <c r="G721" s="32" t="str">
        <f t="shared" si="72"/>
        <v>Rodrigo Mello</v>
      </c>
      <c r="H721" s="32" t="s">
        <v>52</v>
      </c>
      <c r="I721" s="32" t="s">
        <v>61</v>
      </c>
      <c r="J721" s="34">
        <v>1</v>
      </c>
      <c r="K721" s="35">
        <v>199</v>
      </c>
      <c r="L721" s="35">
        <v>0</v>
      </c>
      <c r="M721" s="36">
        <f t="shared" si="74"/>
        <v>199</v>
      </c>
      <c r="N721" s="32" t="s">
        <v>32</v>
      </c>
      <c r="Q721" s="49" t="s">
        <v>1114</v>
      </c>
      <c r="R721" s="49" t="s">
        <v>1689</v>
      </c>
      <c r="S721" s="58">
        <f t="shared" si="73"/>
        <v>46007</v>
      </c>
      <c r="T721" s="51" t="s">
        <v>39</v>
      </c>
      <c r="U721" s="50" t="s">
        <v>52</v>
      </c>
      <c r="V721" s="52" t="s">
        <v>61</v>
      </c>
      <c r="W721" s="53">
        <v>1</v>
      </c>
      <c r="X721" s="54">
        <v>199</v>
      </c>
      <c r="Y721" s="54">
        <v>0</v>
      </c>
      <c r="Z721" s="55">
        <f t="shared" si="75"/>
        <v>199</v>
      </c>
      <c r="AA721" s="56" t="s">
        <v>32</v>
      </c>
      <c r="AB721"/>
    </row>
    <row r="722" spans="1:28" x14ac:dyDescent="0.25">
      <c r="A722" s="26" t="s">
        <v>1115</v>
      </c>
      <c r="B722" s="26" t="s">
        <v>37</v>
      </c>
      <c r="C722" s="26" t="str">
        <f t="shared" si="70"/>
        <v>Patricia Gomes</v>
      </c>
      <c r="D722" s="37" t="s">
        <v>1116</v>
      </c>
      <c r="E722" s="27">
        <f t="shared" si="71"/>
        <v>46020</v>
      </c>
      <c r="F722" s="26" t="s">
        <v>29</v>
      </c>
      <c r="G722" s="26" t="str">
        <f t="shared" si="72"/>
        <v>Camila Rocha</v>
      </c>
      <c r="H722" s="26" t="s">
        <v>23</v>
      </c>
      <c r="I722" s="26" t="s">
        <v>43</v>
      </c>
      <c r="J722" s="28">
        <v>2</v>
      </c>
      <c r="K722" s="29">
        <v>350</v>
      </c>
      <c r="L722" s="29">
        <v>94.2</v>
      </c>
      <c r="M722" s="30">
        <f t="shared" si="74"/>
        <v>605.79999999999995</v>
      </c>
      <c r="N722" s="26" t="s">
        <v>69</v>
      </c>
      <c r="Q722" s="42" t="s">
        <v>1115</v>
      </c>
      <c r="R722" s="42" t="s">
        <v>37</v>
      </c>
      <c r="S722" s="57">
        <f t="shared" si="73"/>
        <v>46020</v>
      </c>
      <c r="T722" s="44" t="s">
        <v>29</v>
      </c>
      <c r="U722" s="43" t="s">
        <v>23</v>
      </c>
      <c r="V722" s="42" t="s">
        <v>43</v>
      </c>
      <c r="W722" s="45">
        <v>2</v>
      </c>
      <c r="X722" s="46">
        <v>350</v>
      </c>
      <c r="Y722" s="46">
        <v>94.2</v>
      </c>
      <c r="Z722" s="47">
        <f t="shared" si="75"/>
        <v>605.79999999999995</v>
      </c>
      <c r="AA722" s="48" t="s">
        <v>69</v>
      </c>
      <c r="AB722"/>
    </row>
    <row r="723" spans="1:28" x14ac:dyDescent="0.25">
      <c r="A723" s="31" t="s">
        <v>1117</v>
      </c>
      <c r="B723" s="31" t="s">
        <v>55</v>
      </c>
      <c r="C723" s="32" t="str">
        <f t="shared" si="70"/>
        <v>Ricardo Carvalho</v>
      </c>
      <c r="D723" s="38" t="s">
        <v>360</v>
      </c>
      <c r="E723" s="33">
        <f t="shared" si="71"/>
        <v>45778</v>
      </c>
      <c r="F723" s="32" t="s">
        <v>22</v>
      </c>
      <c r="G723" s="32" t="str">
        <f t="shared" si="72"/>
        <v>Amanda Costa</v>
      </c>
      <c r="H723" s="32" t="s">
        <v>52</v>
      </c>
      <c r="I723" s="32" t="s">
        <v>75</v>
      </c>
      <c r="J723" s="34">
        <v>2</v>
      </c>
      <c r="K723" s="35">
        <v>249</v>
      </c>
      <c r="L723" s="35">
        <v>0</v>
      </c>
      <c r="M723" s="36">
        <f t="shared" si="74"/>
        <v>498</v>
      </c>
      <c r="N723" s="32" t="s">
        <v>18</v>
      </c>
      <c r="Q723" s="49" t="s">
        <v>1117</v>
      </c>
      <c r="R723" s="49" t="s">
        <v>55</v>
      </c>
      <c r="S723" s="58">
        <f t="shared" si="73"/>
        <v>45778</v>
      </c>
      <c r="T723" s="51" t="s">
        <v>22</v>
      </c>
      <c r="U723" s="50" t="s">
        <v>52</v>
      </c>
      <c r="V723" s="52" t="s">
        <v>75</v>
      </c>
      <c r="W723" s="53">
        <v>2</v>
      </c>
      <c r="X723" s="54">
        <v>249</v>
      </c>
      <c r="Y723" s="54">
        <v>0</v>
      </c>
      <c r="Z723" s="55">
        <f t="shared" si="75"/>
        <v>498</v>
      </c>
      <c r="AA723" s="56" t="s">
        <v>18</v>
      </c>
      <c r="AB723"/>
    </row>
    <row r="724" spans="1:28" x14ac:dyDescent="0.25">
      <c r="A724" s="26" t="s">
        <v>1118</v>
      </c>
      <c r="B724" s="26" t="s">
        <v>13</v>
      </c>
      <c r="C724" s="26" t="str">
        <f t="shared" si="70"/>
        <v>Lucas Almeida</v>
      </c>
      <c r="D724" s="37" t="s">
        <v>1119</v>
      </c>
      <c r="E724" s="27">
        <f t="shared" si="71"/>
        <v>45780</v>
      </c>
      <c r="F724" s="26" t="s">
        <v>47</v>
      </c>
      <c r="G724" s="26" t="str">
        <f t="shared" si="72"/>
        <v>Bruno Martins</v>
      </c>
      <c r="H724" s="26" t="s">
        <v>52</v>
      </c>
      <c r="I724" s="26" t="s">
        <v>99</v>
      </c>
      <c r="J724" s="28">
        <v>3</v>
      </c>
      <c r="K724" s="29">
        <v>79</v>
      </c>
      <c r="L724" s="29">
        <v>19.510000000000002</v>
      </c>
      <c r="M724" s="30">
        <f t="shared" si="74"/>
        <v>217.49</v>
      </c>
      <c r="N724" s="26" t="s">
        <v>18</v>
      </c>
      <c r="Q724" s="42" t="s">
        <v>1118</v>
      </c>
      <c r="R724" s="42" t="s">
        <v>13</v>
      </c>
      <c r="S724" s="57">
        <f t="shared" si="73"/>
        <v>45780</v>
      </c>
      <c r="T724" s="44" t="s">
        <v>47</v>
      </c>
      <c r="U724" s="43" t="s">
        <v>52</v>
      </c>
      <c r="V724" s="42" t="s">
        <v>99</v>
      </c>
      <c r="W724" s="45">
        <v>3</v>
      </c>
      <c r="X724" s="46">
        <v>79</v>
      </c>
      <c r="Y724" s="46">
        <v>19.510000000000002</v>
      </c>
      <c r="Z724" s="47">
        <f t="shared" si="75"/>
        <v>217.49</v>
      </c>
      <c r="AA724" s="48" t="s">
        <v>18</v>
      </c>
      <c r="AB724"/>
    </row>
    <row r="725" spans="1:28" x14ac:dyDescent="0.25">
      <c r="A725" s="31" t="s">
        <v>1120</v>
      </c>
      <c r="B725" s="31" t="s">
        <v>63</v>
      </c>
      <c r="C725" s="32" t="str">
        <f t="shared" si="70"/>
        <v>Marcos Rodrigues</v>
      </c>
      <c r="D725" s="38" t="s">
        <v>427</v>
      </c>
      <c r="E725" s="33">
        <f t="shared" si="71"/>
        <v>45820</v>
      </c>
      <c r="F725" s="32" t="s">
        <v>47</v>
      </c>
      <c r="G725" s="32" t="str">
        <f t="shared" si="72"/>
        <v>Bruno Martins</v>
      </c>
      <c r="H725" s="32" t="s">
        <v>16</v>
      </c>
      <c r="I725" s="32" t="s">
        <v>78</v>
      </c>
      <c r="J725" s="34">
        <v>2</v>
      </c>
      <c r="K725" s="35">
        <v>59</v>
      </c>
      <c r="L725" s="35">
        <v>8.92</v>
      </c>
      <c r="M725" s="36">
        <f t="shared" si="74"/>
        <v>109.08</v>
      </c>
      <c r="N725" s="32" t="s">
        <v>89</v>
      </c>
      <c r="Q725" s="49" t="s">
        <v>1120</v>
      </c>
      <c r="R725" s="49" t="s">
        <v>63</v>
      </c>
      <c r="S725" s="58">
        <f t="shared" si="73"/>
        <v>45820</v>
      </c>
      <c r="T725" s="51" t="s">
        <v>47</v>
      </c>
      <c r="U725" s="50" t="s">
        <v>16</v>
      </c>
      <c r="V725" s="52" t="s">
        <v>78</v>
      </c>
      <c r="W725" s="53">
        <v>2</v>
      </c>
      <c r="X725" s="54">
        <v>59</v>
      </c>
      <c r="Y725" s="54">
        <v>8.92</v>
      </c>
      <c r="Z725" s="55">
        <f t="shared" si="75"/>
        <v>109.08</v>
      </c>
      <c r="AA725" s="56" t="s">
        <v>89</v>
      </c>
      <c r="AB725"/>
    </row>
    <row r="726" spans="1:28" x14ac:dyDescent="0.25">
      <c r="A726" s="26" t="s">
        <v>1121</v>
      </c>
      <c r="B726" s="26" t="s">
        <v>71</v>
      </c>
      <c r="C726" s="26" t="str">
        <f t="shared" si="70"/>
        <v>Juliana Costa</v>
      </c>
      <c r="D726" s="37" t="s">
        <v>1122</v>
      </c>
      <c r="E726" s="27">
        <f t="shared" si="71"/>
        <v>45758</v>
      </c>
      <c r="F726" s="26" t="s">
        <v>47</v>
      </c>
      <c r="G726" s="26" t="str">
        <f t="shared" si="72"/>
        <v>Bruno Martins</v>
      </c>
      <c r="H726" s="26" t="s">
        <v>30</v>
      </c>
      <c r="I726" s="26" t="s">
        <v>68</v>
      </c>
      <c r="J726" s="28">
        <v>4</v>
      </c>
      <c r="K726" s="29">
        <v>799</v>
      </c>
      <c r="L726" s="29">
        <v>0</v>
      </c>
      <c r="M726" s="30">
        <f t="shared" si="74"/>
        <v>3196</v>
      </c>
      <c r="N726" s="26" t="s">
        <v>25</v>
      </c>
      <c r="Q726" s="42" t="s">
        <v>1121</v>
      </c>
      <c r="R726" s="42" t="s">
        <v>71</v>
      </c>
      <c r="S726" s="57">
        <f t="shared" si="73"/>
        <v>45758</v>
      </c>
      <c r="T726" s="44" t="s">
        <v>47</v>
      </c>
      <c r="U726" s="43" t="s">
        <v>30</v>
      </c>
      <c r="V726" s="42" t="s">
        <v>68</v>
      </c>
      <c r="W726" s="45">
        <v>4</v>
      </c>
      <c r="X726" s="46">
        <v>799</v>
      </c>
      <c r="Y726" s="46">
        <v>0</v>
      </c>
      <c r="Z726" s="47">
        <f t="shared" si="75"/>
        <v>3196</v>
      </c>
      <c r="AA726" s="48" t="s">
        <v>25</v>
      </c>
      <c r="AB726"/>
    </row>
    <row r="727" spans="1:28" x14ac:dyDescent="0.25">
      <c r="A727" s="31" t="s">
        <v>1123</v>
      </c>
      <c r="B727" s="31" t="s">
        <v>110</v>
      </c>
      <c r="C727" s="32" t="str">
        <f t="shared" si="70"/>
        <v>Fernanda Lima</v>
      </c>
      <c r="D727" s="38" t="s">
        <v>501</v>
      </c>
      <c r="E727" s="33">
        <f t="shared" si="71"/>
        <v>45671</v>
      </c>
      <c r="F727" s="32" t="s">
        <v>29</v>
      </c>
      <c r="G727" s="32" t="str">
        <f t="shared" si="72"/>
        <v>Camila Rocha</v>
      </c>
      <c r="H727" s="32" t="s">
        <v>16</v>
      </c>
      <c r="I727" s="32" t="s">
        <v>103</v>
      </c>
      <c r="J727" s="34">
        <v>1</v>
      </c>
      <c r="K727" s="35">
        <v>89</v>
      </c>
      <c r="L727" s="35">
        <v>4.71</v>
      </c>
      <c r="M727" s="36">
        <f t="shared" si="74"/>
        <v>84.29</v>
      </c>
      <c r="N727" s="32" t="s">
        <v>44</v>
      </c>
      <c r="Q727" s="49" t="s">
        <v>1123</v>
      </c>
      <c r="R727" s="49" t="s">
        <v>110</v>
      </c>
      <c r="S727" s="58">
        <f t="shared" si="73"/>
        <v>45671</v>
      </c>
      <c r="T727" s="51" t="s">
        <v>29</v>
      </c>
      <c r="U727" s="50" t="s">
        <v>16</v>
      </c>
      <c r="V727" s="52" t="s">
        <v>103</v>
      </c>
      <c r="W727" s="53">
        <v>1</v>
      </c>
      <c r="X727" s="54">
        <v>89</v>
      </c>
      <c r="Y727" s="54">
        <v>4.71</v>
      </c>
      <c r="Z727" s="55">
        <f t="shared" si="75"/>
        <v>84.29</v>
      </c>
      <c r="AA727" s="56" t="s">
        <v>44</v>
      </c>
      <c r="AB727"/>
    </row>
    <row r="728" spans="1:28" x14ac:dyDescent="0.25">
      <c r="A728" s="26" t="s">
        <v>1124</v>
      </c>
      <c r="B728" s="26" t="s">
        <v>101</v>
      </c>
      <c r="C728" s="26" t="str">
        <f t="shared" si="70"/>
        <v>Ana Souza</v>
      </c>
      <c r="D728" s="37" t="s">
        <v>176</v>
      </c>
      <c r="E728" s="27">
        <f t="shared" si="71"/>
        <v>45839</v>
      </c>
      <c r="F728" s="26" t="s">
        <v>15</v>
      </c>
      <c r="G728" s="26" t="str">
        <f t="shared" si="72"/>
        <v>Larissa Dias</v>
      </c>
      <c r="H728" s="26" t="s">
        <v>23</v>
      </c>
      <c r="I728" s="26" t="s">
        <v>88</v>
      </c>
      <c r="J728" s="28">
        <v>3</v>
      </c>
      <c r="K728" s="29">
        <v>650</v>
      </c>
      <c r="L728" s="29">
        <v>52.82</v>
      </c>
      <c r="M728" s="30">
        <f t="shared" si="74"/>
        <v>1897.18</v>
      </c>
      <c r="N728" s="26" t="s">
        <v>25</v>
      </c>
      <c r="Q728" s="42" t="s">
        <v>1124</v>
      </c>
      <c r="R728" s="42" t="s">
        <v>101</v>
      </c>
      <c r="S728" s="57">
        <f t="shared" si="73"/>
        <v>45839</v>
      </c>
      <c r="T728" s="44" t="s">
        <v>15</v>
      </c>
      <c r="U728" s="43" t="s">
        <v>23</v>
      </c>
      <c r="V728" s="42" t="s">
        <v>88</v>
      </c>
      <c r="W728" s="45">
        <v>3</v>
      </c>
      <c r="X728" s="46">
        <v>650</v>
      </c>
      <c r="Y728" s="46">
        <v>52.82</v>
      </c>
      <c r="Z728" s="47">
        <f t="shared" si="75"/>
        <v>1897.18</v>
      </c>
      <c r="AA728" s="48" t="s">
        <v>25</v>
      </c>
      <c r="AB728"/>
    </row>
    <row r="729" spans="1:28" x14ac:dyDescent="0.25">
      <c r="A729" s="31" t="s">
        <v>1125</v>
      </c>
      <c r="B729" s="31" t="s">
        <v>71</v>
      </c>
      <c r="C729" s="32" t="str">
        <f t="shared" si="70"/>
        <v>Juliana Costa</v>
      </c>
      <c r="D729" s="38" t="s">
        <v>204</v>
      </c>
      <c r="E729" s="33">
        <f t="shared" si="71"/>
        <v>46048</v>
      </c>
      <c r="F729" s="32" t="s">
        <v>47</v>
      </c>
      <c r="G729" s="32" t="str">
        <f t="shared" si="72"/>
        <v>Bruno Martins</v>
      </c>
      <c r="H729" s="32" t="s">
        <v>52</v>
      </c>
      <c r="I729" s="32" t="s">
        <v>99</v>
      </c>
      <c r="J729" s="34">
        <v>5</v>
      </c>
      <c r="K729" s="35">
        <v>79</v>
      </c>
      <c r="L729" s="35">
        <v>0</v>
      </c>
      <c r="M729" s="36">
        <f t="shared" si="74"/>
        <v>395</v>
      </c>
      <c r="N729" s="32" t="s">
        <v>65</v>
      </c>
      <c r="Q729" s="49" t="s">
        <v>1125</v>
      </c>
      <c r="R729" s="49" t="s">
        <v>71</v>
      </c>
      <c r="S729" s="58">
        <f t="shared" si="73"/>
        <v>46048</v>
      </c>
      <c r="T729" s="51" t="s">
        <v>47</v>
      </c>
      <c r="U729" s="50" t="s">
        <v>52</v>
      </c>
      <c r="V729" s="52" t="s">
        <v>99</v>
      </c>
      <c r="W729" s="53">
        <v>5</v>
      </c>
      <c r="X729" s="54">
        <v>79</v>
      </c>
      <c r="Y729" s="54">
        <v>0</v>
      </c>
      <c r="Z729" s="55">
        <f t="shared" si="75"/>
        <v>395</v>
      </c>
      <c r="AA729" s="56" t="s">
        <v>65</v>
      </c>
      <c r="AB729"/>
    </row>
    <row r="730" spans="1:28" x14ac:dyDescent="0.25">
      <c r="A730" s="26" t="s">
        <v>1126</v>
      </c>
      <c r="B730" s="26" t="s">
        <v>55</v>
      </c>
      <c r="C730" s="26" t="str">
        <f t="shared" si="70"/>
        <v>Ricardo Carvalho</v>
      </c>
      <c r="D730" s="37" t="s">
        <v>497</v>
      </c>
      <c r="E730" s="27">
        <f t="shared" si="71"/>
        <v>45679</v>
      </c>
      <c r="F730" s="26" t="s">
        <v>39</v>
      </c>
      <c r="G730" s="26" t="str">
        <f t="shared" si="72"/>
        <v>Rodrigo Mello</v>
      </c>
      <c r="H730" s="26" t="s">
        <v>23</v>
      </c>
      <c r="I730" s="26" t="s">
        <v>43</v>
      </c>
      <c r="J730" s="28">
        <v>5</v>
      </c>
      <c r="K730" s="29">
        <v>350</v>
      </c>
      <c r="L730" s="29">
        <v>0</v>
      </c>
      <c r="M730" s="30">
        <f t="shared" si="74"/>
        <v>1750</v>
      </c>
      <c r="N730" s="26" t="s">
        <v>69</v>
      </c>
      <c r="Q730" s="42" t="s">
        <v>1126</v>
      </c>
      <c r="R730" s="42" t="s">
        <v>55</v>
      </c>
      <c r="S730" s="57">
        <f t="shared" si="73"/>
        <v>45679</v>
      </c>
      <c r="T730" s="44" t="s">
        <v>39</v>
      </c>
      <c r="U730" s="43" t="s">
        <v>23</v>
      </c>
      <c r="V730" s="42" t="s">
        <v>43</v>
      </c>
      <c r="W730" s="45">
        <v>5</v>
      </c>
      <c r="X730" s="46">
        <v>350</v>
      </c>
      <c r="Y730" s="46">
        <v>0</v>
      </c>
      <c r="Z730" s="47">
        <f t="shared" si="75"/>
        <v>1750</v>
      </c>
      <c r="AA730" s="48" t="s">
        <v>69</v>
      </c>
      <c r="AB730"/>
    </row>
    <row r="731" spans="1:28" x14ac:dyDescent="0.25">
      <c r="A731" s="31" t="s">
        <v>1127</v>
      </c>
      <c r="B731" s="31" t="s">
        <v>110</v>
      </c>
      <c r="C731" s="32" t="str">
        <f t="shared" si="70"/>
        <v>Fernanda Lima</v>
      </c>
      <c r="D731" s="38" t="s">
        <v>1690</v>
      </c>
      <c r="E731" s="33">
        <f t="shared" si="71"/>
        <v>46016</v>
      </c>
      <c r="F731" s="32" t="s">
        <v>29</v>
      </c>
      <c r="G731" s="32" t="str">
        <f t="shared" si="72"/>
        <v>Camila Rocha</v>
      </c>
      <c r="H731" s="32" t="s">
        <v>16</v>
      </c>
      <c r="I731" s="32" t="s">
        <v>17</v>
      </c>
      <c r="J731" s="34">
        <v>1</v>
      </c>
      <c r="K731" s="35">
        <v>39</v>
      </c>
      <c r="L731" s="35">
        <v>0</v>
      </c>
      <c r="M731" s="36">
        <f t="shared" si="74"/>
        <v>39</v>
      </c>
      <c r="N731" s="32" t="s">
        <v>32</v>
      </c>
      <c r="Q731" s="49" t="s">
        <v>1127</v>
      </c>
      <c r="R731" s="49" t="s">
        <v>110</v>
      </c>
      <c r="S731" s="58">
        <f t="shared" si="73"/>
        <v>46016</v>
      </c>
      <c r="T731" s="51" t="s">
        <v>29</v>
      </c>
      <c r="U731" s="50" t="s">
        <v>16</v>
      </c>
      <c r="V731" s="52" t="s">
        <v>17</v>
      </c>
      <c r="W731" s="53">
        <v>1</v>
      </c>
      <c r="X731" s="54">
        <v>39</v>
      </c>
      <c r="Y731" s="54">
        <v>0</v>
      </c>
      <c r="Z731" s="55">
        <f t="shared" si="75"/>
        <v>39</v>
      </c>
      <c r="AA731" s="56" t="s">
        <v>32</v>
      </c>
      <c r="AB731"/>
    </row>
    <row r="732" spans="1:28" x14ac:dyDescent="0.25">
      <c r="A732" s="26" t="s">
        <v>1128</v>
      </c>
      <c r="B732" s="26" t="s">
        <v>41</v>
      </c>
      <c r="C732" s="26" t="str">
        <f t="shared" si="70"/>
        <v>João Pereira</v>
      </c>
      <c r="D732" s="37" t="s">
        <v>443</v>
      </c>
      <c r="E732" s="27">
        <f t="shared" si="71"/>
        <v>45934</v>
      </c>
      <c r="F732" s="26" t="s">
        <v>39</v>
      </c>
      <c r="G732" s="26" t="str">
        <f t="shared" si="72"/>
        <v>Rodrigo Mello</v>
      </c>
      <c r="H732" s="26" t="s">
        <v>30</v>
      </c>
      <c r="I732" s="26" t="s">
        <v>31</v>
      </c>
      <c r="J732" s="28">
        <v>4</v>
      </c>
      <c r="K732" s="29">
        <v>2500</v>
      </c>
      <c r="L732" s="29">
        <v>1114.42</v>
      </c>
      <c r="M732" s="30">
        <f t="shared" si="74"/>
        <v>8885.58</v>
      </c>
      <c r="N732" s="26" t="s">
        <v>44</v>
      </c>
      <c r="Q732" s="42" t="s">
        <v>1128</v>
      </c>
      <c r="R732" s="42" t="s">
        <v>41</v>
      </c>
      <c r="S732" s="57">
        <f t="shared" si="73"/>
        <v>45934</v>
      </c>
      <c r="T732" s="44" t="s">
        <v>39</v>
      </c>
      <c r="U732" s="43" t="s">
        <v>30</v>
      </c>
      <c r="V732" s="42" t="s">
        <v>31</v>
      </c>
      <c r="W732" s="45">
        <v>4</v>
      </c>
      <c r="X732" s="46">
        <v>2500</v>
      </c>
      <c r="Y732" s="46">
        <v>1114.42</v>
      </c>
      <c r="Z732" s="47">
        <f t="shared" si="75"/>
        <v>8885.58</v>
      </c>
      <c r="AA732" s="48" t="s">
        <v>44</v>
      </c>
      <c r="AB732"/>
    </row>
    <row r="733" spans="1:28" x14ac:dyDescent="0.25">
      <c r="A733" s="31" t="s">
        <v>1129</v>
      </c>
      <c r="B733" s="31" t="s">
        <v>101</v>
      </c>
      <c r="C733" s="32" t="str">
        <f t="shared" si="70"/>
        <v>Ana Souza</v>
      </c>
      <c r="D733" s="38" t="s">
        <v>174</v>
      </c>
      <c r="E733" s="33">
        <f t="shared" si="71"/>
        <v>46029</v>
      </c>
      <c r="F733" s="32" t="s">
        <v>15</v>
      </c>
      <c r="G733" s="32" t="str">
        <f t="shared" si="72"/>
        <v>Larissa Dias</v>
      </c>
      <c r="H733" s="32" t="s">
        <v>52</v>
      </c>
      <c r="I733" s="32" t="s">
        <v>53</v>
      </c>
      <c r="J733" s="34">
        <v>1</v>
      </c>
      <c r="K733" s="35">
        <v>149</v>
      </c>
      <c r="L733" s="35">
        <v>0</v>
      </c>
      <c r="M733" s="36">
        <f t="shared" si="74"/>
        <v>149</v>
      </c>
      <c r="N733" s="32" t="s">
        <v>65</v>
      </c>
      <c r="Q733" s="49" t="s">
        <v>1129</v>
      </c>
      <c r="R733" s="49" t="s">
        <v>101</v>
      </c>
      <c r="S733" s="58">
        <f t="shared" si="73"/>
        <v>46029</v>
      </c>
      <c r="T733" s="51" t="s">
        <v>15</v>
      </c>
      <c r="U733" s="50" t="s">
        <v>52</v>
      </c>
      <c r="V733" s="52" t="s">
        <v>53</v>
      </c>
      <c r="W733" s="53">
        <v>1</v>
      </c>
      <c r="X733" s="54">
        <v>149</v>
      </c>
      <c r="Y733" s="54">
        <v>0</v>
      </c>
      <c r="Z733" s="55">
        <f t="shared" si="75"/>
        <v>149</v>
      </c>
      <c r="AA733" s="56" t="s">
        <v>65</v>
      </c>
      <c r="AB733"/>
    </row>
    <row r="734" spans="1:28" x14ac:dyDescent="0.25">
      <c r="A734" s="26" t="s">
        <v>1130</v>
      </c>
      <c r="B734" s="26" t="s">
        <v>34</v>
      </c>
      <c r="C734" s="26" t="str">
        <f t="shared" si="70"/>
        <v>Carlos Silva</v>
      </c>
      <c r="D734" s="37" t="s">
        <v>1018</v>
      </c>
      <c r="E734" s="27">
        <f t="shared" si="71"/>
        <v>45836</v>
      </c>
      <c r="F734" s="26" t="s">
        <v>39</v>
      </c>
      <c r="G734" s="26" t="str">
        <f t="shared" si="72"/>
        <v>Rodrigo Mello</v>
      </c>
      <c r="H734" s="26" t="s">
        <v>23</v>
      </c>
      <c r="I734" s="26" t="s">
        <v>24</v>
      </c>
      <c r="J734" s="28">
        <v>4</v>
      </c>
      <c r="K734" s="29">
        <v>180</v>
      </c>
      <c r="L734" s="29">
        <v>40.5</v>
      </c>
      <c r="M734" s="30">
        <f t="shared" si="74"/>
        <v>679.5</v>
      </c>
      <c r="N734" s="26" t="s">
        <v>69</v>
      </c>
      <c r="Q734" s="42" t="s">
        <v>1130</v>
      </c>
      <c r="R734" s="42" t="s">
        <v>34</v>
      </c>
      <c r="S734" s="57">
        <f t="shared" si="73"/>
        <v>45836</v>
      </c>
      <c r="T734" s="44" t="s">
        <v>39</v>
      </c>
      <c r="U734" s="43" t="s">
        <v>23</v>
      </c>
      <c r="V734" s="42" t="s">
        <v>24</v>
      </c>
      <c r="W734" s="45">
        <v>4</v>
      </c>
      <c r="X734" s="46">
        <v>180</v>
      </c>
      <c r="Y734" s="46">
        <v>40.5</v>
      </c>
      <c r="Z734" s="47">
        <f t="shared" si="75"/>
        <v>679.5</v>
      </c>
      <c r="AA734" s="48" t="s">
        <v>69</v>
      </c>
      <c r="AB734"/>
    </row>
    <row r="735" spans="1:28" x14ac:dyDescent="0.25">
      <c r="A735" s="31" t="s">
        <v>1131</v>
      </c>
      <c r="B735" s="31" t="s">
        <v>63</v>
      </c>
      <c r="C735" s="32" t="str">
        <f t="shared" si="70"/>
        <v>Marcos Rodrigues</v>
      </c>
      <c r="D735" s="38" t="s">
        <v>1132</v>
      </c>
      <c r="E735" s="33">
        <f t="shared" si="71"/>
        <v>45933</v>
      </c>
      <c r="F735" s="32" t="s">
        <v>15</v>
      </c>
      <c r="G735" s="32" t="str">
        <f t="shared" si="72"/>
        <v>Larissa Dias</v>
      </c>
      <c r="H735" s="32" t="s">
        <v>52</v>
      </c>
      <c r="I735" s="32" t="s">
        <v>75</v>
      </c>
      <c r="J735" s="34">
        <v>4</v>
      </c>
      <c r="K735" s="35">
        <v>249</v>
      </c>
      <c r="L735" s="35">
        <v>0</v>
      </c>
      <c r="M735" s="36">
        <f t="shared" si="74"/>
        <v>996</v>
      </c>
      <c r="N735" s="32" t="s">
        <v>89</v>
      </c>
      <c r="Q735" s="49" t="s">
        <v>1131</v>
      </c>
      <c r="R735" s="49" t="s">
        <v>63</v>
      </c>
      <c r="S735" s="58">
        <f t="shared" si="73"/>
        <v>45933</v>
      </c>
      <c r="T735" s="51" t="s">
        <v>15</v>
      </c>
      <c r="U735" s="50" t="s">
        <v>52</v>
      </c>
      <c r="V735" s="52" t="s">
        <v>75</v>
      </c>
      <c r="W735" s="53">
        <v>4</v>
      </c>
      <c r="X735" s="54">
        <v>249</v>
      </c>
      <c r="Y735" s="54">
        <v>0</v>
      </c>
      <c r="Z735" s="55">
        <f t="shared" si="75"/>
        <v>996</v>
      </c>
      <c r="AA735" s="56" t="s">
        <v>89</v>
      </c>
      <c r="AB735"/>
    </row>
    <row r="736" spans="1:28" x14ac:dyDescent="0.25">
      <c r="A736" s="26" t="s">
        <v>1133</v>
      </c>
      <c r="B736" s="26" t="s">
        <v>110</v>
      </c>
      <c r="C736" s="26" t="str">
        <f t="shared" si="70"/>
        <v>Fernanda Lima</v>
      </c>
      <c r="D736" s="37" t="s">
        <v>985</v>
      </c>
      <c r="E736" s="27">
        <f t="shared" si="71"/>
        <v>45873</v>
      </c>
      <c r="F736" s="26" t="s">
        <v>29</v>
      </c>
      <c r="G736" s="26" t="str">
        <f t="shared" si="72"/>
        <v>Camila Rocha</v>
      </c>
      <c r="H736" s="26" t="s">
        <v>30</v>
      </c>
      <c r="I736" s="26" t="s">
        <v>68</v>
      </c>
      <c r="J736" s="28">
        <v>4</v>
      </c>
      <c r="K736" s="29">
        <v>799</v>
      </c>
      <c r="L736" s="29">
        <v>181.27</v>
      </c>
      <c r="M736" s="30">
        <f t="shared" si="74"/>
        <v>3014.73</v>
      </c>
      <c r="N736" s="26" t="s">
        <v>44</v>
      </c>
      <c r="Q736" s="42" t="s">
        <v>1133</v>
      </c>
      <c r="R736" s="42" t="s">
        <v>110</v>
      </c>
      <c r="S736" s="57">
        <f t="shared" si="73"/>
        <v>45873</v>
      </c>
      <c r="T736" s="44" t="s">
        <v>29</v>
      </c>
      <c r="U736" s="43" t="s">
        <v>30</v>
      </c>
      <c r="V736" s="42" t="s">
        <v>68</v>
      </c>
      <c r="W736" s="45">
        <v>4</v>
      </c>
      <c r="X736" s="46">
        <v>799</v>
      </c>
      <c r="Y736" s="46">
        <v>181.27</v>
      </c>
      <c r="Z736" s="47">
        <f t="shared" si="75"/>
        <v>3014.73</v>
      </c>
      <c r="AA736" s="48" t="s">
        <v>44</v>
      </c>
      <c r="AB736"/>
    </row>
    <row r="737" spans="1:28" x14ac:dyDescent="0.25">
      <c r="A737" s="31" t="s">
        <v>1134</v>
      </c>
      <c r="B737" s="31" t="s">
        <v>27</v>
      </c>
      <c r="C737" s="32" t="str">
        <f t="shared" si="70"/>
        <v>Roberto Santos</v>
      </c>
      <c r="D737" s="38" t="s">
        <v>35</v>
      </c>
      <c r="E737" s="33">
        <f t="shared" si="71"/>
        <v>45809</v>
      </c>
      <c r="F737" s="32" t="s">
        <v>39</v>
      </c>
      <c r="G737" s="32" t="str">
        <f t="shared" si="72"/>
        <v>Rodrigo Mello</v>
      </c>
      <c r="H737" s="32" t="s">
        <v>30</v>
      </c>
      <c r="I737" s="32" t="s">
        <v>68</v>
      </c>
      <c r="J737" s="34">
        <v>2</v>
      </c>
      <c r="K737" s="35">
        <v>799</v>
      </c>
      <c r="L737" s="35">
        <v>0</v>
      </c>
      <c r="M737" s="36">
        <f t="shared" si="74"/>
        <v>1598</v>
      </c>
      <c r="N737" s="32" t="s">
        <v>32</v>
      </c>
      <c r="Q737" s="49" t="s">
        <v>1134</v>
      </c>
      <c r="R737" s="49" t="s">
        <v>27</v>
      </c>
      <c r="S737" s="58">
        <f t="shared" si="73"/>
        <v>45809</v>
      </c>
      <c r="T737" s="51" t="s">
        <v>39</v>
      </c>
      <c r="U737" s="50" t="s">
        <v>30</v>
      </c>
      <c r="V737" s="52" t="s">
        <v>68</v>
      </c>
      <c r="W737" s="53">
        <v>2</v>
      </c>
      <c r="X737" s="54">
        <v>799</v>
      </c>
      <c r="Y737" s="54">
        <v>0</v>
      </c>
      <c r="Z737" s="55">
        <f t="shared" si="75"/>
        <v>1598</v>
      </c>
      <c r="AA737" s="56" t="s">
        <v>32</v>
      </c>
      <c r="AB737"/>
    </row>
    <row r="738" spans="1:28" x14ac:dyDescent="0.25">
      <c r="A738" s="26" t="s">
        <v>1135</v>
      </c>
      <c r="B738" s="26" t="s">
        <v>63</v>
      </c>
      <c r="C738" s="26" t="str">
        <f t="shared" si="70"/>
        <v>Marcos Rodrigues</v>
      </c>
      <c r="D738" s="37" t="s">
        <v>784</v>
      </c>
      <c r="E738" s="27">
        <f t="shared" si="71"/>
        <v>45787</v>
      </c>
      <c r="F738" s="26" t="s">
        <v>47</v>
      </c>
      <c r="G738" s="26" t="str">
        <f t="shared" si="72"/>
        <v>Bruno Martins</v>
      </c>
      <c r="H738" s="26" t="s">
        <v>23</v>
      </c>
      <c r="I738" s="26" t="s">
        <v>43</v>
      </c>
      <c r="J738" s="28">
        <v>2</v>
      </c>
      <c r="K738" s="29">
        <v>350</v>
      </c>
      <c r="L738" s="29">
        <v>0</v>
      </c>
      <c r="M738" s="30">
        <f t="shared" si="74"/>
        <v>700</v>
      </c>
      <c r="N738" s="26" t="s">
        <v>32</v>
      </c>
      <c r="Q738" s="42" t="s">
        <v>1135</v>
      </c>
      <c r="R738" s="42" t="s">
        <v>63</v>
      </c>
      <c r="S738" s="57">
        <f t="shared" si="73"/>
        <v>45787</v>
      </c>
      <c r="T738" s="44" t="s">
        <v>47</v>
      </c>
      <c r="U738" s="43" t="s">
        <v>23</v>
      </c>
      <c r="V738" s="42" t="s">
        <v>43</v>
      </c>
      <c r="W738" s="45">
        <v>2</v>
      </c>
      <c r="X738" s="46">
        <v>350</v>
      </c>
      <c r="Y738" s="46">
        <v>0</v>
      </c>
      <c r="Z738" s="47">
        <f t="shared" si="75"/>
        <v>700</v>
      </c>
      <c r="AA738" s="48" t="s">
        <v>32</v>
      </c>
      <c r="AB738"/>
    </row>
    <row r="739" spans="1:28" x14ac:dyDescent="0.25">
      <c r="A739" s="31" t="s">
        <v>1136</v>
      </c>
      <c r="B739" s="31" t="s">
        <v>27</v>
      </c>
      <c r="C739" s="32" t="str">
        <f t="shared" si="70"/>
        <v>Roberto Santos</v>
      </c>
      <c r="D739" s="38" t="s">
        <v>223</v>
      </c>
      <c r="E739" s="33">
        <f t="shared" si="71"/>
        <v>46021</v>
      </c>
      <c r="F739" s="32" t="s">
        <v>39</v>
      </c>
      <c r="G739" s="32" t="str">
        <f t="shared" si="72"/>
        <v>Rodrigo Mello</v>
      </c>
      <c r="H739" s="32" t="s">
        <v>52</v>
      </c>
      <c r="I739" s="32" t="s">
        <v>61</v>
      </c>
      <c r="J739" s="34">
        <v>1</v>
      </c>
      <c r="K739" s="35">
        <v>199</v>
      </c>
      <c r="L739" s="35">
        <v>0</v>
      </c>
      <c r="M739" s="36">
        <f t="shared" si="74"/>
        <v>199</v>
      </c>
      <c r="N739" s="32" t="s">
        <v>18</v>
      </c>
      <c r="Q739" s="49" t="s">
        <v>1136</v>
      </c>
      <c r="R739" s="49" t="s">
        <v>27</v>
      </c>
      <c r="S739" s="58">
        <f t="shared" si="73"/>
        <v>46021</v>
      </c>
      <c r="T739" s="51" t="s">
        <v>39</v>
      </c>
      <c r="U739" s="50" t="s">
        <v>52</v>
      </c>
      <c r="V739" s="52" t="s">
        <v>61</v>
      </c>
      <c r="W739" s="53">
        <v>1</v>
      </c>
      <c r="X739" s="54">
        <v>199</v>
      </c>
      <c r="Y739" s="54">
        <v>0</v>
      </c>
      <c r="Z739" s="55">
        <f t="shared" si="75"/>
        <v>199</v>
      </c>
      <c r="AA739" s="56" t="s">
        <v>18</v>
      </c>
      <c r="AB739"/>
    </row>
    <row r="740" spans="1:28" x14ac:dyDescent="0.25">
      <c r="A740" s="26" t="s">
        <v>1137</v>
      </c>
      <c r="B740" s="26" t="s">
        <v>55</v>
      </c>
      <c r="C740" s="26" t="str">
        <f t="shared" si="70"/>
        <v>Ricardo Carvalho</v>
      </c>
      <c r="D740" s="37" t="s">
        <v>1081</v>
      </c>
      <c r="E740" s="27">
        <f t="shared" si="71"/>
        <v>45789</v>
      </c>
      <c r="F740" s="26" t="s">
        <v>29</v>
      </c>
      <c r="G740" s="26" t="str">
        <f t="shared" si="72"/>
        <v>Camila Rocha</v>
      </c>
      <c r="H740" s="26" t="s">
        <v>52</v>
      </c>
      <c r="I740" s="26" t="s">
        <v>75</v>
      </c>
      <c r="J740" s="28">
        <v>5</v>
      </c>
      <c r="K740" s="29">
        <v>249</v>
      </c>
      <c r="L740" s="29">
        <v>84.31</v>
      </c>
      <c r="M740" s="30">
        <f t="shared" si="74"/>
        <v>1160.69</v>
      </c>
      <c r="N740" s="26" t="s">
        <v>25</v>
      </c>
      <c r="Q740" s="42" t="s">
        <v>1137</v>
      </c>
      <c r="R740" s="42" t="s">
        <v>55</v>
      </c>
      <c r="S740" s="57">
        <f t="shared" si="73"/>
        <v>45789</v>
      </c>
      <c r="T740" s="44" t="s">
        <v>29</v>
      </c>
      <c r="U740" s="43" t="s">
        <v>52</v>
      </c>
      <c r="V740" s="42" t="s">
        <v>75</v>
      </c>
      <c r="W740" s="45">
        <v>5</v>
      </c>
      <c r="X740" s="46">
        <v>249</v>
      </c>
      <c r="Y740" s="46">
        <v>84.31</v>
      </c>
      <c r="Z740" s="47">
        <f t="shared" si="75"/>
        <v>1160.69</v>
      </c>
      <c r="AA740" s="48" t="s">
        <v>25</v>
      </c>
      <c r="AB740"/>
    </row>
    <row r="741" spans="1:28" x14ac:dyDescent="0.25">
      <c r="A741" s="31" t="s">
        <v>1138</v>
      </c>
      <c r="B741" s="31" t="s">
        <v>27</v>
      </c>
      <c r="C741" s="32" t="str">
        <f t="shared" si="70"/>
        <v>Roberto Santos</v>
      </c>
      <c r="D741" s="38" t="s">
        <v>1139</v>
      </c>
      <c r="E741" s="33">
        <f t="shared" si="71"/>
        <v>45713</v>
      </c>
      <c r="F741" s="32" t="s">
        <v>29</v>
      </c>
      <c r="G741" s="32" t="str">
        <f t="shared" si="72"/>
        <v>Camila Rocha</v>
      </c>
      <c r="H741" s="32" t="s">
        <v>16</v>
      </c>
      <c r="I741" s="32" t="s">
        <v>103</v>
      </c>
      <c r="J741" s="34">
        <v>1</v>
      </c>
      <c r="K741" s="35">
        <v>89</v>
      </c>
      <c r="L741" s="35">
        <v>12.9</v>
      </c>
      <c r="M741" s="36">
        <f t="shared" si="74"/>
        <v>76.099999999999994</v>
      </c>
      <c r="N741" s="32" t="s">
        <v>65</v>
      </c>
      <c r="Q741" s="49" t="s">
        <v>1138</v>
      </c>
      <c r="R741" s="49" t="s">
        <v>27</v>
      </c>
      <c r="S741" s="58">
        <f t="shared" si="73"/>
        <v>45713</v>
      </c>
      <c r="T741" s="51" t="s">
        <v>29</v>
      </c>
      <c r="U741" s="50" t="s">
        <v>16</v>
      </c>
      <c r="V741" s="52" t="s">
        <v>103</v>
      </c>
      <c r="W741" s="53">
        <v>1</v>
      </c>
      <c r="X741" s="54">
        <v>89</v>
      </c>
      <c r="Y741" s="54">
        <v>12.9</v>
      </c>
      <c r="Z741" s="55">
        <f t="shared" si="75"/>
        <v>76.099999999999994</v>
      </c>
      <c r="AA741" s="56" t="s">
        <v>65</v>
      </c>
      <c r="AB741"/>
    </row>
    <row r="742" spans="1:28" x14ac:dyDescent="0.25">
      <c r="A742" s="26" t="s">
        <v>1140</v>
      </c>
      <c r="B742" s="26" t="s">
        <v>13</v>
      </c>
      <c r="C742" s="26" t="str">
        <f t="shared" si="70"/>
        <v>Lucas Almeida</v>
      </c>
      <c r="D742" s="37" t="s">
        <v>1141</v>
      </c>
      <c r="E742" s="27">
        <f t="shared" si="71"/>
        <v>46045</v>
      </c>
      <c r="F742" s="26" t="s">
        <v>39</v>
      </c>
      <c r="G742" s="26" t="str">
        <f t="shared" si="72"/>
        <v>Rodrigo Mello</v>
      </c>
      <c r="H742" s="26" t="s">
        <v>16</v>
      </c>
      <c r="I742" s="26" t="s">
        <v>116</v>
      </c>
      <c r="J742" s="28">
        <v>4</v>
      </c>
      <c r="K742" s="29">
        <v>45</v>
      </c>
      <c r="L742" s="29">
        <v>0</v>
      </c>
      <c r="M742" s="30">
        <f t="shared" si="74"/>
        <v>180</v>
      </c>
      <c r="N742" s="26" t="s">
        <v>18</v>
      </c>
      <c r="Q742" s="42" t="s">
        <v>1140</v>
      </c>
      <c r="R742" s="42" t="s">
        <v>13</v>
      </c>
      <c r="S742" s="57">
        <f t="shared" si="73"/>
        <v>46045</v>
      </c>
      <c r="T742" s="44" t="s">
        <v>39</v>
      </c>
      <c r="U742" s="43" t="s">
        <v>16</v>
      </c>
      <c r="V742" s="42" t="s">
        <v>116</v>
      </c>
      <c r="W742" s="45">
        <v>4</v>
      </c>
      <c r="X742" s="46">
        <v>45</v>
      </c>
      <c r="Y742" s="46">
        <v>0</v>
      </c>
      <c r="Z742" s="47">
        <f t="shared" si="75"/>
        <v>180</v>
      </c>
      <c r="AA742" s="48" t="s">
        <v>18</v>
      </c>
      <c r="AB742"/>
    </row>
    <row r="743" spans="1:28" x14ac:dyDescent="0.25">
      <c r="A743" s="31" t="s">
        <v>1142</v>
      </c>
      <c r="B743" s="31" t="s">
        <v>71</v>
      </c>
      <c r="C743" s="32" t="str">
        <f t="shared" si="70"/>
        <v>Juliana Costa</v>
      </c>
      <c r="D743" s="38" t="s">
        <v>902</v>
      </c>
      <c r="E743" s="33">
        <f t="shared" si="71"/>
        <v>45875</v>
      </c>
      <c r="F743" s="32" t="s">
        <v>15</v>
      </c>
      <c r="G743" s="32" t="str">
        <f t="shared" si="72"/>
        <v>Larissa Dias</v>
      </c>
      <c r="H743" s="32" t="s">
        <v>52</v>
      </c>
      <c r="I743" s="32" t="s">
        <v>61</v>
      </c>
      <c r="J743" s="34">
        <v>1</v>
      </c>
      <c r="K743" s="35">
        <v>199</v>
      </c>
      <c r="L743" s="35">
        <v>0</v>
      </c>
      <c r="M743" s="36">
        <f t="shared" si="74"/>
        <v>199</v>
      </c>
      <c r="N743" s="32" t="s">
        <v>69</v>
      </c>
      <c r="Q743" s="49" t="s">
        <v>1142</v>
      </c>
      <c r="R743" s="49" t="s">
        <v>71</v>
      </c>
      <c r="S743" s="58">
        <f t="shared" si="73"/>
        <v>45875</v>
      </c>
      <c r="T743" s="51" t="s">
        <v>15</v>
      </c>
      <c r="U743" s="50" t="s">
        <v>52</v>
      </c>
      <c r="V743" s="52" t="s">
        <v>61</v>
      </c>
      <c r="W743" s="53">
        <v>1</v>
      </c>
      <c r="X743" s="54">
        <v>199</v>
      </c>
      <c r="Y743" s="54">
        <v>0</v>
      </c>
      <c r="Z743" s="55">
        <f t="shared" si="75"/>
        <v>199</v>
      </c>
      <c r="AA743" s="56" t="s">
        <v>69</v>
      </c>
      <c r="AB743"/>
    </row>
    <row r="744" spans="1:28" x14ac:dyDescent="0.25">
      <c r="A744" s="26" t="s">
        <v>1143</v>
      </c>
      <c r="B744" s="26" t="s">
        <v>71</v>
      </c>
      <c r="C744" s="26" t="str">
        <f t="shared" si="70"/>
        <v>Juliana Costa</v>
      </c>
      <c r="D744" s="37" t="s">
        <v>1144</v>
      </c>
      <c r="E744" s="27">
        <f t="shared" si="71"/>
        <v>45729</v>
      </c>
      <c r="F744" s="26" t="s">
        <v>47</v>
      </c>
      <c r="G744" s="26" t="str">
        <f t="shared" si="72"/>
        <v>Bruno Martins</v>
      </c>
      <c r="H744" s="26" t="s">
        <v>23</v>
      </c>
      <c r="I744" s="26" t="s">
        <v>43</v>
      </c>
      <c r="J744" s="28">
        <v>3</v>
      </c>
      <c r="K744" s="29">
        <v>350</v>
      </c>
      <c r="L744" s="29">
        <v>0</v>
      </c>
      <c r="M744" s="30">
        <f t="shared" si="74"/>
        <v>1050</v>
      </c>
      <c r="N744" s="26" t="s">
        <v>69</v>
      </c>
      <c r="Q744" s="42" t="s">
        <v>1143</v>
      </c>
      <c r="R744" s="42" t="s">
        <v>71</v>
      </c>
      <c r="S744" s="57">
        <f t="shared" si="73"/>
        <v>45729</v>
      </c>
      <c r="T744" s="44" t="s">
        <v>47</v>
      </c>
      <c r="U744" s="43" t="s">
        <v>23</v>
      </c>
      <c r="V744" s="42" t="s">
        <v>43</v>
      </c>
      <c r="W744" s="45">
        <v>3</v>
      </c>
      <c r="X744" s="46">
        <v>350</v>
      </c>
      <c r="Y744" s="46">
        <v>0</v>
      </c>
      <c r="Z744" s="47">
        <f t="shared" si="75"/>
        <v>1050</v>
      </c>
      <c r="AA744" s="48" t="s">
        <v>69</v>
      </c>
      <c r="AB744"/>
    </row>
    <row r="745" spans="1:28" x14ac:dyDescent="0.25">
      <c r="A745" s="31" t="s">
        <v>1145</v>
      </c>
      <c r="B745" s="31" t="s">
        <v>20</v>
      </c>
      <c r="C745" s="32" t="str">
        <f t="shared" si="70"/>
        <v>Beatriz Ribeiro</v>
      </c>
      <c r="D745" s="38" t="s">
        <v>501</v>
      </c>
      <c r="E745" s="33">
        <f t="shared" si="71"/>
        <v>45671</v>
      </c>
      <c r="F745" s="32" t="s">
        <v>47</v>
      </c>
      <c r="G745" s="32" t="str">
        <f t="shared" si="72"/>
        <v>Bruno Martins</v>
      </c>
      <c r="H745" s="32" t="s">
        <v>16</v>
      </c>
      <c r="I745" s="32" t="s">
        <v>17</v>
      </c>
      <c r="J745" s="34">
        <v>5</v>
      </c>
      <c r="K745" s="35">
        <v>39</v>
      </c>
      <c r="L745" s="35">
        <v>22.45</v>
      </c>
      <c r="M745" s="36">
        <f t="shared" si="74"/>
        <v>172.55</v>
      </c>
      <c r="N745" s="32" t="s">
        <v>25</v>
      </c>
      <c r="Q745" s="49" t="s">
        <v>1145</v>
      </c>
      <c r="R745" s="49" t="s">
        <v>20</v>
      </c>
      <c r="S745" s="58">
        <f t="shared" si="73"/>
        <v>45671</v>
      </c>
      <c r="T745" s="51" t="s">
        <v>47</v>
      </c>
      <c r="U745" s="50" t="s">
        <v>16</v>
      </c>
      <c r="V745" s="52" t="s">
        <v>17</v>
      </c>
      <c r="W745" s="53">
        <v>5</v>
      </c>
      <c r="X745" s="54">
        <v>39</v>
      </c>
      <c r="Y745" s="54">
        <v>22.45</v>
      </c>
      <c r="Z745" s="55">
        <f t="shared" si="75"/>
        <v>172.55</v>
      </c>
      <c r="AA745" s="56" t="s">
        <v>25</v>
      </c>
      <c r="AB745"/>
    </row>
    <row r="746" spans="1:28" x14ac:dyDescent="0.25">
      <c r="A746" s="26" t="s">
        <v>1146</v>
      </c>
      <c r="B746" s="26" t="s">
        <v>95</v>
      </c>
      <c r="C746" s="26" t="str">
        <f t="shared" si="70"/>
        <v>Maria Oliveira</v>
      </c>
      <c r="D746" s="37" t="s">
        <v>1147</v>
      </c>
      <c r="E746" s="27">
        <f t="shared" si="71"/>
        <v>45788</v>
      </c>
      <c r="F746" s="26" t="s">
        <v>47</v>
      </c>
      <c r="G746" s="26" t="str">
        <f t="shared" si="72"/>
        <v>Bruno Martins</v>
      </c>
      <c r="H746" s="26" t="s">
        <v>52</v>
      </c>
      <c r="I746" s="26" t="s">
        <v>53</v>
      </c>
      <c r="J746" s="28">
        <v>2</v>
      </c>
      <c r="K746" s="29">
        <v>149</v>
      </c>
      <c r="L746" s="29">
        <v>9.01</v>
      </c>
      <c r="M746" s="30">
        <f t="shared" si="74"/>
        <v>288.99</v>
      </c>
      <c r="N746" s="26" t="s">
        <v>18</v>
      </c>
      <c r="Q746" s="42" t="s">
        <v>1146</v>
      </c>
      <c r="R746" s="42" t="s">
        <v>95</v>
      </c>
      <c r="S746" s="57">
        <f t="shared" si="73"/>
        <v>45788</v>
      </c>
      <c r="T746" s="44" t="s">
        <v>47</v>
      </c>
      <c r="U746" s="43" t="s">
        <v>52</v>
      </c>
      <c r="V746" s="42" t="s">
        <v>53</v>
      </c>
      <c r="W746" s="45">
        <v>2</v>
      </c>
      <c r="X746" s="46">
        <v>149</v>
      </c>
      <c r="Y746" s="46">
        <v>9.01</v>
      </c>
      <c r="Z746" s="47">
        <f t="shared" si="75"/>
        <v>288.99</v>
      </c>
      <c r="AA746" s="48" t="s">
        <v>18</v>
      </c>
      <c r="AB746"/>
    </row>
    <row r="747" spans="1:28" x14ac:dyDescent="0.25">
      <c r="A747" s="31" t="s">
        <v>1148</v>
      </c>
      <c r="B747" s="31" t="s">
        <v>13</v>
      </c>
      <c r="C747" s="32" t="str">
        <f t="shared" si="70"/>
        <v>Lucas Almeida</v>
      </c>
      <c r="D747" s="38" t="s">
        <v>392</v>
      </c>
      <c r="E747" s="33">
        <f t="shared" si="71"/>
        <v>45867</v>
      </c>
      <c r="F747" s="32" t="s">
        <v>22</v>
      </c>
      <c r="G747" s="32" t="str">
        <f t="shared" si="72"/>
        <v>Amanda Costa</v>
      </c>
      <c r="H747" s="32" t="s">
        <v>16</v>
      </c>
      <c r="I747" s="32" t="s">
        <v>116</v>
      </c>
      <c r="J747" s="34">
        <v>4</v>
      </c>
      <c r="K747" s="35">
        <v>45</v>
      </c>
      <c r="L747" s="35">
        <v>0</v>
      </c>
      <c r="M747" s="36">
        <f t="shared" si="74"/>
        <v>180</v>
      </c>
      <c r="N747" s="32" t="s">
        <v>49</v>
      </c>
      <c r="Q747" s="49" t="s">
        <v>1148</v>
      </c>
      <c r="R747" s="49" t="s">
        <v>13</v>
      </c>
      <c r="S747" s="58">
        <f t="shared" si="73"/>
        <v>45867</v>
      </c>
      <c r="T747" s="51" t="s">
        <v>22</v>
      </c>
      <c r="U747" s="50" t="s">
        <v>16</v>
      </c>
      <c r="V747" s="52" t="s">
        <v>116</v>
      </c>
      <c r="W747" s="53">
        <v>4</v>
      </c>
      <c r="X747" s="54">
        <v>45</v>
      </c>
      <c r="Y747" s="54">
        <v>0</v>
      </c>
      <c r="Z747" s="55">
        <f t="shared" si="75"/>
        <v>180</v>
      </c>
      <c r="AA747" s="56" t="s">
        <v>49</v>
      </c>
      <c r="AB747"/>
    </row>
    <row r="748" spans="1:28" x14ac:dyDescent="0.25">
      <c r="A748" s="26" t="s">
        <v>1149</v>
      </c>
      <c r="B748" s="26" t="s">
        <v>95</v>
      </c>
      <c r="C748" s="26" t="str">
        <f t="shared" si="70"/>
        <v>Maria Oliveira</v>
      </c>
      <c r="D748" s="37" t="s">
        <v>985</v>
      </c>
      <c r="E748" s="27">
        <f t="shared" si="71"/>
        <v>45873</v>
      </c>
      <c r="F748" s="26" t="s">
        <v>22</v>
      </c>
      <c r="G748" s="26" t="str">
        <f t="shared" si="72"/>
        <v>Amanda Costa</v>
      </c>
      <c r="H748" s="26" t="s">
        <v>30</v>
      </c>
      <c r="I748" s="26" t="s">
        <v>68</v>
      </c>
      <c r="J748" s="28">
        <v>2</v>
      </c>
      <c r="K748" s="29">
        <v>799</v>
      </c>
      <c r="L748" s="29">
        <v>0</v>
      </c>
      <c r="M748" s="30">
        <f t="shared" si="74"/>
        <v>1598</v>
      </c>
      <c r="N748" s="26" t="s">
        <v>44</v>
      </c>
      <c r="Q748" s="42" t="s">
        <v>1149</v>
      </c>
      <c r="R748" s="42" t="s">
        <v>95</v>
      </c>
      <c r="S748" s="57">
        <f t="shared" si="73"/>
        <v>45873</v>
      </c>
      <c r="T748" s="44" t="s">
        <v>22</v>
      </c>
      <c r="U748" s="43" t="s">
        <v>30</v>
      </c>
      <c r="V748" s="42" t="s">
        <v>68</v>
      </c>
      <c r="W748" s="45">
        <v>2</v>
      </c>
      <c r="X748" s="46">
        <v>799</v>
      </c>
      <c r="Y748" s="46">
        <v>0</v>
      </c>
      <c r="Z748" s="47">
        <f t="shared" si="75"/>
        <v>1598</v>
      </c>
      <c r="AA748" s="48" t="s">
        <v>44</v>
      </c>
      <c r="AB748"/>
    </row>
    <row r="749" spans="1:28" x14ac:dyDescent="0.25">
      <c r="A749" s="31" t="s">
        <v>1150</v>
      </c>
      <c r="B749" s="31" t="s">
        <v>20</v>
      </c>
      <c r="C749" s="32" t="str">
        <f t="shared" si="70"/>
        <v>Beatriz Ribeiro</v>
      </c>
      <c r="D749" s="38" t="s">
        <v>1151</v>
      </c>
      <c r="E749" s="33">
        <f t="shared" si="71"/>
        <v>46050</v>
      </c>
      <c r="F749" s="32" t="s">
        <v>47</v>
      </c>
      <c r="G749" s="32" t="str">
        <f t="shared" si="72"/>
        <v>Bruno Martins</v>
      </c>
      <c r="H749" s="32" t="s">
        <v>52</v>
      </c>
      <c r="I749" s="32" t="s">
        <v>75</v>
      </c>
      <c r="J749" s="34">
        <v>5</v>
      </c>
      <c r="K749" s="35">
        <v>249</v>
      </c>
      <c r="L749" s="35">
        <v>45.43</v>
      </c>
      <c r="M749" s="36">
        <f t="shared" si="74"/>
        <v>1199.57</v>
      </c>
      <c r="N749" s="32" t="s">
        <v>69</v>
      </c>
      <c r="Q749" s="49" t="s">
        <v>1150</v>
      </c>
      <c r="R749" s="49" t="s">
        <v>20</v>
      </c>
      <c r="S749" s="58">
        <f t="shared" si="73"/>
        <v>46050</v>
      </c>
      <c r="T749" s="51" t="s">
        <v>47</v>
      </c>
      <c r="U749" s="50" t="s">
        <v>52</v>
      </c>
      <c r="V749" s="52" t="s">
        <v>75</v>
      </c>
      <c r="W749" s="53">
        <v>5</v>
      </c>
      <c r="X749" s="54">
        <v>249</v>
      </c>
      <c r="Y749" s="54">
        <v>45.43</v>
      </c>
      <c r="Z749" s="55">
        <f t="shared" si="75"/>
        <v>1199.57</v>
      </c>
      <c r="AA749" s="56" t="s">
        <v>69</v>
      </c>
      <c r="AB749"/>
    </row>
    <row r="750" spans="1:28" x14ac:dyDescent="0.25">
      <c r="A750" s="26" t="s">
        <v>1152</v>
      </c>
      <c r="B750" s="26" t="s">
        <v>13</v>
      </c>
      <c r="C750" s="26" t="str">
        <f t="shared" si="70"/>
        <v>Lucas Almeida</v>
      </c>
      <c r="D750" s="37" t="s">
        <v>1153</v>
      </c>
      <c r="E750" s="27">
        <f t="shared" si="71"/>
        <v>46012</v>
      </c>
      <c r="F750" s="26" t="s">
        <v>15</v>
      </c>
      <c r="G750" s="26" t="str">
        <f t="shared" si="72"/>
        <v>Larissa Dias</v>
      </c>
      <c r="H750" s="26" t="s">
        <v>16</v>
      </c>
      <c r="I750" s="26" t="s">
        <v>103</v>
      </c>
      <c r="J750" s="28">
        <v>5</v>
      </c>
      <c r="K750" s="29">
        <v>89</v>
      </c>
      <c r="L750" s="29">
        <v>0</v>
      </c>
      <c r="M750" s="30">
        <f t="shared" si="74"/>
        <v>445</v>
      </c>
      <c r="N750" s="26" t="s">
        <v>69</v>
      </c>
      <c r="Q750" s="42" t="s">
        <v>1152</v>
      </c>
      <c r="R750" s="42" t="s">
        <v>13</v>
      </c>
      <c r="S750" s="57">
        <f t="shared" si="73"/>
        <v>46012</v>
      </c>
      <c r="T750" s="44" t="s">
        <v>15</v>
      </c>
      <c r="U750" s="43" t="s">
        <v>16</v>
      </c>
      <c r="V750" s="42" t="s">
        <v>103</v>
      </c>
      <c r="W750" s="45">
        <v>5</v>
      </c>
      <c r="X750" s="46">
        <v>89</v>
      </c>
      <c r="Y750" s="46">
        <v>0</v>
      </c>
      <c r="Z750" s="47">
        <f t="shared" si="75"/>
        <v>445</v>
      </c>
      <c r="AA750" s="48" t="s">
        <v>69</v>
      </c>
      <c r="AB750"/>
    </row>
    <row r="751" spans="1:28" x14ac:dyDescent="0.25">
      <c r="A751" s="31" t="s">
        <v>1154</v>
      </c>
      <c r="B751" s="31" t="s">
        <v>41</v>
      </c>
      <c r="C751" s="32" t="str">
        <f t="shared" si="70"/>
        <v>João Pereira</v>
      </c>
      <c r="D751" s="38" t="s">
        <v>174</v>
      </c>
      <c r="E751" s="33">
        <f t="shared" si="71"/>
        <v>46029</v>
      </c>
      <c r="F751" s="32" t="s">
        <v>47</v>
      </c>
      <c r="G751" s="32" t="str">
        <f t="shared" si="72"/>
        <v>Bruno Martins</v>
      </c>
      <c r="H751" s="32" t="s">
        <v>23</v>
      </c>
      <c r="I751" s="32" t="s">
        <v>48</v>
      </c>
      <c r="J751" s="34">
        <v>1</v>
      </c>
      <c r="K751" s="35">
        <v>450</v>
      </c>
      <c r="L751" s="35">
        <v>0</v>
      </c>
      <c r="M751" s="36">
        <f t="shared" si="74"/>
        <v>450</v>
      </c>
      <c r="N751" s="32" t="s">
        <v>25</v>
      </c>
      <c r="Q751" s="49" t="s">
        <v>1154</v>
      </c>
      <c r="R751" s="49" t="s">
        <v>41</v>
      </c>
      <c r="S751" s="58">
        <f t="shared" si="73"/>
        <v>46029</v>
      </c>
      <c r="T751" s="51" t="s">
        <v>47</v>
      </c>
      <c r="U751" s="50" t="s">
        <v>23</v>
      </c>
      <c r="V751" s="52" t="s">
        <v>48</v>
      </c>
      <c r="W751" s="53">
        <v>1</v>
      </c>
      <c r="X751" s="54">
        <v>450</v>
      </c>
      <c r="Y751" s="54">
        <v>0</v>
      </c>
      <c r="Z751" s="55">
        <f t="shared" si="75"/>
        <v>450</v>
      </c>
      <c r="AA751" s="56" t="s">
        <v>25</v>
      </c>
      <c r="AB751"/>
    </row>
    <row r="752" spans="1:28" x14ac:dyDescent="0.25">
      <c r="A752" s="26" t="s">
        <v>1155</v>
      </c>
      <c r="B752" s="26" t="s">
        <v>55</v>
      </c>
      <c r="C752" s="26" t="str">
        <f t="shared" si="70"/>
        <v>Ricardo Carvalho</v>
      </c>
      <c r="D752" s="37" t="s">
        <v>102</v>
      </c>
      <c r="E752" s="27">
        <f t="shared" si="71"/>
        <v>46055</v>
      </c>
      <c r="F752" s="26" t="s">
        <v>47</v>
      </c>
      <c r="G752" s="26" t="str">
        <f t="shared" si="72"/>
        <v>Bruno Martins</v>
      </c>
      <c r="H752" s="26" t="s">
        <v>30</v>
      </c>
      <c r="I752" s="26" t="s">
        <v>106</v>
      </c>
      <c r="J752" s="28">
        <v>4</v>
      </c>
      <c r="K752" s="29">
        <v>299</v>
      </c>
      <c r="L752" s="29">
        <v>0</v>
      </c>
      <c r="M752" s="30">
        <f t="shared" si="74"/>
        <v>1196</v>
      </c>
      <c r="N752" s="26" t="s">
        <v>18</v>
      </c>
      <c r="Q752" s="42" t="s">
        <v>1155</v>
      </c>
      <c r="R752" s="42" t="s">
        <v>55</v>
      </c>
      <c r="S752" s="57">
        <f t="shared" si="73"/>
        <v>46055</v>
      </c>
      <c r="T752" s="44" t="s">
        <v>47</v>
      </c>
      <c r="U752" s="43" t="s">
        <v>30</v>
      </c>
      <c r="V752" s="42" t="s">
        <v>106</v>
      </c>
      <c r="W752" s="45">
        <v>4</v>
      </c>
      <c r="X752" s="46">
        <v>299</v>
      </c>
      <c r="Y752" s="46">
        <v>0</v>
      </c>
      <c r="Z752" s="47">
        <f t="shared" si="75"/>
        <v>1196</v>
      </c>
      <c r="AA752" s="48" t="s">
        <v>18</v>
      </c>
      <c r="AB752"/>
    </row>
    <row r="753" spans="1:28" x14ac:dyDescent="0.25">
      <c r="A753" s="31" t="s">
        <v>1156</v>
      </c>
      <c r="B753" s="31" t="s">
        <v>71</v>
      </c>
      <c r="C753" s="32" t="str">
        <f t="shared" si="70"/>
        <v>Juliana Costa</v>
      </c>
      <c r="D753" s="38" t="s">
        <v>206</v>
      </c>
      <c r="E753" s="33">
        <f t="shared" si="71"/>
        <v>45906</v>
      </c>
      <c r="F753" s="32" t="s">
        <v>22</v>
      </c>
      <c r="G753" s="32" t="str">
        <f t="shared" si="72"/>
        <v>Amanda Costa</v>
      </c>
      <c r="H753" s="32" t="s">
        <v>30</v>
      </c>
      <c r="I753" s="32" t="s">
        <v>106</v>
      </c>
      <c r="J753" s="34">
        <v>3</v>
      </c>
      <c r="K753" s="35">
        <v>299</v>
      </c>
      <c r="L753" s="35">
        <v>18.7</v>
      </c>
      <c r="M753" s="36">
        <f t="shared" si="74"/>
        <v>878.3</v>
      </c>
      <c r="N753" s="32" t="s">
        <v>69</v>
      </c>
      <c r="Q753" s="49" t="s">
        <v>1156</v>
      </c>
      <c r="R753" s="49" t="s">
        <v>71</v>
      </c>
      <c r="S753" s="58">
        <f t="shared" si="73"/>
        <v>45906</v>
      </c>
      <c r="T753" s="51" t="s">
        <v>22</v>
      </c>
      <c r="U753" s="50" t="s">
        <v>30</v>
      </c>
      <c r="V753" s="52" t="s">
        <v>106</v>
      </c>
      <c r="W753" s="53">
        <v>3</v>
      </c>
      <c r="X753" s="54">
        <v>299</v>
      </c>
      <c r="Y753" s="54">
        <v>18.7</v>
      </c>
      <c r="Z753" s="55">
        <f t="shared" si="75"/>
        <v>878.3</v>
      </c>
      <c r="AA753" s="56" t="s">
        <v>69</v>
      </c>
      <c r="AB753"/>
    </row>
    <row r="754" spans="1:28" x14ac:dyDescent="0.25">
      <c r="A754" s="26" t="s">
        <v>1157</v>
      </c>
      <c r="B754" s="26" t="s">
        <v>13</v>
      </c>
      <c r="C754" s="26" t="str">
        <f t="shared" si="70"/>
        <v>Lucas Almeida</v>
      </c>
      <c r="D754" s="37" t="s">
        <v>612</v>
      </c>
      <c r="E754" s="27">
        <f t="shared" si="71"/>
        <v>45908</v>
      </c>
      <c r="F754" s="26" t="s">
        <v>39</v>
      </c>
      <c r="G754" s="26" t="str">
        <f t="shared" si="72"/>
        <v>Rodrigo Mello</v>
      </c>
      <c r="H754" s="26" t="s">
        <v>16</v>
      </c>
      <c r="I754" s="26" t="s">
        <v>17</v>
      </c>
      <c r="J754" s="28">
        <v>3</v>
      </c>
      <c r="K754" s="29">
        <v>39</v>
      </c>
      <c r="L754" s="29">
        <v>3.65</v>
      </c>
      <c r="M754" s="30">
        <f t="shared" si="74"/>
        <v>113.35</v>
      </c>
      <c r="N754" s="26" t="s">
        <v>65</v>
      </c>
      <c r="Q754" s="42" t="s">
        <v>1157</v>
      </c>
      <c r="R754" s="42" t="s">
        <v>13</v>
      </c>
      <c r="S754" s="57">
        <f t="shared" si="73"/>
        <v>45908</v>
      </c>
      <c r="T754" s="44" t="s">
        <v>39</v>
      </c>
      <c r="U754" s="43" t="s">
        <v>16</v>
      </c>
      <c r="V754" s="42" t="s">
        <v>17</v>
      </c>
      <c r="W754" s="45">
        <v>3</v>
      </c>
      <c r="X754" s="46">
        <v>39</v>
      </c>
      <c r="Y754" s="46">
        <v>3.65</v>
      </c>
      <c r="Z754" s="47">
        <f t="shared" si="75"/>
        <v>113.35</v>
      </c>
      <c r="AA754" s="48" t="s">
        <v>65</v>
      </c>
      <c r="AB754"/>
    </row>
    <row r="755" spans="1:28" x14ac:dyDescent="0.25">
      <c r="A755" s="31" t="s">
        <v>1158</v>
      </c>
      <c r="B755" s="31" t="s">
        <v>27</v>
      </c>
      <c r="C755" s="32" t="str">
        <f t="shared" si="70"/>
        <v>Roberto Santos</v>
      </c>
      <c r="D755" s="38" t="s">
        <v>1037</v>
      </c>
      <c r="E755" s="33">
        <f t="shared" si="71"/>
        <v>45940</v>
      </c>
      <c r="F755" s="32" t="s">
        <v>29</v>
      </c>
      <c r="G755" s="32" t="str">
        <f t="shared" si="72"/>
        <v>Camila Rocha</v>
      </c>
      <c r="H755" s="32" t="s">
        <v>23</v>
      </c>
      <c r="I755" s="32" t="s">
        <v>24</v>
      </c>
      <c r="J755" s="34">
        <v>1</v>
      </c>
      <c r="K755" s="35">
        <v>180</v>
      </c>
      <c r="L755" s="35">
        <v>0</v>
      </c>
      <c r="M755" s="36">
        <f t="shared" si="74"/>
        <v>180</v>
      </c>
      <c r="N755" s="32" t="s">
        <v>18</v>
      </c>
      <c r="Q755" s="49" t="s">
        <v>1158</v>
      </c>
      <c r="R755" s="49" t="s">
        <v>27</v>
      </c>
      <c r="S755" s="58">
        <f t="shared" si="73"/>
        <v>45940</v>
      </c>
      <c r="T755" s="51" t="s">
        <v>29</v>
      </c>
      <c r="U755" s="50" t="s">
        <v>23</v>
      </c>
      <c r="V755" s="52" t="s">
        <v>24</v>
      </c>
      <c r="W755" s="53">
        <v>1</v>
      </c>
      <c r="X755" s="54">
        <v>180</v>
      </c>
      <c r="Y755" s="54">
        <v>0</v>
      </c>
      <c r="Z755" s="55">
        <f t="shared" si="75"/>
        <v>180</v>
      </c>
      <c r="AA755" s="56" t="s">
        <v>18</v>
      </c>
      <c r="AB755"/>
    </row>
    <row r="756" spans="1:28" x14ac:dyDescent="0.25">
      <c r="A756" s="26" t="s">
        <v>1159</v>
      </c>
      <c r="B756" s="26" t="s">
        <v>34</v>
      </c>
      <c r="C756" s="26" t="str">
        <f t="shared" si="70"/>
        <v>Carlos Silva</v>
      </c>
      <c r="D756" s="37" t="s">
        <v>618</v>
      </c>
      <c r="E756" s="27">
        <f t="shared" si="71"/>
        <v>45757</v>
      </c>
      <c r="F756" s="26" t="s">
        <v>47</v>
      </c>
      <c r="G756" s="26" t="str">
        <f t="shared" si="72"/>
        <v>Bruno Martins</v>
      </c>
      <c r="H756" s="26" t="s">
        <v>16</v>
      </c>
      <c r="I756" s="26" t="s">
        <v>103</v>
      </c>
      <c r="J756" s="28">
        <v>3</v>
      </c>
      <c r="K756" s="29">
        <v>89</v>
      </c>
      <c r="L756" s="29">
        <v>6.23</v>
      </c>
      <c r="M756" s="30">
        <f t="shared" si="74"/>
        <v>260.77</v>
      </c>
      <c r="N756" s="26" t="s">
        <v>49</v>
      </c>
      <c r="Q756" s="42" t="s">
        <v>1159</v>
      </c>
      <c r="R756" s="42" t="s">
        <v>34</v>
      </c>
      <c r="S756" s="57">
        <f t="shared" si="73"/>
        <v>45757</v>
      </c>
      <c r="T756" s="44" t="s">
        <v>47</v>
      </c>
      <c r="U756" s="43" t="s">
        <v>16</v>
      </c>
      <c r="V756" s="42" t="s">
        <v>103</v>
      </c>
      <c r="W756" s="45">
        <v>3</v>
      </c>
      <c r="X756" s="46">
        <v>89</v>
      </c>
      <c r="Y756" s="46">
        <v>6.23</v>
      </c>
      <c r="Z756" s="47">
        <f t="shared" si="75"/>
        <v>260.77</v>
      </c>
      <c r="AA756" s="48" t="s">
        <v>49</v>
      </c>
      <c r="AB756"/>
    </row>
    <row r="757" spans="1:28" x14ac:dyDescent="0.25">
      <c r="A757" s="31" t="s">
        <v>1160</v>
      </c>
      <c r="B757" s="31" t="s">
        <v>71</v>
      </c>
      <c r="C757" s="32" t="str">
        <f t="shared" si="70"/>
        <v>Juliana Costa</v>
      </c>
      <c r="D757" s="38" t="s">
        <v>157</v>
      </c>
      <c r="E757" s="33">
        <f t="shared" si="71"/>
        <v>45862</v>
      </c>
      <c r="F757" s="32" t="s">
        <v>15</v>
      </c>
      <c r="G757" s="32" t="str">
        <f t="shared" si="72"/>
        <v>Larissa Dias</v>
      </c>
      <c r="H757" s="32" t="s">
        <v>30</v>
      </c>
      <c r="I757" s="32" t="s">
        <v>68</v>
      </c>
      <c r="J757" s="34">
        <v>1</v>
      </c>
      <c r="K757" s="35">
        <v>799</v>
      </c>
      <c r="L757" s="35">
        <v>0</v>
      </c>
      <c r="M757" s="36">
        <f t="shared" si="74"/>
        <v>799</v>
      </c>
      <c r="N757" s="32" t="s">
        <v>69</v>
      </c>
      <c r="Q757" s="49" t="s">
        <v>1160</v>
      </c>
      <c r="R757" s="49" t="s">
        <v>71</v>
      </c>
      <c r="S757" s="58">
        <f t="shared" si="73"/>
        <v>45862</v>
      </c>
      <c r="T757" s="51" t="s">
        <v>15</v>
      </c>
      <c r="U757" s="50" t="s">
        <v>30</v>
      </c>
      <c r="V757" s="52" t="s">
        <v>68</v>
      </c>
      <c r="W757" s="53">
        <v>1</v>
      </c>
      <c r="X757" s="54">
        <v>799</v>
      </c>
      <c r="Y757" s="54">
        <v>0</v>
      </c>
      <c r="Z757" s="55">
        <f t="shared" si="75"/>
        <v>799</v>
      </c>
      <c r="AA757" s="56" t="s">
        <v>69</v>
      </c>
      <c r="AB757"/>
    </row>
    <row r="758" spans="1:28" x14ac:dyDescent="0.25">
      <c r="A758" s="26" t="s">
        <v>1161</v>
      </c>
      <c r="B758" s="26" t="s">
        <v>110</v>
      </c>
      <c r="C758" s="26" t="str">
        <f t="shared" si="70"/>
        <v>Fernanda Lima</v>
      </c>
      <c r="D758" s="37" t="s">
        <v>1691</v>
      </c>
      <c r="E758" s="27">
        <f t="shared" si="71"/>
        <v>46023</v>
      </c>
      <c r="F758" s="26" t="s">
        <v>39</v>
      </c>
      <c r="G758" s="26" t="str">
        <f t="shared" si="72"/>
        <v>Rodrigo Mello</v>
      </c>
      <c r="H758" s="26" t="s">
        <v>23</v>
      </c>
      <c r="I758" s="26" t="s">
        <v>88</v>
      </c>
      <c r="J758" s="28">
        <v>4</v>
      </c>
      <c r="K758" s="29">
        <v>650</v>
      </c>
      <c r="L758" s="29">
        <v>0</v>
      </c>
      <c r="M758" s="30">
        <f t="shared" si="74"/>
        <v>2600</v>
      </c>
      <c r="N758" s="26" t="s">
        <v>44</v>
      </c>
      <c r="Q758" s="42" t="s">
        <v>1161</v>
      </c>
      <c r="R758" s="42" t="s">
        <v>110</v>
      </c>
      <c r="S758" s="57">
        <f t="shared" si="73"/>
        <v>46023</v>
      </c>
      <c r="T758" s="44" t="s">
        <v>39</v>
      </c>
      <c r="U758" s="43" t="s">
        <v>23</v>
      </c>
      <c r="V758" s="42" t="s">
        <v>88</v>
      </c>
      <c r="W758" s="45">
        <v>4</v>
      </c>
      <c r="X758" s="46">
        <v>650</v>
      </c>
      <c r="Y758" s="46">
        <v>0</v>
      </c>
      <c r="Z758" s="47">
        <f t="shared" si="75"/>
        <v>2600</v>
      </c>
      <c r="AA758" s="48" t="s">
        <v>44</v>
      </c>
      <c r="AB758"/>
    </row>
    <row r="759" spans="1:28" x14ac:dyDescent="0.25">
      <c r="A759" s="31" t="s">
        <v>1162</v>
      </c>
      <c r="B759" s="31" t="s">
        <v>37</v>
      </c>
      <c r="C759" s="32" t="str">
        <f t="shared" si="70"/>
        <v>Patricia Gomes</v>
      </c>
      <c r="D759" s="38" t="s">
        <v>1056</v>
      </c>
      <c r="E759" s="33">
        <f t="shared" si="71"/>
        <v>45970</v>
      </c>
      <c r="F759" s="32" t="s">
        <v>15</v>
      </c>
      <c r="G759" s="32" t="str">
        <f t="shared" si="72"/>
        <v>Larissa Dias</v>
      </c>
      <c r="H759" s="32" t="s">
        <v>30</v>
      </c>
      <c r="I759" s="32" t="s">
        <v>152</v>
      </c>
      <c r="J759" s="34">
        <v>5</v>
      </c>
      <c r="K759" s="35">
        <v>4500</v>
      </c>
      <c r="L759" s="35">
        <v>2490</v>
      </c>
      <c r="M759" s="36">
        <f t="shared" si="74"/>
        <v>20010</v>
      </c>
      <c r="N759" s="32" t="s">
        <v>25</v>
      </c>
      <c r="Q759" s="49" t="s">
        <v>1162</v>
      </c>
      <c r="R759" s="49" t="s">
        <v>37</v>
      </c>
      <c r="S759" s="58">
        <f t="shared" si="73"/>
        <v>45970</v>
      </c>
      <c r="T759" s="51" t="s">
        <v>15</v>
      </c>
      <c r="U759" s="50" t="s">
        <v>30</v>
      </c>
      <c r="V759" s="52" t="s">
        <v>152</v>
      </c>
      <c r="W759" s="53">
        <v>5</v>
      </c>
      <c r="X759" s="54">
        <v>4500</v>
      </c>
      <c r="Y759" s="54">
        <v>2490</v>
      </c>
      <c r="Z759" s="55">
        <f t="shared" si="75"/>
        <v>20010</v>
      </c>
      <c r="AA759" s="56" t="s">
        <v>25</v>
      </c>
      <c r="AB759"/>
    </row>
    <row r="760" spans="1:28" x14ac:dyDescent="0.25">
      <c r="A760" s="26" t="s">
        <v>1163</v>
      </c>
      <c r="B760" s="26" t="s">
        <v>34</v>
      </c>
      <c r="C760" s="26" t="str">
        <f t="shared" si="70"/>
        <v>Carlos Silva</v>
      </c>
      <c r="D760" s="37" t="s">
        <v>377</v>
      </c>
      <c r="E760" s="27">
        <f t="shared" si="71"/>
        <v>45975</v>
      </c>
      <c r="F760" s="26" t="s">
        <v>22</v>
      </c>
      <c r="G760" s="26" t="str">
        <f t="shared" si="72"/>
        <v>Amanda Costa</v>
      </c>
      <c r="H760" s="26" t="s">
        <v>16</v>
      </c>
      <c r="I760" s="26" t="s">
        <v>116</v>
      </c>
      <c r="J760" s="28">
        <v>3</v>
      </c>
      <c r="K760" s="29">
        <v>45</v>
      </c>
      <c r="L760" s="29">
        <v>11.56</v>
      </c>
      <c r="M760" s="30">
        <f t="shared" si="74"/>
        <v>123.44</v>
      </c>
      <c r="N760" s="26" t="s">
        <v>89</v>
      </c>
      <c r="Q760" s="42" t="s">
        <v>1163</v>
      </c>
      <c r="R760" s="42" t="s">
        <v>34</v>
      </c>
      <c r="S760" s="57">
        <f t="shared" si="73"/>
        <v>45975</v>
      </c>
      <c r="T760" s="44" t="s">
        <v>22</v>
      </c>
      <c r="U760" s="43" t="s">
        <v>16</v>
      </c>
      <c r="V760" s="42" t="s">
        <v>116</v>
      </c>
      <c r="W760" s="45">
        <v>3</v>
      </c>
      <c r="X760" s="46">
        <v>45</v>
      </c>
      <c r="Y760" s="46">
        <v>11.56</v>
      </c>
      <c r="Z760" s="47">
        <f t="shared" si="75"/>
        <v>123.44</v>
      </c>
      <c r="AA760" s="48" t="s">
        <v>89</v>
      </c>
      <c r="AB760"/>
    </row>
    <row r="761" spans="1:28" x14ac:dyDescent="0.25">
      <c r="A761" s="31" t="s">
        <v>1164</v>
      </c>
      <c r="B761" s="31" t="s">
        <v>34</v>
      </c>
      <c r="C761" s="32" t="str">
        <f t="shared" si="70"/>
        <v>Carlos Silva</v>
      </c>
      <c r="D761" s="38" t="s">
        <v>759</v>
      </c>
      <c r="E761" s="33">
        <f t="shared" si="71"/>
        <v>45720</v>
      </c>
      <c r="F761" s="32" t="s">
        <v>22</v>
      </c>
      <c r="G761" s="32" t="str">
        <f t="shared" si="72"/>
        <v>Amanda Costa</v>
      </c>
      <c r="H761" s="32" t="s">
        <v>52</v>
      </c>
      <c r="I761" s="32" t="s">
        <v>99</v>
      </c>
      <c r="J761" s="34">
        <v>3</v>
      </c>
      <c r="K761" s="35">
        <v>79</v>
      </c>
      <c r="L761" s="35">
        <v>0</v>
      </c>
      <c r="M761" s="36">
        <f t="shared" si="74"/>
        <v>237</v>
      </c>
      <c r="N761" s="32" t="s">
        <v>65</v>
      </c>
      <c r="Q761" s="49" t="s">
        <v>1164</v>
      </c>
      <c r="R761" s="49" t="s">
        <v>34</v>
      </c>
      <c r="S761" s="58">
        <f t="shared" si="73"/>
        <v>45720</v>
      </c>
      <c r="T761" s="51" t="s">
        <v>22</v>
      </c>
      <c r="U761" s="50" t="s">
        <v>52</v>
      </c>
      <c r="V761" s="52" t="s">
        <v>99</v>
      </c>
      <c r="W761" s="53">
        <v>3</v>
      </c>
      <c r="X761" s="54">
        <v>79</v>
      </c>
      <c r="Y761" s="54">
        <v>0</v>
      </c>
      <c r="Z761" s="55">
        <f t="shared" si="75"/>
        <v>237</v>
      </c>
      <c r="AA761" s="56" t="s">
        <v>65</v>
      </c>
      <c r="AB761"/>
    </row>
    <row r="762" spans="1:28" x14ac:dyDescent="0.25">
      <c r="A762" s="26" t="s">
        <v>1165</v>
      </c>
      <c r="B762" s="26" t="s">
        <v>34</v>
      </c>
      <c r="C762" s="26" t="str">
        <f t="shared" si="70"/>
        <v>Carlos Silva</v>
      </c>
      <c r="D762" s="37" t="s">
        <v>275</v>
      </c>
      <c r="E762" s="27">
        <f t="shared" si="71"/>
        <v>45795</v>
      </c>
      <c r="F762" s="26" t="s">
        <v>22</v>
      </c>
      <c r="G762" s="26" t="str">
        <f t="shared" si="72"/>
        <v>Amanda Costa</v>
      </c>
      <c r="H762" s="26" t="s">
        <v>23</v>
      </c>
      <c r="I762" s="26" t="s">
        <v>24</v>
      </c>
      <c r="J762" s="28">
        <v>4</v>
      </c>
      <c r="K762" s="29">
        <v>180</v>
      </c>
      <c r="L762" s="29">
        <v>0</v>
      </c>
      <c r="M762" s="30">
        <f t="shared" si="74"/>
        <v>720</v>
      </c>
      <c r="N762" s="26" t="s">
        <v>69</v>
      </c>
      <c r="Q762" s="42" t="s">
        <v>1165</v>
      </c>
      <c r="R762" s="42" t="s">
        <v>34</v>
      </c>
      <c r="S762" s="57">
        <f t="shared" si="73"/>
        <v>45795</v>
      </c>
      <c r="T762" s="44" t="s">
        <v>22</v>
      </c>
      <c r="U762" s="43" t="s">
        <v>23</v>
      </c>
      <c r="V762" s="42" t="s">
        <v>24</v>
      </c>
      <c r="W762" s="45">
        <v>4</v>
      </c>
      <c r="X762" s="46">
        <v>180</v>
      </c>
      <c r="Y762" s="46">
        <v>0</v>
      </c>
      <c r="Z762" s="47">
        <f t="shared" si="75"/>
        <v>720</v>
      </c>
      <c r="AA762" s="48" t="s">
        <v>69</v>
      </c>
      <c r="AB762"/>
    </row>
    <row r="763" spans="1:28" x14ac:dyDescent="0.25">
      <c r="A763" s="31" t="s">
        <v>1166</v>
      </c>
      <c r="B763" s="31" t="s">
        <v>55</v>
      </c>
      <c r="C763" s="32" t="str">
        <f t="shared" si="70"/>
        <v>Ricardo Carvalho</v>
      </c>
      <c r="D763" s="38" t="s">
        <v>296</v>
      </c>
      <c r="E763" s="33">
        <f t="shared" si="71"/>
        <v>46041</v>
      </c>
      <c r="F763" s="32" t="s">
        <v>47</v>
      </c>
      <c r="G763" s="32" t="str">
        <f t="shared" si="72"/>
        <v>Bruno Martins</v>
      </c>
      <c r="H763" s="32" t="s">
        <v>52</v>
      </c>
      <c r="I763" s="32" t="s">
        <v>99</v>
      </c>
      <c r="J763" s="34">
        <v>5</v>
      </c>
      <c r="K763" s="35">
        <v>79</v>
      </c>
      <c r="L763" s="35">
        <v>48.3</v>
      </c>
      <c r="M763" s="36">
        <f t="shared" si="74"/>
        <v>346.7</v>
      </c>
      <c r="N763" s="32" t="s">
        <v>44</v>
      </c>
      <c r="Q763" s="49" t="s">
        <v>1166</v>
      </c>
      <c r="R763" s="49" t="s">
        <v>55</v>
      </c>
      <c r="S763" s="58">
        <f t="shared" si="73"/>
        <v>46041</v>
      </c>
      <c r="T763" s="51" t="s">
        <v>47</v>
      </c>
      <c r="U763" s="50" t="s">
        <v>52</v>
      </c>
      <c r="V763" s="52" t="s">
        <v>99</v>
      </c>
      <c r="W763" s="53">
        <v>5</v>
      </c>
      <c r="X763" s="54">
        <v>79</v>
      </c>
      <c r="Y763" s="54">
        <v>48.3</v>
      </c>
      <c r="Z763" s="55">
        <f t="shared" si="75"/>
        <v>346.7</v>
      </c>
      <c r="AA763" s="56" t="s">
        <v>44</v>
      </c>
      <c r="AB763"/>
    </row>
    <row r="764" spans="1:28" x14ac:dyDescent="0.25">
      <c r="A764" s="26" t="s">
        <v>1167</v>
      </c>
      <c r="B764" s="26" t="s">
        <v>41</v>
      </c>
      <c r="C764" s="26" t="str">
        <f t="shared" si="70"/>
        <v>João Pereira</v>
      </c>
      <c r="D764" s="37" t="s">
        <v>1691</v>
      </c>
      <c r="E764" s="27">
        <f t="shared" si="71"/>
        <v>46023</v>
      </c>
      <c r="F764" s="26" t="s">
        <v>15</v>
      </c>
      <c r="G764" s="26" t="str">
        <f t="shared" si="72"/>
        <v>Larissa Dias</v>
      </c>
      <c r="H764" s="26" t="s">
        <v>16</v>
      </c>
      <c r="I764" s="26" t="s">
        <v>116</v>
      </c>
      <c r="J764" s="28">
        <v>2</v>
      </c>
      <c r="K764" s="29">
        <v>45</v>
      </c>
      <c r="L764" s="29">
        <v>7.38</v>
      </c>
      <c r="M764" s="30">
        <f t="shared" si="74"/>
        <v>82.62</v>
      </c>
      <c r="N764" s="26" t="s">
        <v>25</v>
      </c>
      <c r="Q764" s="42" t="s">
        <v>1167</v>
      </c>
      <c r="R764" s="42" t="s">
        <v>41</v>
      </c>
      <c r="S764" s="57">
        <f t="shared" si="73"/>
        <v>46023</v>
      </c>
      <c r="T764" s="44" t="s">
        <v>15</v>
      </c>
      <c r="U764" s="43" t="s">
        <v>16</v>
      </c>
      <c r="V764" s="42" t="s">
        <v>116</v>
      </c>
      <c r="W764" s="45">
        <v>2</v>
      </c>
      <c r="X764" s="46">
        <v>45</v>
      </c>
      <c r="Y764" s="46">
        <v>7.38</v>
      </c>
      <c r="Z764" s="47">
        <f t="shared" si="75"/>
        <v>82.62</v>
      </c>
      <c r="AA764" s="48" t="s">
        <v>25</v>
      </c>
      <c r="AB764"/>
    </row>
    <row r="765" spans="1:28" x14ac:dyDescent="0.25">
      <c r="A765" s="31" t="s">
        <v>1168</v>
      </c>
      <c r="B765" s="31" t="s">
        <v>34</v>
      </c>
      <c r="C765" s="32" t="str">
        <f t="shared" si="70"/>
        <v>Carlos Silva</v>
      </c>
      <c r="D765" s="38" t="s">
        <v>318</v>
      </c>
      <c r="E765" s="33">
        <f t="shared" si="71"/>
        <v>45717</v>
      </c>
      <c r="F765" s="32" t="s">
        <v>15</v>
      </c>
      <c r="G765" s="32" t="str">
        <f t="shared" si="72"/>
        <v>Larissa Dias</v>
      </c>
      <c r="H765" s="32" t="s">
        <v>52</v>
      </c>
      <c r="I765" s="32" t="s">
        <v>99</v>
      </c>
      <c r="J765" s="34">
        <v>3</v>
      </c>
      <c r="K765" s="35">
        <v>79</v>
      </c>
      <c r="L765" s="35">
        <v>0</v>
      </c>
      <c r="M765" s="36">
        <f t="shared" si="74"/>
        <v>237</v>
      </c>
      <c r="N765" s="32" t="s">
        <v>25</v>
      </c>
      <c r="Q765" s="49" t="s">
        <v>1168</v>
      </c>
      <c r="R765" s="49" t="s">
        <v>34</v>
      </c>
      <c r="S765" s="58">
        <f t="shared" si="73"/>
        <v>45717</v>
      </c>
      <c r="T765" s="51" t="s">
        <v>15</v>
      </c>
      <c r="U765" s="50" t="s">
        <v>52</v>
      </c>
      <c r="V765" s="52" t="s">
        <v>99</v>
      </c>
      <c r="W765" s="53">
        <v>3</v>
      </c>
      <c r="X765" s="54">
        <v>79</v>
      </c>
      <c r="Y765" s="54">
        <v>0</v>
      </c>
      <c r="Z765" s="55">
        <f t="shared" si="75"/>
        <v>237</v>
      </c>
      <c r="AA765" s="56" t="s">
        <v>25</v>
      </c>
      <c r="AB765"/>
    </row>
    <row r="766" spans="1:28" x14ac:dyDescent="0.25">
      <c r="A766" s="26" t="s">
        <v>1169</v>
      </c>
      <c r="B766" s="26" t="s">
        <v>55</v>
      </c>
      <c r="C766" s="26" t="str">
        <f t="shared" si="70"/>
        <v>Ricardo Carvalho</v>
      </c>
      <c r="D766" s="37" t="s">
        <v>1170</v>
      </c>
      <c r="E766" s="27">
        <f t="shared" si="71"/>
        <v>45833</v>
      </c>
      <c r="F766" s="26" t="s">
        <v>39</v>
      </c>
      <c r="G766" s="26" t="str">
        <f t="shared" si="72"/>
        <v>Rodrigo Mello</v>
      </c>
      <c r="H766" s="26" t="s">
        <v>30</v>
      </c>
      <c r="I766" s="26" t="s">
        <v>31</v>
      </c>
      <c r="J766" s="28">
        <v>1</v>
      </c>
      <c r="K766" s="29">
        <v>2500</v>
      </c>
      <c r="L766" s="29">
        <v>0</v>
      </c>
      <c r="M766" s="30">
        <f t="shared" si="74"/>
        <v>2500</v>
      </c>
      <c r="N766" s="26" t="s">
        <v>32</v>
      </c>
      <c r="Q766" s="42" t="s">
        <v>1169</v>
      </c>
      <c r="R766" s="42" t="s">
        <v>55</v>
      </c>
      <c r="S766" s="57">
        <f t="shared" si="73"/>
        <v>45833</v>
      </c>
      <c r="T766" s="44" t="s">
        <v>39</v>
      </c>
      <c r="U766" s="43" t="s">
        <v>30</v>
      </c>
      <c r="V766" s="42" t="s">
        <v>31</v>
      </c>
      <c r="W766" s="45">
        <v>1</v>
      </c>
      <c r="X766" s="46">
        <v>2500</v>
      </c>
      <c r="Y766" s="46">
        <v>0</v>
      </c>
      <c r="Z766" s="47">
        <f t="shared" si="75"/>
        <v>2500</v>
      </c>
      <c r="AA766" s="48" t="s">
        <v>32</v>
      </c>
      <c r="AB766"/>
    </row>
    <row r="767" spans="1:28" x14ac:dyDescent="0.25">
      <c r="A767" s="31" t="s">
        <v>1171</v>
      </c>
      <c r="B767" s="31" t="s">
        <v>101</v>
      </c>
      <c r="C767" s="32" t="str">
        <f t="shared" si="70"/>
        <v>Ana Souza</v>
      </c>
      <c r="D767" s="38" t="s">
        <v>198</v>
      </c>
      <c r="E767" s="33">
        <f t="shared" si="71"/>
        <v>45702</v>
      </c>
      <c r="F767" s="32" t="s">
        <v>22</v>
      </c>
      <c r="G767" s="32" t="str">
        <f t="shared" si="72"/>
        <v>Amanda Costa</v>
      </c>
      <c r="H767" s="32" t="s">
        <v>30</v>
      </c>
      <c r="I767" s="32" t="s">
        <v>106</v>
      </c>
      <c r="J767" s="34">
        <v>1</v>
      </c>
      <c r="K767" s="35">
        <v>299</v>
      </c>
      <c r="L767" s="35">
        <v>22.48</v>
      </c>
      <c r="M767" s="36">
        <f t="shared" si="74"/>
        <v>276.52</v>
      </c>
      <c r="N767" s="32" t="s">
        <v>44</v>
      </c>
      <c r="Q767" s="49" t="s">
        <v>1171</v>
      </c>
      <c r="R767" s="49" t="s">
        <v>101</v>
      </c>
      <c r="S767" s="58">
        <f t="shared" si="73"/>
        <v>45702</v>
      </c>
      <c r="T767" s="51" t="s">
        <v>22</v>
      </c>
      <c r="U767" s="50" t="s">
        <v>30</v>
      </c>
      <c r="V767" s="52" t="s">
        <v>106</v>
      </c>
      <c r="W767" s="53">
        <v>1</v>
      </c>
      <c r="X767" s="54">
        <v>299</v>
      </c>
      <c r="Y767" s="54">
        <v>22.48</v>
      </c>
      <c r="Z767" s="55">
        <f t="shared" si="75"/>
        <v>276.52</v>
      </c>
      <c r="AA767" s="56" t="s">
        <v>44</v>
      </c>
      <c r="AB767"/>
    </row>
    <row r="768" spans="1:28" x14ac:dyDescent="0.25">
      <c r="A768" s="26" t="s">
        <v>1172</v>
      </c>
      <c r="B768" s="26" t="s">
        <v>20</v>
      </c>
      <c r="C768" s="26" t="str">
        <f t="shared" si="70"/>
        <v>Beatriz Ribeiro</v>
      </c>
      <c r="D768" s="37" t="s">
        <v>825</v>
      </c>
      <c r="E768" s="27">
        <f t="shared" si="71"/>
        <v>45968</v>
      </c>
      <c r="F768" s="26" t="s">
        <v>29</v>
      </c>
      <c r="G768" s="26" t="str">
        <f t="shared" si="72"/>
        <v>Camila Rocha</v>
      </c>
      <c r="H768" s="26" t="s">
        <v>16</v>
      </c>
      <c r="I768" s="26" t="s">
        <v>17</v>
      </c>
      <c r="J768" s="28">
        <v>2</v>
      </c>
      <c r="K768" s="29">
        <v>39</v>
      </c>
      <c r="L768" s="29">
        <v>0</v>
      </c>
      <c r="M768" s="30">
        <f t="shared" si="74"/>
        <v>78</v>
      </c>
      <c r="N768" s="26" t="s">
        <v>25</v>
      </c>
      <c r="Q768" s="42" t="s">
        <v>1172</v>
      </c>
      <c r="R768" s="42" t="s">
        <v>20</v>
      </c>
      <c r="S768" s="57">
        <f t="shared" si="73"/>
        <v>45968</v>
      </c>
      <c r="T768" s="44" t="s">
        <v>29</v>
      </c>
      <c r="U768" s="43" t="s">
        <v>16</v>
      </c>
      <c r="V768" s="42" t="s">
        <v>17</v>
      </c>
      <c r="W768" s="45">
        <v>2</v>
      </c>
      <c r="X768" s="46">
        <v>39</v>
      </c>
      <c r="Y768" s="46">
        <v>0</v>
      </c>
      <c r="Z768" s="47">
        <f t="shared" si="75"/>
        <v>78</v>
      </c>
      <c r="AA768" s="48" t="s">
        <v>25</v>
      </c>
      <c r="AB768"/>
    </row>
    <row r="769" spans="1:28" x14ac:dyDescent="0.25">
      <c r="A769" s="31" t="s">
        <v>1173</v>
      </c>
      <c r="B769" s="31" t="s">
        <v>27</v>
      </c>
      <c r="C769" s="32" t="str">
        <f t="shared" si="70"/>
        <v>Roberto Santos</v>
      </c>
      <c r="D769" s="38" t="s">
        <v>1004</v>
      </c>
      <c r="E769" s="33">
        <f t="shared" si="71"/>
        <v>45725</v>
      </c>
      <c r="F769" s="32" t="s">
        <v>15</v>
      </c>
      <c r="G769" s="32" t="str">
        <f t="shared" si="72"/>
        <v>Larissa Dias</v>
      </c>
      <c r="H769" s="32" t="s">
        <v>30</v>
      </c>
      <c r="I769" s="32" t="s">
        <v>152</v>
      </c>
      <c r="J769" s="34">
        <v>4</v>
      </c>
      <c r="K769" s="35">
        <v>4500</v>
      </c>
      <c r="L769" s="35">
        <v>0</v>
      </c>
      <c r="M769" s="36">
        <f t="shared" si="74"/>
        <v>18000</v>
      </c>
      <c r="N769" s="32" t="s">
        <v>65</v>
      </c>
      <c r="Q769" s="49" t="s">
        <v>1173</v>
      </c>
      <c r="R769" s="49" t="s">
        <v>27</v>
      </c>
      <c r="S769" s="58">
        <f t="shared" si="73"/>
        <v>45725</v>
      </c>
      <c r="T769" s="51" t="s">
        <v>15</v>
      </c>
      <c r="U769" s="50" t="s">
        <v>30</v>
      </c>
      <c r="V769" s="52" t="s">
        <v>152</v>
      </c>
      <c r="W769" s="53">
        <v>4</v>
      </c>
      <c r="X769" s="54">
        <v>4500</v>
      </c>
      <c r="Y769" s="54">
        <v>0</v>
      </c>
      <c r="Z769" s="55">
        <f t="shared" si="75"/>
        <v>18000</v>
      </c>
      <c r="AA769" s="56" t="s">
        <v>65</v>
      </c>
      <c r="AB769"/>
    </row>
    <row r="770" spans="1:28" x14ac:dyDescent="0.25">
      <c r="A770" s="26" t="s">
        <v>1174</v>
      </c>
      <c r="B770" s="26" t="s">
        <v>34</v>
      </c>
      <c r="C770" s="26" t="str">
        <f t="shared" si="70"/>
        <v>Carlos Silva</v>
      </c>
      <c r="D770" s="37" t="s">
        <v>401</v>
      </c>
      <c r="E770" s="27">
        <f t="shared" si="71"/>
        <v>45772</v>
      </c>
      <c r="F770" s="26" t="s">
        <v>39</v>
      </c>
      <c r="G770" s="26" t="str">
        <f t="shared" si="72"/>
        <v>Rodrigo Mello</v>
      </c>
      <c r="H770" s="26" t="s">
        <v>30</v>
      </c>
      <c r="I770" s="26" t="s">
        <v>106</v>
      </c>
      <c r="J770" s="28">
        <v>4</v>
      </c>
      <c r="K770" s="29">
        <v>299</v>
      </c>
      <c r="L770" s="29">
        <v>0</v>
      </c>
      <c r="M770" s="30">
        <f t="shared" si="74"/>
        <v>1196</v>
      </c>
      <c r="N770" s="26" t="s">
        <v>89</v>
      </c>
      <c r="Q770" s="42" t="s">
        <v>1174</v>
      </c>
      <c r="R770" s="42" t="s">
        <v>34</v>
      </c>
      <c r="S770" s="57">
        <f t="shared" si="73"/>
        <v>45772</v>
      </c>
      <c r="T770" s="44" t="s">
        <v>39</v>
      </c>
      <c r="U770" s="43" t="s">
        <v>30</v>
      </c>
      <c r="V770" s="42" t="s">
        <v>106</v>
      </c>
      <c r="W770" s="45">
        <v>4</v>
      </c>
      <c r="X770" s="46">
        <v>299</v>
      </c>
      <c r="Y770" s="46">
        <v>0</v>
      </c>
      <c r="Z770" s="47">
        <f t="shared" si="75"/>
        <v>1196</v>
      </c>
      <c r="AA770" s="48" t="s">
        <v>89</v>
      </c>
      <c r="AB770"/>
    </row>
    <row r="771" spans="1:28" x14ac:dyDescent="0.25">
      <c r="A771" s="31" t="s">
        <v>1175</v>
      </c>
      <c r="B771" s="31" t="s">
        <v>95</v>
      </c>
      <c r="C771" s="32" t="str">
        <f t="shared" ref="C771:C834" si="76">SUBSTITUTE(SUBSTITUTE(SUBSTITUTE(SUBSTITUTE(PROPER(B771)," Da "," ")," De "," ")," Do "," ")," Dos "," ")</f>
        <v>Maria Oliveira</v>
      </c>
      <c r="D771" s="38" t="s">
        <v>579</v>
      </c>
      <c r="E771" s="33">
        <f t="shared" ref="E771:E834" si="77">DATEVALUE(D771)</f>
        <v>45909</v>
      </c>
      <c r="F771" s="32" t="s">
        <v>15</v>
      </c>
      <c r="G771" s="32" t="str">
        <f t="shared" ref="G771:G834" si="78">SUBSTITUTE(SUBSTITUTE(SUBSTITUTE(SUBSTITUTE(PROPER(F771)," Da "," ")," De "," ")," Do "," ")," Dos "," ")</f>
        <v>Larissa Dias</v>
      </c>
      <c r="H771" s="32" t="s">
        <v>30</v>
      </c>
      <c r="I771" s="32" t="s">
        <v>106</v>
      </c>
      <c r="J771" s="34">
        <v>2</v>
      </c>
      <c r="K771" s="35">
        <v>299</v>
      </c>
      <c r="L771" s="35">
        <v>0</v>
      </c>
      <c r="M771" s="36">
        <f t="shared" si="74"/>
        <v>598</v>
      </c>
      <c r="N771" s="32" t="s">
        <v>18</v>
      </c>
      <c r="Q771" s="49" t="s">
        <v>1175</v>
      </c>
      <c r="R771" s="49" t="s">
        <v>95</v>
      </c>
      <c r="S771" s="58">
        <f t="shared" si="73"/>
        <v>45909</v>
      </c>
      <c r="T771" s="51" t="s">
        <v>15</v>
      </c>
      <c r="U771" s="50" t="s">
        <v>30</v>
      </c>
      <c r="V771" s="52" t="s">
        <v>106</v>
      </c>
      <c r="W771" s="53">
        <v>2</v>
      </c>
      <c r="X771" s="54">
        <v>299</v>
      </c>
      <c r="Y771" s="54">
        <v>0</v>
      </c>
      <c r="Z771" s="55">
        <f t="shared" si="75"/>
        <v>598</v>
      </c>
      <c r="AA771" s="56" t="s">
        <v>18</v>
      </c>
      <c r="AB771"/>
    </row>
    <row r="772" spans="1:28" x14ac:dyDescent="0.25">
      <c r="A772" s="26" t="s">
        <v>1176</v>
      </c>
      <c r="B772" s="26" t="s">
        <v>110</v>
      </c>
      <c r="C772" s="26" t="str">
        <f t="shared" si="76"/>
        <v>Fernanda Lima</v>
      </c>
      <c r="D772" s="37" t="s">
        <v>518</v>
      </c>
      <c r="E772" s="27">
        <f t="shared" si="77"/>
        <v>45800</v>
      </c>
      <c r="F772" s="26" t="s">
        <v>39</v>
      </c>
      <c r="G772" s="26" t="str">
        <f t="shared" si="78"/>
        <v>Rodrigo Mello</v>
      </c>
      <c r="H772" s="26" t="s">
        <v>23</v>
      </c>
      <c r="I772" s="26" t="s">
        <v>48</v>
      </c>
      <c r="J772" s="28">
        <v>4</v>
      </c>
      <c r="K772" s="29">
        <v>450</v>
      </c>
      <c r="L772" s="29">
        <v>0</v>
      </c>
      <c r="M772" s="30">
        <f t="shared" si="74"/>
        <v>1800</v>
      </c>
      <c r="N772" s="26" t="s">
        <v>32</v>
      </c>
      <c r="Q772" s="42" t="s">
        <v>1176</v>
      </c>
      <c r="R772" s="42" t="s">
        <v>110</v>
      </c>
      <c r="S772" s="57">
        <f t="shared" si="73"/>
        <v>45800</v>
      </c>
      <c r="T772" s="44" t="s">
        <v>39</v>
      </c>
      <c r="U772" s="43" t="s">
        <v>23</v>
      </c>
      <c r="V772" s="42" t="s">
        <v>48</v>
      </c>
      <c r="W772" s="45">
        <v>4</v>
      </c>
      <c r="X772" s="46">
        <v>450</v>
      </c>
      <c r="Y772" s="46">
        <v>0</v>
      </c>
      <c r="Z772" s="47">
        <f t="shared" si="75"/>
        <v>1800</v>
      </c>
      <c r="AA772" s="48" t="s">
        <v>32</v>
      </c>
      <c r="AB772"/>
    </row>
    <row r="773" spans="1:28" x14ac:dyDescent="0.25">
      <c r="A773" s="31" t="s">
        <v>1177</v>
      </c>
      <c r="B773" s="31" t="s">
        <v>27</v>
      </c>
      <c r="C773" s="32" t="str">
        <f t="shared" si="76"/>
        <v>Roberto Santos</v>
      </c>
      <c r="D773" s="38" t="s">
        <v>601</v>
      </c>
      <c r="E773" s="33">
        <f t="shared" si="77"/>
        <v>45831</v>
      </c>
      <c r="F773" s="32" t="s">
        <v>39</v>
      </c>
      <c r="G773" s="32" t="str">
        <f t="shared" si="78"/>
        <v>Rodrigo Mello</v>
      </c>
      <c r="H773" s="32" t="s">
        <v>23</v>
      </c>
      <c r="I773" s="32" t="s">
        <v>24</v>
      </c>
      <c r="J773" s="34">
        <v>1</v>
      </c>
      <c r="K773" s="35">
        <v>180</v>
      </c>
      <c r="L773" s="35">
        <v>14.85</v>
      </c>
      <c r="M773" s="36">
        <f t="shared" si="74"/>
        <v>165.15</v>
      </c>
      <c r="N773" s="32" t="s">
        <v>44</v>
      </c>
      <c r="Q773" s="49" t="s">
        <v>1177</v>
      </c>
      <c r="R773" s="49" t="s">
        <v>27</v>
      </c>
      <c r="S773" s="58">
        <f t="shared" si="73"/>
        <v>45831</v>
      </c>
      <c r="T773" s="51" t="s">
        <v>39</v>
      </c>
      <c r="U773" s="50" t="s">
        <v>23</v>
      </c>
      <c r="V773" s="52" t="s">
        <v>24</v>
      </c>
      <c r="W773" s="53">
        <v>1</v>
      </c>
      <c r="X773" s="54">
        <v>180</v>
      </c>
      <c r="Y773" s="54">
        <v>14.85</v>
      </c>
      <c r="Z773" s="55">
        <f t="shared" si="75"/>
        <v>165.15</v>
      </c>
      <c r="AA773" s="56" t="s">
        <v>44</v>
      </c>
      <c r="AB773"/>
    </row>
    <row r="774" spans="1:28" x14ac:dyDescent="0.25">
      <c r="A774" s="26" t="s">
        <v>1178</v>
      </c>
      <c r="B774" s="26" t="s">
        <v>41</v>
      </c>
      <c r="C774" s="26" t="str">
        <f t="shared" si="76"/>
        <v>João Pereira</v>
      </c>
      <c r="D774" s="37" t="s">
        <v>505</v>
      </c>
      <c r="E774" s="27">
        <f t="shared" si="77"/>
        <v>45995</v>
      </c>
      <c r="F774" s="26" t="s">
        <v>39</v>
      </c>
      <c r="G774" s="26" t="str">
        <f t="shared" si="78"/>
        <v>Rodrigo Mello</v>
      </c>
      <c r="H774" s="26" t="s">
        <v>23</v>
      </c>
      <c r="I774" s="26" t="s">
        <v>48</v>
      </c>
      <c r="J774" s="28">
        <v>5</v>
      </c>
      <c r="K774" s="29">
        <v>450</v>
      </c>
      <c r="L774" s="29">
        <v>0</v>
      </c>
      <c r="M774" s="30">
        <f t="shared" si="74"/>
        <v>2250</v>
      </c>
      <c r="N774" s="26" t="s">
        <v>89</v>
      </c>
      <c r="Q774" s="42" t="s">
        <v>1178</v>
      </c>
      <c r="R774" s="42" t="s">
        <v>41</v>
      </c>
      <c r="S774" s="57">
        <f t="shared" ref="S774:S837" si="79">DATEVALUE(D774)</f>
        <v>45995</v>
      </c>
      <c r="T774" s="44" t="s">
        <v>39</v>
      </c>
      <c r="U774" s="43" t="s">
        <v>23</v>
      </c>
      <c r="V774" s="42" t="s">
        <v>48</v>
      </c>
      <c r="W774" s="45">
        <v>5</v>
      </c>
      <c r="X774" s="46">
        <v>450</v>
      </c>
      <c r="Y774" s="46">
        <v>0</v>
      </c>
      <c r="Z774" s="47">
        <f t="shared" si="75"/>
        <v>2250</v>
      </c>
      <c r="AA774" s="48" t="s">
        <v>89</v>
      </c>
      <c r="AB774"/>
    </row>
    <row r="775" spans="1:28" x14ac:dyDescent="0.25">
      <c r="A775" s="31" t="s">
        <v>1179</v>
      </c>
      <c r="B775" s="31" t="s">
        <v>71</v>
      </c>
      <c r="C775" s="32" t="str">
        <f t="shared" si="76"/>
        <v>Juliana Costa</v>
      </c>
      <c r="D775" s="38" t="s">
        <v>161</v>
      </c>
      <c r="E775" s="33">
        <f t="shared" si="77"/>
        <v>45716</v>
      </c>
      <c r="F775" s="32" t="s">
        <v>47</v>
      </c>
      <c r="G775" s="32" t="str">
        <f t="shared" si="78"/>
        <v>Bruno Martins</v>
      </c>
      <c r="H775" s="32" t="s">
        <v>23</v>
      </c>
      <c r="I775" s="32" t="s">
        <v>24</v>
      </c>
      <c r="J775" s="34">
        <v>4</v>
      </c>
      <c r="K775" s="35">
        <v>180</v>
      </c>
      <c r="L775" s="35">
        <v>12.67</v>
      </c>
      <c r="M775" s="36">
        <f t="shared" si="74"/>
        <v>707.33</v>
      </c>
      <c r="N775" s="32" t="s">
        <v>32</v>
      </c>
      <c r="Q775" s="49" t="s">
        <v>1179</v>
      </c>
      <c r="R775" s="49" t="s">
        <v>71</v>
      </c>
      <c r="S775" s="58">
        <f t="shared" si="79"/>
        <v>45716</v>
      </c>
      <c r="T775" s="51" t="s">
        <v>47</v>
      </c>
      <c r="U775" s="50" t="s">
        <v>23</v>
      </c>
      <c r="V775" s="52" t="s">
        <v>24</v>
      </c>
      <c r="W775" s="53">
        <v>4</v>
      </c>
      <c r="X775" s="54">
        <v>180</v>
      </c>
      <c r="Y775" s="54">
        <v>12.67</v>
      </c>
      <c r="Z775" s="55">
        <f t="shared" si="75"/>
        <v>707.33</v>
      </c>
      <c r="AA775" s="56" t="s">
        <v>32</v>
      </c>
      <c r="AB775"/>
    </row>
    <row r="776" spans="1:28" x14ac:dyDescent="0.25">
      <c r="A776" s="26" t="s">
        <v>1180</v>
      </c>
      <c r="B776" s="26" t="s">
        <v>63</v>
      </c>
      <c r="C776" s="26" t="str">
        <f t="shared" si="76"/>
        <v>Marcos Rodrigues</v>
      </c>
      <c r="D776" s="37" t="s">
        <v>484</v>
      </c>
      <c r="E776" s="27">
        <f t="shared" si="77"/>
        <v>45922</v>
      </c>
      <c r="F776" s="26" t="s">
        <v>29</v>
      </c>
      <c r="G776" s="26" t="str">
        <f t="shared" si="78"/>
        <v>Camila Rocha</v>
      </c>
      <c r="H776" s="26" t="s">
        <v>30</v>
      </c>
      <c r="I776" s="26" t="s">
        <v>68</v>
      </c>
      <c r="J776" s="28">
        <v>3</v>
      </c>
      <c r="K776" s="29">
        <v>799</v>
      </c>
      <c r="L776" s="29">
        <v>329.15</v>
      </c>
      <c r="M776" s="30">
        <f t="shared" ref="M776:M820" si="80">(J776*K776)-L776</f>
        <v>2067.85</v>
      </c>
      <c r="N776" s="26" t="s">
        <v>25</v>
      </c>
      <c r="Q776" s="42" t="s">
        <v>1180</v>
      </c>
      <c r="R776" s="42" t="s">
        <v>63</v>
      </c>
      <c r="S776" s="57">
        <f t="shared" si="79"/>
        <v>45922</v>
      </c>
      <c r="T776" s="44" t="s">
        <v>29</v>
      </c>
      <c r="U776" s="43" t="s">
        <v>30</v>
      </c>
      <c r="V776" s="42" t="s">
        <v>68</v>
      </c>
      <c r="W776" s="45">
        <v>3</v>
      </c>
      <c r="X776" s="46">
        <v>799</v>
      </c>
      <c r="Y776" s="46">
        <v>329.15</v>
      </c>
      <c r="Z776" s="47">
        <f t="shared" ref="Z776:Z820" si="81">(W776*X776)-Y776</f>
        <v>2067.85</v>
      </c>
      <c r="AA776" s="48" t="s">
        <v>25</v>
      </c>
      <c r="AB776"/>
    </row>
    <row r="777" spans="1:28" x14ac:dyDescent="0.25">
      <c r="A777" s="31" t="s">
        <v>1181</v>
      </c>
      <c r="B777" s="31" t="s">
        <v>71</v>
      </c>
      <c r="C777" s="32" t="str">
        <f t="shared" si="76"/>
        <v>Juliana Costa</v>
      </c>
      <c r="D777" s="38" t="s">
        <v>115</v>
      </c>
      <c r="E777" s="33">
        <f t="shared" si="77"/>
        <v>45727</v>
      </c>
      <c r="F777" s="32" t="s">
        <v>39</v>
      </c>
      <c r="G777" s="32" t="str">
        <f t="shared" si="78"/>
        <v>Rodrigo Mello</v>
      </c>
      <c r="H777" s="32" t="s">
        <v>16</v>
      </c>
      <c r="I777" s="32" t="s">
        <v>103</v>
      </c>
      <c r="J777" s="34">
        <v>3</v>
      </c>
      <c r="K777" s="35">
        <v>89</v>
      </c>
      <c r="L777" s="35">
        <v>0</v>
      </c>
      <c r="M777" s="36">
        <f t="shared" si="80"/>
        <v>267</v>
      </c>
      <c r="N777" s="32" t="s">
        <v>32</v>
      </c>
      <c r="Q777" s="49" t="s">
        <v>1181</v>
      </c>
      <c r="R777" s="49" t="s">
        <v>71</v>
      </c>
      <c r="S777" s="58">
        <f t="shared" si="79"/>
        <v>45727</v>
      </c>
      <c r="T777" s="51" t="s">
        <v>39</v>
      </c>
      <c r="U777" s="50" t="s">
        <v>16</v>
      </c>
      <c r="V777" s="52" t="s">
        <v>103</v>
      </c>
      <c r="W777" s="53">
        <v>3</v>
      </c>
      <c r="X777" s="54">
        <v>89</v>
      </c>
      <c r="Y777" s="54">
        <v>0</v>
      </c>
      <c r="Z777" s="55">
        <f t="shared" si="81"/>
        <v>267</v>
      </c>
      <c r="AA777" s="56" t="s">
        <v>32</v>
      </c>
      <c r="AB777"/>
    </row>
    <row r="778" spans="1:28" x14ac:dyDescent="0.25">
      <c r="A778" s="26" t="s">
        <v>1182</v>
      </c>
      <c r="B778" s="26" t="s">
        <v>63</v>
      </c>
      <c r="C778" s="26" t="str">
        <f t="shared" si="76"/>
        <v>Marcos Rodrigues</v>
      </c>
      <c r="D778" s="37" t="s">
        <v>497</v>
      </c>
      <c r="E778" s="27">
        <f t="shared" si="77"/>
        <v>45679</v>
      </c>
      <c r="F778" s="26" t="s">
        <v>39</v>
      </c>
      <c r="G778" s="26" t="str">
        <f t="shared" si="78"/>
        <v>Rodrigo Mello</v>
      </c>
      <c r="H778" s="26" t="s">
        <v>16</v>
      </c>
      <c r="I778" s="26" t="s">
        <v>78</v>
      </c>
      <c r="J778" s="28">
        <v>1</v>
      </c>
      <c r="K778" s="29">
        <v>59</v>
      </c>
      <c r="L778" s="29">
        <v>2.57</v>
      </c>
      <c r="M778" s="30">
        <f t="shared" si="80"/>
        <v>56.43</v>
      </c>
      <c r="N778" s="26" t="s">
        <v>69</v>
      </c>
      <c r="Q778" s="42" t="s">
        <v>1182</v>
      </c>
      <c r="R778" s="42" t="s">
        <v>63</v>
      </c>
      <c r="S778" s="57">
        <f t="shared" si="79"/>
        <v>45679</v>
      </c>
      <c r="T778" s="44" t="s">
        <v>39</v>
      </c>
      <c r="U778" s="43" t="s">
        <v>16</v>
      </c>
      <c r="V778" s="42" t="s">
        <v>78</v>
      </c>
      <c r="W778" s="45">
        <v>1</v>
      </c>
      <c r="X778" s="46">
        <v>59</v>
      </c>
      <c r="Y778" s="46">
        <v>2.57</v>
      </c>
      <c r="Z778" s="47">
        <f t="shared" si="81"/>
        <v>56.43</v>
      </c>
      <c r="AA778" s="48" t="s">
        <v>69</v>
      </c>
      <c r="AB778"/>
    </row>
    <row r="779" spans="1:28" x14ac:dyDescent="0.25">
      <c r="A779" s="31" t="s">
        <v>1183</v>
      </c>
      <c r="B779" s="31" t="s">
        <v>13</v>
      </c>
      <c r="C779" s="32" t="str">
        <f t="shared" si="76"/>
        <v>Lucas Almeida</v>
      </c>
      <c r="D779" s="38" t="s">
        <v>200</v>
      </c>
      <c r="E779" s="33">
        <f t="shared" si="77"/>
        <v>45870</v>
      </c>
      <c r="F779" s="32" t="s">
        <v>15</v>
      </c>
      <c r="G779" s="32" t="str">
        <f t="shared" si="78"/>
        <v>Larissa Dias</v>
      </c>
      <c r="H779" s="32" t="s">
        <v>52</v>
      </c>
      <c r="I779" s="32" t="s">
        <v>61</v>
      </c>
      <c r="J779" s="34">
        <v>1</v>
      </c>
      <c r="K779" s="35">
        <v>199</v>
      </c>
      <c r="L779" s="35">
        <v>2.97</v>
      </c>
      <c r="M779" s="36">
        <f t="shared" si="80"/>
        <v>196.03</v>
      </c>
      <c r="N779" s="32" t="s">
        <v>18</v>
      </c>
      <c r="Q779" s="49" t="s">
        <v>1183</v>
      </c>
      <c r="R779" s="49" t="s">
        <v>13</v>
      </c>
      <c r="S779" s="58">
        <f t="shared" si="79"/>
        <v>45870</v>
      </c>
      <c r="T779" s="51" t="s">
        <v>15</v>
      </c>
      <c r="U779" s="50" t="s">
        <v>52</v>
      </c>
      <c r="V779" s="52" t="s">
        <v>61</v>
      </c>
      <c r="W779" s="53">
        <v>1</v>
      </c>
      <c r="X779" s="54">
        <v>199</v>
      </c>
      <c r="Y779" s="54">
        <v>2.97</v>
      </c>
      <c r="Z779" s="55">
        <f t="shared" si="81"/>
        <v>196.03</v>
      </c>
      <c r="AA779" s="56" t="s">
        <v>18</v>
      </c>
      <c r="AB779"/>
    </row>
    <row r="780" spans="1:28" x14ac:dyDescent="0.25">
      <c r="A780" s="26" t="s">
        <v>1184</v>
      </c>
      <c r="B780" s="26" t="s">
        <v>55</v>
      </c>
      <c r="C780" s="26" t="str">
        <f t="shared" si="76"/>
        <v>Ricardo Carvalho</v>
      </c>
      <c r="D780" s="37" t="s">
        <v>405</v>
      </c>
      <c r="E780" s="27">
        <f t="shared" si="77"/>
        <v>46019</v>
      </c>
      <c r="F780" s="26" t="s">
        <v>15</v>
      </c>
      <c r="G780" s="26" t="str">
        <f t="shared" si="78"/>
        <v>Larissa Dias</v>
      </c>
      <c r="H780" s="26" t="s">
        <v>16</v>
      </c>
      <c r="I780" s="26" t="s">
        <v>116</v>
      </c>
      <c r="J780" s="28">
        <v>2</v>
      </c>
      <c r="K780" s="29">
        <v>45</v>
      </c>
      <c r="L780" s="29">
        <v>0</v>
      </c>
      <c r="M780" s="30">
        <f t="shared" si="80"/>
        <v>90</v>
      </c>
      <c r="N780" s="26" t="s">
        <v>18</v>
      </c>
      <c r="Q780" s="42" t="s">
        <v>1184</v>
      </c>
      <c r="R780" s="42" t="s">
        <v>55</v>
      </c>
      <c r="S780" s="57">
        <f t="shared" si="79"/>
        <v>46019</v>
      </c>
      <c r="T780" s="44" t="s">
        <v>15</v>
      </c>
      <c r="U780" s="43" t="s">
        <v>16</v>
      </c>
      <c r="V780" s="42" t="s">
        <v>116</v>
      </c>
      <c r="W780" s="45">
        <v>2</v>
      </c>
      <c r="X780" s="46">
        <v>45</v>
      </c>
      <c r="Y780" s="46">
        <v>0</v>
      </c>
      <c r="Z780" s="47">
        <f t="shared" si="81"/>
        <v>90</v>
      </c>
      <c r="AA780" s="48" t="s">
        <v>18</v>
      </c>
      <c r="AB780"/>
    </row>
    <row r="781" spans="1:28" x14ac:dyDescent="0.25">
      <c r="A781" s="31" t="s">
        <v>1185</v>
      </c>
      <c r="B781" s="31" t="s">
        <v>101</v>
      </c>
      <c r="C781" s="32" t="str">
        <f t="shared" si="76"/>
        <v>Ana Souza</v>
      </c>
      <c r="D781" s="38" t="s">
        <v>105</v>
      </c>
      <c r="E781" s="33">
        <f t="shared" si="77"/>
        <v>45902</v>
      </c>
      <c r="F781" s="32" t="s">
        <v>39</v>
      </c>
      <c r="G781" s="32" t="str">
        <f t="shared" si="78"/>
        <v>Rodrigo Mello</v>
      </c>
      <c r="H781" s="32" t="s">
        <v>16</v>
      </c>
      <c r="I781" s="32" t="s">
        <v>116</v>
      </c>
      <c r="J781" s="34">
        <v>4</v>
      </c>
      <c r="K781" s="35">
        <v>45</v>
      </c>
      <c r="L781" s="35">
        <v>0</v>
      </c>
      <c r="M781" s="36">
        <f t="shared" si="80"/>
        <v>180</v>
      </c>
      <c r="N781" s="32" t="s">
        <v>49</v>
      </c>
      <c r="Q781" s="49" t="s">
        <v>1185</v>
      </c>
      <c r="R781" s="49" t="s">
        <v>101</v>
      </c>
      <c r="S781" s="58">
        <f t="shared" si="79"/>
        <v>45902</v>
      </c>
      <c r="T781" s="51" t="s">
        <v>39</v>
      </c>
      <c r="U781" s="50" t="s">
        <v>16</v>
      </c>
      <c r="V781" s="52" t="s">
        <v>116</v>
      </c>
      <c r="W781" s="53">
        <v>4</v>
      </c>
      <c r="X781" s="54">
        <v>45</v>
      </c>
      <c r="Y781" s="54">
        <v>0</v>
      </c>
      <c r="Z781" s="55">
        <f t="shared" si="81"/>
        <v>180</v>
      </c>
      <c r="AA781" s="56" t="s">
        <v>49</v>
      </c>
      <c r="AB781"/>
    </row>
    <row r="782" spans="1:28" x14ac:dyDescent="0.25">
      <c r="A782" s="26" t="s">
        <v>1186</v>
      </c>
      <c r="B782" s="26" t="s">
        <v>101</v>
      </c>
      <c r="C782" s="26" t="str">
        <f t="shared" si="76"/>
        <v>Ana Souza</v>
      </c>
      <c r="D782" s="37" t="s">
        <v>435</v>
      </c>
      <c r="E782" s="27">
        <f t="shared" si="77"/>
        <v>46047</v>
      </c>
      <c r="F782" s="26" t="s">
        <v>29</v>
      </c>
      <c r="G782" s="26" t="str">
        <f t="shared" si="78"/>
        <v>Camila Rocha</v>
      </c>
      <c r="H782" s="26" t="s">
        <v>52</v>
      </c>
      <c r="I782" s="26" t="s">
        <v>61</v>
      </c>
      <c r="J782" s="28">
        <v>2</v>
      </c>
      <c r="K782" s="29">
        <v>199</v>
      </c>
      <c r="L782" s="29">
        <v>0</v>
      </c>
      <c r="M782" s="30">
        <f t="shared" si="80"/>
        <v>398</v>
      </c>
      <c r="N782" s="26" t="s">
        <v>18</v>
      </c>
      <c r="Q782" s="42" t="s">
        <v>1186</v>
      </c>
      <c r="R782" s="42" t="s">
        <v>101</v>
      </c>
      <c r="S782" s="57">
        <f t="shared" si="79"/>
        <v>46047</v>
      </c>
      <c r="T782" s="44" t="s">
        <v>29</v>
      </c>
      <c r="U782" s="43" t="s">
        <v>52</v>
      </c>
      <c r="V782" s="42" t="s">
        <v>61</v>
      </c>
      <c r="W782" s="45">
        <v>2</v>
      </c>
      <c r="X782" s="46">
        <v>199</v>
      </c>
      <c r="Y782" s="46">
        <v>0</v>
      </c>
      <c r="Z782" s="47">
        <f t="shared" si="81"/>
        <v>398</v>
      </c>
      <c r="AA782" s="48" t="s">
        <v>18</v>
      </c>
      <c r="AB782"/>
    </row>
    <row r="783" spans="1:28" x14ac:dyDescent="0.25">
      <c r="A783" s="31" t="s">
        <v>1187</v>
      </c>
      <c r="B783" s="31" t="s">
        <v>27</v>
      </c>
      <c r="C783" s="32" t="str">
        <f t="shared" si="76"/>
        <v>Roberto Santos</v>
      </c>
      <c r="D783" s="38" t="s">
        <v>792</v>
      </c>
      <c r="E783" s="33">
        <f t="shared" si="77"/>
        <v>45739</v>
      </c>
      <c r="F783" s="32" t="s">
        <v>29</v>
      </c>
      <c r="G783" s="32" t="str">
        <f t="shared" si="78"/>
        <v>Camila Rocha</v>
      </c>
      <c r="H783" s="32" t="s">
        <v>16</v>
      </c>
      <c r="I783" s="32" t="s">
        <v>78</v>
      </c>
      <c r="J783" s="34">
        <v>5</v>
      </c>
      <c r="K783" s="35">
        <v>59</v>
      </c>
      <c r="L783" s="35">
        <v>0</v>
      </c>
      <c r="M783" s="36">
        <f t="shared" si="80"/>
        <v>295</v>
      </c>
      <c r="N783" s="32" t="s">
        <v>44</v>
      </c>
      <c r="Q783" s="49" t="s">
        <v>1187</v>
      </c>
      <c r="R783" s="49" t="s">
        <v>27</v>
      </c>
      <c r="S783" s="58">
        <f t="shared" si="79"/>
        <v>45739</v>
      </c>
      <c r="T783" s="51" t="s">
        <v>29</v>
      </c>
      <c r="U783" s="50" t="s">
        <v>16</v>
      </c>
      <c r="V783" s="52" t="s">
        <v>78</v>
      </c>
      <c r="W783" s="53">
        <v>5</v>
      </c>
      <c r="X783" s="54">
        <v>59</v>
      </c>
      <c r="Y783" s="54">
        <v>0</v>
      </c>
      <c r="Z783" s="55">
        <f t="shared" si="81"/>
        <v>295</v>
      </c>
      <c r="AA783" s="56" t="s">
        <v>44</v>
      </c>
      <c r="AB783"/>
    </row>
    <row r="784" spans="1:28" x14ac:dyDescent="0.25">
      <c r="A784" s="26" t="s">
        <v>1188</v>
      </c>
      <c r="B784" s="26" t="s">
        <v>63</v>
      </c>
      <c r="C784" s="26" t="str">
        <f t="shared" si="76"/>
        <v>Marcos Rodrigues</v>
      </c>
      <c r="D784" s="37" t="s">
        <v>263</v>
      </c>
      <c r="E784" s="27">
        <f t="shared" si="77"/>
        <v>45684</v>
      </c>
      <c r="F784" s="26" t="s">
        <v>22</v>
      </c>
      <c r="G784" s="26" t="str">
        <f t="shared" si="78"/>
        <v>Amanda Costa</v>
      </c>
      <c r="H784" s="26" t="s">
        <v>16</v>
      </c>
      <c r="I784" s="26" t="s">
        <v>17</v>
      </c>
      <c r="J784" s="28">
        <v>3</v>
      </c>
      <c r="K784" s="29">
        <v>39</v>
      </c>
      <c r="L784" s="29">
        <v>3.54</v>
      </c>
      <c r="M784" s="30">
        <f t="shared" si="80"/>
        <v>113.46</v>
      </c>
      <c r="N784" s="26" t="s">
        <v>69</v>
      </c>
      <c r="Q784" s="42" t="s">
        <v>1188</v>
      </c>
      <c r="R784" s="42" t="s">
        <v>63</v>
      </c>
      <c r="S784" s="57">
        <f t="shared" si="79"/>
        <v>45684</v>
      </c>
      <c r="T784" s="44" t="s">
        <v>22</v>
      </c>
      <c r="U784" s="43" t="s">
        <v>16</v>
      </c>
      <c r="V784" s="42" t="s">
        <v>17</v>
      </c>
      <c r="W784" s="45">
        <v>3</v>
      </c>
      <c r="X784" s="46">
        <v>39</v>
      </c>
      <c r="Y784" s="46">
        <v>3.54</v>
      </c>
      <c r="Z784" s="47">
        <f t="shared" si="81"/>
        <v>113.46</v>
      </c>
      <c r="AA784" s="48" t="s">
        <v>69</v>
      </c>
      <c r="AB784"/>
    </row>
    <row r="785" spans="1:28" x14ac:dyDescent="0.25">
      <c r="A785" s="31" t="s">
        <v>1189</v>
      </c>
      <c r="B785" s="31" t="s">
        <v>110</v>
      </c>
      <c r="C785" s="32" t="str">
        <f t="shared" si="76"/>
        <v>Fernanda Lima</v>
      </c>
      <c r="D785" s="38" t="s">
        <v>499</v>
      </c>
      <c r="E785" s="33">
        <f t="shared" si="77"/>
        <v>45938</v>
      </c>
      <c r="F785" s="32" t="s">
        <v>29</v>
      </c>
      <c r="G785" s="32" t="str">
        <f t="shared" si="78"/>
        <v>Camila Rocha</v>
      </c>
      <c r="H785" s="32" t="s">
        <v>52</v>
      </c>
      <c r="I785" s="32" t="s">
        <v>99</v>
      </c>
      <c r="J785" s="34">
        <v>4</v>
      </c>
      <c r="K785" s="35">
        <v>79</v>
      </c>
      <c r="L785" s="35">
        <v>0</v>
      </c>
      <c r="M785" s="36">
        <f t="shared" si="80"/>
        <v>316</v>
      </c>
      <c r="N785" s="32" t="s">
        <v>32</v>
      </c>
      <c r="Q785" s="49" t="s">
        <v>1189</v>
      </c>
      <c r="R785" s="49" t="s">
        <v>110</v>
      </c>
      <c r="S785" s="58">
        <f t="shared" si="79"/>
        <v>45938</v>
      </c>
      <c r="T785" s="51" t="s">
        <v>29</v>
      </c>
      <c r="U785" s="50" t="s">
        <v>52</v>
      </c>
      <c r="V785" s="52" t="s">
        <v>99</v>
      </c>
      <c r="W785" s="53">
        <v>4</v>
      </c>
      <c r="X785" s="54">
        <v>79</v>
      </c>
      <c r="Y785" s="54">
        <v>0</v>
      </c>
      <c r="Z785" s="55">
        <f t="shared" si="81"/>
        <v>316</v>
      </c>
      <c r="AA785" s="56" t="s">
        <v>32</v>
      </c>
      <c r="AB785"/>
    </row>
    <row r="786" spans="1:28" x14ac:dyDescent="0.25">
      <c r="A786" s="26" t="s">
        <v>1190</v>
      </c>
      <c r="B786" s="26" t="s">
        <v>13</v>
      </c>
      <c r="C786" s="26" t="str">
        <f t="shared" si="76"/>
        <v>Lucas Almeida</v>
      </c>
      <c r="D786" s="37" t="s">
        <v>196</v>
      </c>
      <c r="E786" s="27">
        <f t="shared" si="77"/>
        <v>45743</v>
      </c>
      <c r="F786" s="26" t="s">
        <v>29</v>
      </c>
      <c r="G786" s="26" t="str">
        <f t="shared" si="78"/>
        <v>Camila Rocha</v>
      </c>
      <c r="H786" s="26" t="s">
        <v>23</v>
      </c>
      <c r="I786" s="26" t="s">
        <v>24</v>
      </c>
      <c r="J786" s="28">
        <v>3</v>
      </c>
      <c r="K786" s="29">
        <v>180</v>
      </c>
      <c r="L786" s="29">
        <v>0</v>
      </c>
      <c r="M786" s="30">
        <f t="shared" si="80"/>
        <v>540</v>
      </c>
      <c r="N786" s="26" t="s">
        <v>18</v>
      </c>
      <c r="Q786" s="42" t="s">
        <v>1190</v>
      </c>
      <c r="R786" s="42" t="s">
        <v>13</v>
      </c>
      <c r="S786" s="57">
        <f t="shared" si="79"/>
        <v>45743</v>
      </c>
      <c r="T786" s="44" t="s">
        <v>29</v>
      </c>
      <c r="U786" s="43" t="s">
        <v>23</v>
      </c>
      <c r="V786" s="42" t="s">
        <v>24</v>
      </c>
      <c r="W786" s="45">
        <v>3</v>
      </c>
      <c r="X786" s="46">
        <v>180</v>
      </c>
      <c r="Y786" s="46">
        <v>0</v>
      </c>
      <c r="Z786" s="47">
        <f t="shared" si="81"/>
        <v>540</v>
      </c>
      <c r="AA786" s="48" t="s">
        <v>18</v>
      </c>
      <c r="AB786"/>
    </row>
    <row r="787" spans="1:28" x14ac:dyDescent="0.25">
      <c r="A787" s="31" t="s">
        <v>1191</v>
      </c>
      <c r="B787" s="31" t="s">
        <v>63</v>
      </c>
      <c r="C787" s="32" t="str">
        <f t="shared" si="76"/>
        <v>Marcos Rodrigues</v>
      </c>
      <c r="D787" s="38" t="s">
        <v>151</v>
      </c>
      <c r="E787" s="33">
        <f t="shared" si="77"/>
        <v>45843</v>
      </c>
      <c r="F787" s="32" t="s">
        <v>15</v>
      </c>
      <c r="G787" s="32" t="str">
        <f t="shared" si="78"/>
        <v>Larissa Dias</v>
      </c>
      <c r="H787" s="32" t="s">
        <v>52</v>
      </c>
      <c r="I787" s="32" t="s">
        <v>75</v>
      </c>
      <c r="J787" s="34">
        <v>3</v>
      </c>
      <c r="K787" s="35">
        <v>249</v>
      </c>
      <c r="L787" s="35">
        <v>89.25</v>
      </c>
      <c r="M787" s="36">
        <f t="shared" si="80"/>
        <v>657.75</v>
      </c>
      <c r="N787" s="32" t="s">
        <v>49</v>
      </c>
      <c r="Q787" s="49" t="s">
        <v>1191</v>
      </c>
      <c r="R787" s="49" t="s">
        <v>63</v>
      </c>
      <c r="S787" s="58">
        <f t="shared" si="79"/>
        <v>45843</v>
      </c>
      <c r="T787" s="51" t="s">
        <v>15</v>
      </c>
      <c r="U787" s="50" t="s">
        <v>52</v>
      </c>
      <c r="V787" s="52" t="s">
        <v>75</v>
      </c>
      <c r="W787" s="53">
        <v>3</v>
      </c>
      <c r="X787" s="54">
        <v>249</v>
      </c>
      <c r="Y787" s="54">
        <v>89.25</v>
      </c>
      <c r="Z787" s="55">
        <f t="shared" si="81"/>
        <v>657.75</v>
      </c>
      <c r="AA787" s="56" t="s">
        <v>49</v>
      </c>
      <c r="AB787"/>
    </row>
    <row r="788" spans="1:28" x14ac:dyDescent="0.25">
      <c r="A788" s="26" t="s">
        <v>1192</v>
      </c>
      <c r="B788" s="26" t="s">
        <v>71</v>
      </c>
      <c r="C788" s="26" t="str">
        <f t="shared" si="76"/>
        <v>Juliana Costa</v>
      </c>
      <c r="D788" s="37" t="s">
        <v>349</v>
      </c>
      <c r="E788" s="27">
        <f t="shared" si="77"/>
        <v>45939</v>
      </c>
      <c r="F788" s="26" t="s">
        <v>47</v>
      </c>
      <c r="G788" s="26" t="str">
        <f t="shared" si="78"/>
        <v>Bruno Martins</v>
      </c>
      <c r="H788" s="26" t="s">
        <v>23</v>
      </c>
      <c r="I788" s="26" t="s">
        <v>24</v>
      </c>
      <c r="J788" s="28">
        <v>1</v>
      </c>
      <c r="K788" s="29">
        <v>180</v>
      </c>
      <c r="L788" s="29">
        <v>0</v>
      </c>
      <c r="M788" s="30">
        <f t="shared" si="80"/>
        <v>180</v>
      </c>
      <c r="N788" s="26" t="s">
        <v>18</v>
      </c>
      <c r="Q788" s="42" t="s">
        <v>1192</v>
      </c>
      <c r="R788" s="42" t="s">
        <v>71</v>
      </c>
      <c r="S788" s="57">
        <f t="shared" si="79"/>
        <v>45939</v>
      </c>
      <c r="T788" s="44" t="s">
        <v>47</v>
      </c>
      <c r="U788" s="43" t="s">
        <v>23</v>
      </c>
      <c r="V788" s="42" t="s">
        <v>24</v>
      </c>
      <c r="W788" s="45">
        <v>1</v>
      </c>
      <c r="X788" s="46">
        <v>180</v>
      </c>
      <c r="Y788" s="46">
        <v>0</v>
      </c>
      <c r="Z788" s="47">
        <f t="shared" si="81"/>
        <v>180</v>
      </c>
      <c r="AA788" s="48" t="s">
        <v>18</v>
      </c>
      <c r="AB788"/>
    </row>
    <row r="789" spans="1:28" x14ac:dyDescent="0.25">
      <c r="A789" s="31" t="s">
        <v>1193</v>
      </c>
      <c r="B789" s="31" t="s">
        <v>110</v>
      </c>
      <c r="C789" s="32" t="str">
        <f t="shared" si="76"/>
        <v>Fernanda Lima</v>
      </c>
      <c r="D789" s="38" t="s">
        <v>290</v>
      </c>
      <c r="E789" s="33">
        <f t="shared" si="77"/>
        <v>45884</v>
      </c>
      <c r="F789" s="32" t="s">
        <v>15</v>
      </c>
      <c r="G789" s="32" t="str">
        <f t="shared" si="78"/>
        <v>Larissa Dias</v>
      </c>
      <c r="H789" s="32" t="s">
        <v>52</v>
      </c>
      <c r="I789" s="32" t="s">
        <v>53</v>
      </c>
      <c r="J789" s="34">
        <v>2</v>
      </c>
      <c r="K789" s="35">
        <v>149</v>
      </c>
      <c r="L789" s="35">
        <v>28.32</v>
      </c>
      <c r="M789" s="36">
        <f t="shared" si="80"/>
        <v>269.68</v>
      </c>
      <c r="N789" s="32" t="s">
        <v>18</v>
      </c>
      <c r="Q789" s="49" t="s">
        <v>1193</v>
      </c>
      <c r="R789" s="49" t="s">
        <v>110</v>
      </c>
      <c r="S789" s="58">
        <f t="shared" si="79"/>
        <v>45884</v>
      </c>
      <c r="T789" s="51" t="s">
        <v>15</v>
      </c>
      <c r="U789" s="50" t="s">
        <v>52</v>
      </c>
      <c r="V789" s="52" t="s">
        <v>53</v>
      </c>
      <c r="W789" s="53">
        <v>2</v>
      </c>
      <c r="X789" s="54">
        <v>149</v>
      </c>
      <c r="Y789" s="54">
        <v>28.32</v>
      </c>
      <c r="Z789" s="55">
        <f t="shared" si="81"/>
        <v>269.68</v>
      </c>
      <c r="AA789" s="56" t="s">
        <v>18</v>
      </c>
      <c r="AB789"/>
    </row>
    <row r="790" spans="1:28" x14ac:dyDescent="0.25">
      <c r="A790" s="26" t="s">
        <v>1194</v>
      </c>
      <c r="B790" s="26" t="s">
        <v>37</v>
      </c>
      <c r="C790" s="26" t="str">
        <f t="shared" si="76"/>
        <v>Patricia Gomes</v>
      </c>
      <c r="D790" s="37" t="s">
        <v>1147</v>
      </c>
      <c r="E790" s="27">
        <f t="shared" si="77"/>
        <v>45788</v>
      </c>
      <c r="F790" s="26" t="s">
        <v>39</v>
      </c>
      <c r="G790" s="26" t="str">
        <f t="shared" si="78"/>
        <v>Rodrigo Mello</v>
      </c>
      <c r="H790" s="26" t="s">
        <v>30</v>
      </c>
      <c r="I790" s="26" t="s">
        <v>152</v>
      </c>
      <c r="J790" s="28">
        <v>3</v>
      </c>
      <c r="K790" s="29">
        <v>4500</v>
      </c>
      <c r="L790" s="29">
        <v>193.51</v>
      </c>
      <c r="M790" s="30">
        <f t="shared" si="80"/>
        <v>13306.49</v>
      </c>
      <c r="N790" s="26" t="s">
        <v>44</v>
      </c>
      <c r="Q790" s="42" t="s">
        <v>1194</v>
      </c>
      <c r="R790" s="42" t="s">
        <v>37</v>
      </c>
      <c r="S790" s="57">
        <f t="shared" si="79"/>
        <v>45788</v>
      </c>
      <c r="T790" s="44" t="s">
        <v>39</v>
      </c>
      <c r="U790" s="43" t="s">
        <v>30</v>
      </c>
      <c r="V790" s="42" t="s">
        <v>152</v>
      </c>
      <c r="W790" s="45">
        <v>3</v>
      </c>
      <c r="X790" s="46">
        <v>4500</v>
      </c>
      <c r="Y790" s="46">
        <v>193.51</v>
      </c>
      <c r="Z790" s="47">
        <f t="shared" si="81"/>
        <v>13306.49</v>
      </c>
      <c r="AA790" s="48" t="s">
        <v>44</v>
      </c>
      <c r="AB790"/>
    </row>
    <row r="791" spans="1:28" x14ac:dyDescent="0.25">
      <c r="A791" s="31" t="s">
        <v>1195</v>
      </c>
      <c r="B791" s="31" t="s">
        <v>101</v>
      </c>
      <c r="C791" s="32" t="str">
        <f t="shared" si="76"/>
        <v>Ana Souza</v>
      </c>
      <c r="D791" s="38" t="s">
        <v>655</v>
      </c>
      <c r="E791" s="33">
        <f t="shared" si="77"/>
        <v>45892</v>
      </c>
      <c r="F791" s="32" t="s">
        <v>39</v>
      </c>
      <c r="G791" s="32" t="str">
        <f t="shared" si="78"/>
        <v>Rodrigo Mello</v>
      </c>
      <c r="H791" s="32" t="s">
        <v>23</v>
      </c>
      <c r="I791" s="32" t="s">
        <v>24</v>
      </c>
      <c r="J791" s="34">
        <v>3</v>
      </c>
      <c r="K791" s="35">
        <v>180</v>
      </c>
      <c r="L791" s="35">
        <v>0</v>
      </c>
      <c r="M791" s="36">
        <f t="shared" si="80"/>
        <v>540</v>
      </c>
      <c r="N791" s="32" t="s">
        <v>18</v>
      </c>
      <c r="Q791" s="49" t="s">
        <v>1195</v>
      </c>
      <c r="R791" s="49" t="s">
        <v>101</v>
      </c>
      <c r="S791" s="58">
        <f t="shared" si="79"/>
        <v>45892</v>
      </c>
      <c r="T791" s="51" t="s">
        <v>39</v>
      </c>
      <c r="U791" s="50" t="s">
        <v>23</v>
      </c>
      <c r="V791" s="52" t="s">
        <v>24</v>
      </c>
      <c r="W791" s="53">
        <v>3</v>
      </c>
      <c r="X791" s="54">
        <v>180</v>
      </c>
      <c r="Y791" s="54">
        <v>0</v>
      </c>
      <c r="Z791" s="55">
        <f t="shared" si="81"/>
        <v>540</v>
      </c>
      <c r="AA791" s="56" t="s">
        <v>18</v>
      </c>
      <c r="AB791"/>
    </row>
    <row r="792" spans="1:28" x14ac:dyDescent="0.25">
      <c r="A792" s="26" t="s">
        <v>1196</v>
      </c>
      <c r="B792" s="26" t="s">
        <v>71</v>
      </c>
      <c r="C792" s="26" t="str">
        <f t="shared" si="76"/>
        <v>Juliana Costa</v>
      </c>
      <c r="D792" s="37" t="s">
        <v>290</v>
      </c>
      <c r="E792" s="27">
        <f t="shared" si="77"/>
        <v>45884</v>
      </c>
      <c r="F792" s="26" t="s">
        <v>22</v>
      </c>
      <c r="G792" s="26" t="str">
        <f t="shared" si="78"/>
        <v>Amanda Costa</v>
      </c>
      <c r="H792" s="26" t="s">
        <v>23</v>
      </c>
      <c r="I792" s="26" t="s">
        <v>24</v>
      </c>
      <c r="J792" s="28">
        <v>3</v>
      </c>
      <c r="K792" s="29">
        <v>180</v>
      </c>
      <c r="L792" s="29">
        <v>67.87</v>
      </c>
      <c r="M792" s="30">
        <f t="shared" si="80"/>
        <v>472.13</v>
      </c>
      <c r="N792" s="26" t="s">
        <v>69</v>
      </c>
      <c r="Q792" s="42" t="s">
        <v>1196</v>
      </c>
      <c r="R792" s="42" t="s">
        <v>71</v>
      </c>
      <c r="S792" s="57">
        <f t="shared" si="79"/>
        <v>45884</v>
      </c>
      <c r="T792" s="44" t="s">
        <v>22</v>
      </c>
      <c r="U792" s="43" t="s">
        <v>23</v>
      </c>
      <c r="V792" s="42" t="s">
        <v>24</v>
      </c>
      <c r="W792" s="45">
        <v>3</v>
      </c>
      <c r="X792" s="46">
        <v>180</v>
      </c>
      <c r="Y792" s="46">
        <v>67.87</v>
      </c>
      <c r="Z792" s="47">
        <f t="shared" si="81"/>
        <v>472.13</v>
      </c>
      <c r="AA792" s="48" t="s">
        <v>69</v>
      </c>
      <c r="AB792"/>
    </row>
    <row r="793" spans="1:28" x14ac:dyDescent="0.25">
      <c r="A793" s="31" t="s">
        <v>1197</v>
      </c>
      <c r="B793" s="31" t="s">
        <v>63</v>
      </c>
      <c r="C793" s="32" t="str">
        <f t="shared" si="76"/>
        <v>Marcos Rodrigues</v>
      </c>
      <c r="D793" s="38" t="s">
        <v>535</v>
      </c>
      <c r="E793" s="33">
        <f t="shared" si="77"/>
        <v>45846</v>
      </c>
      <c r="F793" s="32" t="s">
        <v>22</v>
      </c>
      <c r="G793" s="32" t="str">
        <f t="shared" si="78"/>
        <v>Amanda Costa</v>
      </c>
      <c r="H793" s="32" t="s">
        <v>30</v>
      </c>
      <c r="I793" s="32" t="s">
        <v>68</v>
      </c>
      <c r="J793" s="34">
        <v>3</v>
      </c>
      <c r="K793" s="35">
        <v>799</v>
      </c>
      <c r="L793" s="35">
        <v>0</v>
      </c>
      <c r="M793" s="36">
        <f t="shared" si="80"/>
        <v>2397</v>
      </c>
      <c r="N793" s="32" t="s">
        <v>25</v>
      </c>
      <c r="Q793" s="49" t="s">
        <v>1197</v>
      </c>
      <c r="R793" s="49" t="s">
        <v>63</v>
      </c>
      <c r="S793" s="58">
        <f t="shared" si="79"/>
        <v>45846</v>
      </c>
      <c r="T793" s="51" t="s">
        <v>22</v>
      </c>
      <c r="U793" s="50" t="s">
        <v>30</v>
      </c>
      <c r="V793" s="52" t="s">
        <v>68</v>
      </c>
      <c r="W793" s="53">
        <v>3</v>
      </c>
      <c r="X793" s="54">
        <v>799</v>
      </c>
      <c r="Y793" s="54">
        <v>0</v>
      </c>
      <c r="Z793" s="55">
        <f t="shared" si="81"/>
        <v>2397</v>
      </c>
      <c r="AA793" s="56" t="s">
        <v>25</v>
      </c>
      <c r="AB793"/>
    </row>
    <row r="794" spans="1:28" x14ac:dyDescent="0.25">
      <c r="A794" s="26" t="s">
        <v>1198</v>
      </c>
      <c r="B794" s="26" t="s">
        <v>101</v>
      </c>
      <c r="C794" s="26" t="str">
        <f t="shared" si="76"/>
        <v>Ana Souza</v>
      </c>
      <c r="D794" s="37" t="s">
        <v>362</v>
      </c>
      <c r="E794" s="27">
        <f t="shared" si="77"/>
        <v>45980</v>
      </c>
      <c r="F794" s="26" t="s">
        <v>22</v>
      </c>
      <c r="G794" s="26" t="str">
        <f t="shared" si="78"/>
        <v>Amanda Costa</v>
      </c>
      <c r="H794" s="26" t="s">
        <v>16</v>
      </c>
      <c r="I794" s="26" t="s">
        <v>17</v>
      </c>
      <c r="J794" s="28">
        <v>5</v>
      </c>
      <c r="K794" s="29">
        <v>39</v>
      </c>
      <c r="L794" s="29">
        <v>0</v>
      </c>
      <c r="M794" s="30">
        <f t="shared" si="80"/>
        <v>195</v>
      </c>
      <c r="N794" s="26" t="s">
        <v>69</v>
      </c>
      <c r="Q794" s="42" t="s">
        <v>1198</v>
      </c>
      <c r="R794" s="42" t="s">
        <v>101</v>
      </c>
      <c r="S794" s="57">
        <f t="shared" si="79"/>
        <v>45980</v>
      </c>
      <c r="T794" s="44" t="s">
        <v>22</v>
      </c>
      <c r="U794" s="43" t="s">
        <v>16</v>
      </c>
      <c r="V794" s="42" t="s">
        <v>17</v>
      </c>
      <c r="W794" s="45">
        <v>5</v>
      </c>
      <c r="X794" s="46">
        <v>39</v>
      </c>
      <c r="Y794" s="46">
        <v>0</v>
      </c>
      <c r="Z794" s="47">
        <f t="shared" si="81"/>
        <v>195</v>
      </c>
      <c r="AA794" s="48" t="s">
        <v>69</v>
      </c>
      <c r="AB794"/>
    </row>
    <row r="795" spans="1:28" x14ac:dyDescent="0.25">
      <c r="A795" s="31" t="s">
        <v>1199</v>
      </c>
      <c r="B795" s="31" t="s">
        <v>101</v>
      </c>
      <c r="C795" s="32" t="str">
        <f t="shared" si="76"/>
        <v>Ana Souza</v>
      </c>
      <c r="D795" s="38" t="s">
        <v>180</v>
      </c>
      <c r="E795" s="33">
        <f t="shared" si="77"/>
        <v>45753</v>
      </c>
      <c r="F795" s="32" t="s">
        <v>39</v>
      </c>
      <c r="G795" s="32" t="str">
        <f t="shared" si="78"/>
        <v>Rodrigo Mello</v>
      </c>
      <c r="H795" s="32" t="s">
        <v>23</v>
      </c>
      <c r="I795" s="32" t="s">
        <v>48</v>
      </c>
      <c r="J795" s="34">
        <v>1</v>
      </c>
      <c r="K795" s="35">
        <v>450</v>
      </c>
      <c r="L795" s="35">
        <v>0</v>
      </c>
      <c r="M795" s="36">
        <f t="shared" si="80"/>
        <v>450</v>
      </c>
      <c r="N795" s="32" t="s">
        <v>25</v>
      </c>
      <c r="Q795" s="49" t="s">
        <v>1199</v>
      </c>
      <c r="R795" s="49" t="s">
        <v>101</v>
      </c>
      <c r="S795" s="58">
        <f t="shared" si="79"/>
        <v>45753</v>
      </c>
      <c r="T795" s="51" t="s">
        <v>39</v>
      </c>
      <c r="U795" s="50" t="s">
        <v>23</v>
      </c>
      <c r="V795" s="52" t="s">
        <v>48</v>
      </c>
      <c r="W795" s="53">
        <v>1</v>
      </c>
      <c r="X795" s="54">
        <v>450</v>
      </c>
      <c r="Y795" s="54">
        <v>0</v>
      </c>
      <c r="Z795" s="55">
        <f t="shared" si="81"/>
        <v>450</v>
      </c>
      <c r="AA795" s="56" t="s">
        <v>25</v>
      </c>
      <c r="AB795"/>
    </row>
    <row r="796" spans="1:28" x14ac:dyDescent="0.25">
      <c r="A796" s="26" t="s">
        <v>1200</v>
      </c>
      <c r="B796" s="26" t="s">
        <v>20</v>
      </c>
      <c r="C796" s="26" t="str">
        <f t="shared" si="76"/>
        <v>Beatriz Ribeiro</v>
      </c>
      <c r="D796" s="37" t="s">
        <v>120</v>
      </c>
      <c r="E796" s="27">
        <f t="shared" si="77"/>
        <v>45730</v>
      </c>
      <c r="F796" s="26" t="s">
        <v>29</v>
      </c>
      <c r="G796" s="26" t="str">
        <f t="shared" si="78"/>
        <v>Camila Rocha</v>
      </c>
      <c r="H796" s="26" t="s">
        <v>52</v>
      </c>
      <c r="I796" s="26" t="s">
        <v>61</v>
      </c>
      <c r="J796" s="28">
        <v>2</v>
      </c>
      <c r="K796" s="29">
        <v>199</v>
      </c>
      <c r="L796" s="29">
        <v>40.1</v>
      </c>
      <c r="M796" s="30">
        <f t="shared" si="80"/>
        <v>357.9</v>
      </c>
      <c r="N796" s="26" t="s">
        <v>69</v>
      </c>
      <c r="Q796" s="42" t="s">
        <v>1200</v>
      </c>
      <c r="R796" s="42" t="s">
        <v>20</v>
      </c>
      <c r="S796" s="57">
        <f t="shared" si="79"/>
        <v>45730</v>
      </c>
      <c r="T796" s="44" t="s">
        <v>29</v>
      </c>
      <c r="U796" s="43" t="s">
        <v>52</v>
      </c>
      <c r="V796" s="42" t="s">
        <v>61</v>
      </c>
      <c r="W796" s="45">
        <v>2</v>
      </c>
      <c r="X796" s="46">
        <v>199</v>
      </c>
      <c r="Y796" s="46">
        <v>40.1</v>
      </c>
      <c r="Z796" s="47">
        <f t="shared" si="81"/>
        <v>357.9</v>
      </c>
      <c r="AA796" s="48" t="s">
        <v>69</v>
      </c>
      <c r="AB796"/>
    </row>
    <row r="797" spans="1:28" x14ac:dyDescent="0.25">
      <c r="A797" s="31" t="s">
        <v>1201</v>
      </c>
      <c r="B797" s="31" t="s">
        <v>20</v>
      </c>
      <c r="C797" s="32" t="str">
        <f t="shared" si="76"/>
        <v>Beatriz Ribeiro</v>
      </c>
      <c r="D797" s="38" t="s">
        <v>87</v>
      </c>
      <c r="E797" s="33">
        <f t="shared" si="77"/>
        <v>45996</v>
      </c>
      <c r="F797" s="32" t="s">
        <v>39</v>
      </c>
      <c r="G797" s="32" t="str">
        <f t="shared" si="78"/>
        <v>Rodrigo Mello</v>
      </c>
      <c r="H797" s="32" t="s">
        <v>52</v>
      </c>
      <c r="I797" s="32" t="s">
        <v>75</v>
      </c>
      <c r="J797" s="34">
        <v>5</v>
      </c>
      <c r="K797" s="35">
        <v>249</v>
      </c>
      <c r="L797" s="35">
        <v>0</v>
      </c>
      <c r="M797" s="36">
        <f t="shared" si="80"/>
        <v>1245</v>
      </c>
      <c r="N797" s="32" t="s">
        <v>65</v>
      </c>
      <c r="Q797" s="49" t="s">
        <v>1201</v>
      </c>
      <c r="R797" s="49" t="s">
        <v>20</v>
      </c>
      <c r="S797" s="58">
        <f t="shared" si="79"/>
        <v>45996</v>
      </c>
      <c r="T797" s="51" t="s">
        <v>39</v>
      </c>
      <c r="U797" s="50" t="s">
        <v>52</v>
      </c>
      <c r="V797" s="52" t="s">
        <v>75</v>
      </c>
      <c r="W797" s="53">
        <v>5</v>
      </c>
      <c r="X797" s="54">
        <v>249</v>
      </c>
      <c r="Y797" s="54">
        <v>0</v>
      </c>
      <c r="Z797" s="55">
        <f t="shared" si="81"/>
        <v>1245</v>
      </c>
      <c r="AA797" s="56" t="s">
        <v>65</v>
      </c>
      <c r="AB797"/>
    </row>
    <row r="798" spans="1:28" x14ac:dyDescent="0.25">
      <c r="A798" s="26" t="s">
        <v>1202</v>
      </c>
      <c r="B798" s="26" t="s">
        <v>34</v>
      </c>
      <c r="C798" s="26" t="str">
        <f t="shared" si="76"/>
        <v>Carlos Silva</v>
      </c>
      <c r="D798" s="37" t="s">
        <v>87</v>
      </c>
      <c r="E798" s="27">
        <f t="shared" si="77"/>
        <v>45996</v>
      </c>
      <c r="F798" s="26" t="s">
        <v>29</v>
      </c>
      <c r="G798" s="26" t="str">
        <f t="shared" si="78"/>
        <v>Camila Rocha</v>
      </c>
      <c r="H798" s="26" t="s">
        <v>30</v>
      </c>
      <c r="I798" s="26" t="s">
        <v>106</v>
      </c>
      <c r="J798" s="28">
        <v>4</v>
      </c>
      <c r="K798" s="29">
        <v>299</v>
      </c>
      <c r="L798" s="29">
        <v>0</v>
      </c>
      <c r="M798" s="30">
        <f t="shared" si="80"/>
        <v>1196</v>
      </c>
      <c r="N798" s="26" t="s">
        <v>32</v>
      </c>
      <c r="Q798" s="42" t="s">
        <v>1202</v>
      </c>
      <c r="R798" s="42" t="s">
        <v>34</v>
      </c>
      <c r="S798" s="57">
        <f t="shared" si="79"/>
        <v>45996</v>
      </c>
      <c r="T798" s="44" t="s">
        <v>29</v>
      </c>
      <c r="U798" s="43" t="s">
        <v>30</v>
      </c>
      <c r="V798" s="42" t="s">
        <v>106</v>
      </c>
      <c r="W798" s="45">
        <v>4</v>
      </c>
      <c r="X798" s="46">
        <v>299</v>
      </c>
      <c r="Y798" s="46">
        <v>0</v>
      </c>
      <c r="Z798" s="47">
        <f t="shared" si="81"/>
        <v>1196</v>
      </c>
      <c r="AA798" s="48" t="s">
        <v>32</v>
      </c>
      <c r="AB798"/>
    </row>
    <row r="799" spans="1:28" x14ac:dyDescent="0.25">
      <c r="A799" s="31" t="s">
        <v>1203</v>
      </c>
      <c r="B799" s="31" t="s">
        <v>71</v>
      </c>
      <c r="C799" s="32" t="str">
        <f t="shared" si="76"/>
        <v>Juliana Costa</v>
      </c>
      <c r="D799" s="38" t="s">
        <v>464</v>
      </c>
      <c r="E799" s="33">
        <f t="shared" si="77"/>
        <v>45694</v>
      </c>
      <c r="F799" s="32" t="s">
        <v>29</v>
      </c>
      <c r="G799" s="32" t="str">
        <f t="shared" si="78"/>
        <v>Camila Rocha</v>
      </c>
      <c r="H799" s="32" t="s">
        <v>16</v>
      </c>
      <c r="I799" s="32" t="s">
        <v>116</v>
      </c>
      <c r="J799" s="34">
        <v>2</v>
      </c>
      <c r="K799" s="35">
        <v>45</v>
      </c>
      <c r="L799" s="35">
        <v>8.2899999999999991</v>
      </c>
      <c r="M799" s="36">
        <f t="shared" si="80"/>
        <v>81.710000000000008</v>
      </c>
      <c r="N799" s="32" t="s">
        <v>65</v>
      </c>
      <c r="Q799" s="49" t="s">
        <v>1203</v>
      </c>
      <c r="R799" s="49" t="s">
        <v>71</v>
      </c>
      <c r="S799" s="58">
        <f t="shared" si="79"/>
        <v>45694</v>
      </c>
      <c r="T799" s="51" t="s">
        <v>29</v>
      </c>
      <c r="U799" s="50" t="s">
        <v>16</v>
      </c>
      <c r="V799" s="52" t="s">
        <v>116</v>
      </c>
      <c r="W799" s="53">
        <v>2</v>
      </c>
      <c r="X799" s="54">
        <v>45</v>
      </c>
      <c r="Y799" s="54">
        <v>8.2899999999999991</v>
      </c>
      <c r="Z799" s="55">
        <f t="shared" si="81"/>
        <v>81.710000000000008</v>
      </c>
      <c r="AA799" s="56" t="s">
        <v>65</v>
      </c>
      <c r="AB799"/>
    </row>
    <row r="800" spans="1:28" x14ac:dyDescent="0.25">
      <c r="A800" s="26" t="s">
        <v>1204</v>
      </c>
      <c r="B800" s="26" t="s">
        <v>71</v>
      </c>
      <c r="C800" s="26" t="str">
        <f t="shared" si="76"/>
        <v>Juliana Costa</v>
      </c>
      <c r="D800" s="37" t="s">
        <v>750</v>
      </c>
      <c r="E800" s="27">
        <f t="shared" si="77"/>
        <v>45755</v>
      </c>
      <c r="F800" s="26" t="s">
        <v>29</v>
      </c>
      <c r="G800" s="26" t="str">
        <f t="shared" si="78"/>
        <v>Camila Rocha</v>
      </c>
      <c r="H800" s="26" t="s">
        <v>30</v>
      </c>
      <c r="I800" s="26" t="s">
        <v>31</v>
      </c>
      <c r="J800" s="28">
        <v>5</v>
      </c>
      <c r="K800" s="29">
        <v>2500</v>
      </c>
      <c r="L800" s="29">
        <v>211.93</v>
      </c>
      <c r="M800" s="30">
        <f t="shared" si="80"/>
        <v>12288.07</v>
      </c>
      <c r="N800" s="26" t="s">
        <v>18</v>
      </c>
      <c r="Q800" s="42" t="s">
        <v>1204</v>
      </c>
      <c r="R800" s="42" t="s">
        <v>71</v>
      </c>
      <c r="S800" s="57">
        <f t="shared" si="79"/>
        <v>45755</v>
      </c>
      <c r="T800" s="44" t="s">
        <v>29</v>
      </c>
      <c r="U800" s="43" t="s">
        <v>30</v>
      </c>
      <c r="V800" s="42" t="s">
        <v>31</v>
      </c>
      <c r="W800" s="45">
        <v>5</v>
      </c>
      <c r="X800" s="46">
        <v>2500</v>
      </c>
      <c r="Y800" s="46">
        <v>211.93</v>
      </c>
      <c r="Z800" s="47">
        <f t="shared" si="81"/>
        <v>12288.07</v>
      </c>
      <c r="AA800" s="48" t="s">
        <v>18</v>
      </c>
      <c r="AB800"/>
    </row>
    <row r="801" spans="1:28" x14ac:dyDescent="0.25">
      <c r="A801" s="31" t="s">
        <v>1205</v>
      </c>
      <c r="B801" s="31" t="s">
        <v>101</v>
      </c>
      <c r="C801" s="32" t="str">
        <f t="shared" si="76"/>
        <v>Ana Souza</v>
      </c>
      <c r="D801" s="38" t="s">
        <v>72</v>
      </c>
      <c r="E801" s="33">
        <f t="shared" si="77"/>
        <v>45765</v>
      </c>
      <c r="F801" s="32" t="s">
        <v>47</v>
      </c>
      <c r="G801" s="32" t="str">
        <f t="shared" si="78"/>
        <v>Bruno Martins</v>
      </c>
      <c r="H801" s="32" t="s">
        <v>52</v>
      </c>
      <c r="I801" s="32" t="s">
        <v>53</v>
      </c>
      <c r="J801" s="34">
        <v>5</v>
      </c>
      <c r="K801" s="35">
        <v>149</v>
      </c>
      <c r="L801" s="35">
        <v>40.950000000000003</v>
      </c>
      <c r="M801" s="36">
        <f t="shared" si="80"/>
        <v>704.05</v>
      </c>
      <c r="N801" s="32" t="s">
        <v>44</v>
      </c>
      <c r="Q801" s="49" t="s">
        <v>1205</v>
      </c>
      <c r="R801" s="49" t="s">
        <v>101</v>
      </c>
      <c r="S801" s="58">
        <f t="shared" si="79"/>
        <v>45765</v>
      </c>
      <c r="T801" s="51" t="s">
        <v>47</v>
      </c>
      <c r="U801" s="50" t="s">
        <v>52</v>
      </c>
      <c r="V801" s="52" t="s">
        <v>53</v>
      </c>
      <c r="W801" s="53">
        <v>5</v>
      </c>
      <c r="X801" s="54">
        <v>149</v>
      </c>
      <c r="Y801" s="54">
        <v>40.950000000000003</v>
      </c>
      <c r="Z801" s="55">
        <f t="shared" si="81"/>
        <v>704.05</v>
      </c>
      <c r="AA801" s="56" t="s">
        <v>44</v>
      </c>
      <c r="AB801"/>
    </row>
    <row r="802" spans="1:28" x14ac:dyDescent="0.25">
      <c r="A802" s="26" t="s">
        <v>1206</v>
      </c>
      <c r="B802" s="26" t="s">
        <v>41</v>
      </c>
      <c r="C802" s="26" t="str">
        <f t="shared" si="76"/>
        <v>João Pereira</v>
      </c>
      <c r="D802" s="37" t="s">
        <v>482</v>
      </c>
      <c r="E802" s="27">
        <f t="shared" si="77"/>
        <v>45981</v>
      </c>
      <c r="F802" s="26" t="s">
        <v>47</v>
      </c>
      <c r="G802" s="26" t="str">
        <f t="shared" si="78"/>
        <v>Bruno Martins</v>
      </c>
      <c r="H802" s="26" t="s">
        <v>52</v>
      </c>
      <c r="I802" s="26" t="s">
        <v>99</v>
      </c>
      <c r="J802" s="28">
        <v>2</v>
      </c>
      <c r="K802" s="29">
        <v>79</v>
      </c>
      <c r="L802" s="29">
        <v>4.4400000000000004</v>
      </c>
      <c r="M802" s="30">
        <f t="shared" si="80"/>
        <v>153.56</v>
      </c>
      <c r="N802" s="26" t="s">
        <v>89</v>
      </c>
      <c r="Q802" s="42" t="s">
        <v>1206</v>
      </c>
      <c r="R802" s="42" t="s">
        <v>41</v>
      </c>
      <c r="S802" s="57">
        <f t="shared" si="79"/>
        <v>45981</v>
      </c>
      <c r="T802" s="44" t="s">
        <v>47</v>
      </c>
      <c r="U802" s="43" t="s">
        <v>52</v>
      </c>
      <c r="V802" s="42" t="s">
        <v>99</v>
      </c>
      <c r="W802" s="45">
        <v>2</v>
      </c>
      <c r="X802" s="46">
        <v>79</v>
      </c>
      <c r="Y802" s="46">
        <v>4.4400000000000004</v>
      </c>
      <c r="Z802" s="47">
        <f t="shared" si="81"/>
        <v>153.56</v>
      </c>
      <c r="AA802" s="48" t="s">
        <v>89</v>
      </c>
      <c r="AB802"/>
    </row>
    <row r="803" spans="1:28" x14ac:dyDescent="0.25">
      <c r="A803" s="31" t="s">
        <v>1207</v>
      </c>
      <c r="B803" s="31" t="s">
        <v>55</v>
      </c>
      <c r="C803" s="32" t="str">
        <f t="shared" si="76"/>
        <v>Ricardo Carvalho</v>
      </c>
      <c r="D803" s="38" t="s">
        <v>975</v>
      </c>
      <c r="E803" s="33">
        <f t="shared" si="77"/>
        <v>46022</v>
      </c>
      <c r="F803" s="32" t="s">
        <v>47</v>
      </c>
      <c r="G803" s="32" t="str">
        <f t="shared" si="78"/>
        <v>Bruno Martins</v>
      </c>
      <c r="H803" s="32" t="s">
        <v>52</v>
      </c>
      <c r="I803" s="32" t="s">
        <v>75</v>
      </c>
      <c r="J803" s="34">
        <v>2</v>
      </c>
      <c r="K803" s="35">
        <v>249</v>
      </c>
      <c r="L803" s="35">
        <v>13.48</v>
      </c>
      <c r="M803" s="36">
        <f t="shared" si="80"/>
        <v>484.52</v>
      </c>
      <c r="N803" s="32" t="s">
        <v>89</v>
      </c>
      <c r="Q803" s="49" t="s">
        <v>1207</v>
      </c>
      <c r="R803" s="49" t="s">
        <v>55</v>
      </c>
      <c r="S803" s="58">
        <f t="shared" si="79"/>
        <v>46022</v>
      </c>
      <c r="T803" s="51" t="s">
        <v>47</v>
      </c>
      <c r="U803" s="50" t="s">
        <v>52</v>
      </c>
      <c r="V803" s="52" t="s">
        <v>75</v>
      </c>
      <c r="W803" s="53">
        <v>2</v>
      </c>
      <c r="X803" s="54">
        <v>249</v>
      </c>
      <c r="Y803" s="54">
        <v>13.48</v>
      </c>
      <c r="Z803" s="55">
        <f t="shared" si="81"/>
        <v>484.52</v>
      </c>
      <c r="AA803" s="56" t="s">
        <v>89</v>
      </c>
      <c r="AB803"/>
    </row>
    <row r="804" spans="1:28" x14ac:dyDescent="0.25">
      <c r="A804" s="26" t="s">
        <v>1208</v>
      </c>
      <c r="B804" s="26" t="s">
        <v>13</v>
      </c>
      <c r="C804" s="26" t="str">
        <f t="shared" si="76"/>
        <v>Lucas Almeida</v>
      </c>
      <c r="D804" s="37" t="s">
        <v>784</v>
      </c>
      <c r="E804" s="27">
        <f t="shared" si="77"/>
        <v>45787</v>
      </c>
      <c r="F804" s="26" t="s">
        <v>39</v>
      </c>
      <c r="G804" s="26" t="str">
        <f t="shared" si="78"/>
        <v>Rodrigo Mello</v>
      </c>
      <c r="H804" s="26" t="s">
        <v>16</v>
      </c>
      <c r="I804" s="26" t="s">
        <v>116</v>
      </c>
      <c r="J804" s="28">
        <v>3</v>
      </c>
      <c r="K804" s="29">
        <v>45</v>
      </c>
      <c r="L804" s="29">
        <v>0</v>
      </c>
      <c r="M804" s="30">
        <f t="shared" si="80"/>
        <v>135</v>
      </c>
      <c r="N804" s="26" t="s">
        <v>44</v>
      </c>
      <c r="Q804" s="42" t="s">
        <v>1208</v>
      </c>
      <c r="R804" s="42" t="s">
        <v>13</v>
      </c>
      <c r="S804" s="57">
        <f t="shared" si="79"/>
        <v>45787</v>
      </c>
      <c r="T804" s="44" t="s">
        <v>39</v>
      </c>
      <c r="U804" s="43" t="s">
        <v>16</v>
      </c>
      <c r="V804" s="42" t="s">
        <v>116</v>
      </c>
      <c r="W804" s="45">
        <v>3</v>
      </c>
      <c r="X804" s="46">
        <v>45</v>
      </c>
      <c r="Y804" s="46">
        <v>0</v>
      </c>
      <c r="Z804" s="47">
        <f t="shared" si="81"/>
        <v>135</v>
      </c>
      <c r="AA804" s="48" t="s">
        <v>44</v>
      </c>
      <c r="AB804"/>
    </row>
    <row r="805" spans="1:28" x14ac:dyDescent="0.25">
      <c r="A805" s="31" t="s">
        <v>1209</v>
      </c>
      <c r="B805" s="31" t="s">
        <v>55</v>
      </c>
      <c r="C805" s="32" t="str">
        <f t="shared" si="76"/>
        <v>Ricardo Carvalho</v>
      </c>
      <c r="D805" s="38" t="s">
        <v>239</v>
      </c>
      <c r="E805" s="33">
        <f t="shared" si="77"/>
        <v>45818</v>
      </c>
      <c r="F805" s="32" t="s">
        <v>22</v>
      </c>
      <c r="G805" s="32" t="str">
        <f t="shared" si="78"/>
        <v>Amanda Costa</v>
      </c>
      <c r="H805" s="32" t="s">
        <v>52</v>
      </c>
      <c r="I805" s="32" t="s">
        <v>99</v>
      </c>
      <c r="J805" s="34">
        <v>4</v>
      </c>
      <c r="K805" s="35">
        <v>79</v>
      </c>
      <c r="L805" s="35">
        <v>0</v>
      </c>
      <c r="M805" s="36">
        <f t="shared" si="80"/>
        <v>316</v>
      </c>
      <c r="N805" s="32" t="s">
        <v>89</v>
      </c>
      <c r="Q805" s="49" t="s">
        <v>1209</v>
      </c>
      <c r="R805" s="49" t="s">
        <v>55</v>
      </c>
      <c r="S805" s="58">
        <f t="shared" si="79"/>
        <v>45818</v>
      </c>
      <c r="T805" s="51" t="s">
        <v>22</v>
      </c>
      <c r="U805" s="50" t="s">
        <v>52</v>
      </c>
      <c r="V805" s="52" t="s">
        <v>99</v>
      </c>
      <c r="W805" s="53">
        <v>4</v>
      </c>
      <c r="X805" s="54">
        <v>79</v>
      </c>
      <c r="Y805" s="54">
        <v>0</v>
      </c>
      <c r="Z805" s="55">
        <f t="shared" si="81"/>
        <v>316</v>
      </c>
      <c r="AA805" s="56" t="s">
        <v>89</v>
      </c>
      <c r="AB805"/>
    </row>
    <row r="806" spans="1:28" x14ac:dyDescent="0.25">
      <c r="A806" s="26" t="s">
        <v>1210</v>
      </c>
      <c r="B806" s="26" t="s">
        <v>13</v>
      </c>
      <c r="C806" s="26" t="str">
        <f t="shared" si="76"/>
        <v>Lucas Almeida</v>
      </c>
      <c r="D806" s="37" t="s">
        <v>900</v>
      </c>
      <c r="E806" s="27">
        <f t="shared" si="77"/>
        <v>46053</v>
      </c>
      <c r="F806" s="26" t="s">
        <v>47</v>
      </c>
      <c r="G806" s="26" t="str">
        <f t="shared" si="78"/>
        <v>Bruno Martins</v>
      </c>
      <c r="H806" s="26" t="s">
        <v>16</v>
      </c>
      <c r="I806" s="26" t="s">
        <v>116</v>
      </c>
      <c r="J806" s="28">
        <v>5</v>
      </c>
      <c r="K806" s="29">
        <v>45</v>
      </c>
      <c r="L806" s="29">
        <v>0</v>
      </c>
      <c r="M806" s="30">
        <f t="shared" si="80"/>
        <v>225</v>
      </c>
      <c r="N806" s="26" t="s">
        <v>18</v>
      </c>
      <c r="Q806" s="42" t="s">
        <v>1210</v>
      </c>
      <c r="R806" s="42" t="s">
        <v>13</v>
      </c>
      <c r="S806" s="57">
        <f t="shared" si="79"/>
        <v>46053</v>
      </c>
      <c r="T806" s="44" t="s">
        <v>47</v>
      </c>
      <c r="U806" s="43" t="s">
        <v>16</v>
      </c>
      <c r="V806" s="42" t="s">
        <v>116</v>
      </c>
      <c r="W806" s="45">
        <v>5</v>
      </c>
      <c r="X806" s="46">
        <v>45</v>
      </c>
      <c r="Y806" s="46">
        <v>0</v>
      </c>
      <c r="Z806" s="47">
        <f t="shared" si="81"/>
        <v>225</v>
      </c>
      <c r="AA806" s="48" t="s">
        <v>18</v>
      </c>
      <c r="AB806"/>
    </row>
    <row r="807" spans="1:28" x14ac:dyDescent="0.25">
      <c r="A807" s="31" t="s">
        <v>1211</v>
      </c>
      <c r="B807" s="31" t="s">
        <v>95</v>
      </c>
      <c r="C807" s="32" t="str">
        <f t="shared" si="76"/>
        <v>Maria Oliveira</v>
      </c>
      <c r="D807" s="38" t="s">
        <v>449</v>
      </c>
      <c r="E807" s="33">
        <f t="shared" si="77"/>
        <v>45912</v>
      </c>
      <c r="F807" s="32" t="s">
        <v>39</v>
      </c>
      <c r="G807" s="32" t="str">
        <f t="shared" si="78"/>
        <v>Rodrigo Mello</v>
      </c>
      <c r="H807" s="32" t="s">
        <v>23</v>
      </c>
      <c r="I807" s="32" t="s">
        <v>24</v>
      </c>
      <c r="J807" s="34">
        <v>4</v>
      </c>
      <c r="K807" s="35">
        <v>180</v>
      </c>
      <c r="L807" s="35">
        <v>0</v>
      </c>
      <c r="M807" s="36">
        <f t="shared" si="80"/>
        <v>720</v>
      </c>
      <c r="N807" s="32" t="s">
        <v>65</v>
      </c>
      <c r="Q807" s="49" t="s">
        <v>1211</v>
      </c>
      <c r="R807" s="49" t="s">
        <v>95</v>
      </c>
      <c r="S807" s="58">
        <f t="shared" si="79"/>
        <v>45912</v>
      </c>
      <c r="T807" s="51" t="s">
        <v>39</v>
      </c>
      <c r="U807" s="50" t="s">
        <v>23</v>
      </c>
      <c r="V807" s="52" t="s">
        <v>24</v>
      </c>
      <c r="W807" s="53">
        <v>4</v>
      </c>
      <c r="X807" s="54">
        <v>180</v>
      </c>
      <c r="Y807" s="54">
        <v>0</v>
      </c>
      <c r="Z807" s="55">
        <f t="shared" si="81"/>
        <v>720</v>
      </c>
      <c r="AA807" s="56" t="s">
        <v>65</v>
      </c>
      <c r="AB807"/>
    </row>
    <row r="808" spans="1:28" x14ac:dyDescent="0.25">
      <c r="A808" s="26" t="s">
        <v>1212</v>
      </c>
      <c r="B808" s="26" t="s">
        <v>20</v>
      </c>
      <c r="C808" s="26" t="str">
        <f t="shared" si="76"/>
        <v>Beatriz Ribeiro</v>
      </c>
      <c r="D808" s="37" t="s">
        <v>499</v>
      </c>
      <c r="E808" s="27">
        <f t="shared" si="77"/>
        <v>45938</v>
      </c>
      <c r="F808" s="26" t="s">
        <v>22</v>
      </c>
      <c r="G808" s="26" t="str">
        <f t="shared" si="78"/>
        <v>Amanda Costa</v>
      </c>
      <c r="H808" s="26" t="s">
        <v>30</v>
      </c>
      <c r="I808" s="26" t="s">
        <v>68</v>
      </c>
      <c r="J808" s="28">
        <v>3</v>
      </c>
      <c r="K808" s="29">
        <v>799</v>
      </c>
      <c r="L808" s="29">
        <v>0</v>
      </c>
      <c r="M808" s="30">
        <f t="shared" si="80"/>
        <v>2397</v>
      </c>
      <c r="N808" s="26" t="s">
        <v>25</v>
      </c>
      <c r="Q808" s="42" t="s">
        <v>1212</v>
      </c>
      <c r="R808" s="42" t="s">
        <v>20</v>
      </c>
      <c r="S808" s="57">
        <f t="shared" si="79"/>
        <v>45938</v>
      </c>
      <c r="T808" s="44" t="s">
        <v>22</v>
      </c>
      <c r="U808" s="43" t="s">
        <v>30</v>
      </c>
      <c r="V808" s="42" t="s">
        <v>68</v>
      </c>
      <c r="W808" s="45">
        <v>3</v>
      </c>
      <c r="X808" s="46">
        <v>799</v>
      </c>
      <c r="Y808" s="46">
        <v>0</v>
      </c>
      <c r="Z808" s="47">
        <f t="shared" si="81"/>
        <v>2397</v>
      </c>
      <c r="AA808" s="48" t="s">
        <v>25</v>
      </c>
      <c r="AB808"/>
    </row>
    <row r="809" spans="1:28" x14ac:dyDescent="0.25">
      <c r="A809" s="31" t="s">
        <v>1213</v>
      </c>
      <c r="B809" s="31" t="s">
        <v>71</v>
      </c>
      <c r="C809" s="32" t="str">
        <f t="shared" si="76"/>
        <v>Juliana Costa</v>
      </c>
      <c r="D809" s="38" t="s">
        <v>331</v>
      </c>
      <c r="E809" s="33">
        <f t="shared" si="77"/>
        <v>45854</v>
      </c>
      <c r="F809" s="32" t="s">
        <v>47</v>
      </c>
      <c r="G809" s="32" t="str">
        <f t="shared" si="78"/>
        <v>Bruno Martins</v>
      </c>
      <c r="H809" s="32" t="s">
        <v>16</v>
      </c>
      <c r="I809" s="32" t="s">
        <v>116</v>
      </c>
      <c r="J809" s="34">
        <v>5</v>
      </c>
      <c r="K809" s="35">
        <v>45</v>
      </c>
      <c r="L809" s="35">
        <v>0</v>
      </c>
      <c r="M809" s="36">
        <f t="shared" si="80"/>
        <v>225</v>
      </c>
      <c r="N809" s="32" t="s">
        <v>18</v>
      </c>
      <c r="Q809" s="49" t="s">
        <v>1213</v>
      </c>
      <c r="R809" s="49" t="s">
        <v>71</v>
      </c>
      <c r="S809" s="58">
        <f t="shared" si="79"/>
        <v>45854</v>
      </c>
      <c r="T809" s="51" t="s">
        <v>47</v>
      </c>
      <c r="U809" s="50" t="s">
        <v>16</v>
      </c>
      <c r="V809" s="52" t="s">
        <v>116</v>
      </c>
      <c r="W809" s="53">
        <v>5</v>
      </c>
      <c r="X809" s="54">
        <v>45</v>
      </c>
      <c r="Y809" s="54">
        <v>0</v>
      </c>
      <c r="Z809" s="55">
        <f t="shared" si="81"/>
        <v>225</v>
      </c>
      <c r="AA809" s="56" t="s">
        <v>18</v>
      </c>
      <c r="AB809"/>
    </row>
    <row r="810" spans="1:28" x14ac:dyDescent="0.25">
      <c r="A810" s="26" t="s">
        <v>1214</v>
      </c>
      <c r="B810" s="26" t="s">
        <v>95</v>
      </c>
      <c r="C810" s="26" t="str">
        <f t="shared" si="76"/>
        <v>Maria Oliveira</v>
      </c>
      <c r="D810" s="37" t="s">
        <v>390</v>
      </c>
      <c r="E810" s="27">
        <f t="shared" si="77"/>
        <v>45670</v>
      </c>
      <c r="F810" s="26" t="s">
        <v>39</v>
      </c>
      <c r="G810" s="26" t="str">
        <f t="shared" si="78"/>
        <v>Rodrigo Mello</v>
      </c>
      <c r="H810" s="26" t="s">
        <v>23</v>
      </c>
      <c r="I810" s="26" t="s">
        <v>48</v>
      </c>
      <c r="J810" s="28">
        <v>1</v>
      </c>
      <c r="K810" s="29">
        <v>450</v>
      </c>
      <c r="L810" s="29">
        <v>0</v>
      </c>
      <c r="M810" s="30">
        <f t="shared" si="80"/>
        <v>450</v>
      </c>
      <c r="N810" s="26" t="s">
        <v>69</v>
      </c>
      <c r="Q810" s="42" t="s">
        <v>1214</v>
      </c>
      <c r="R810" s="42" t="s">
        <v>95</v>
      </c>
      <c r="S810" s="57">
        <f t="shared" si="79"/>
        <v>45670</v>
      </c>
      <c r="T810" s="44" t="s">
        <v>39</v>
      </c>
      <c r="U810" s="43" t="s">
        <v>23</v>
      </c>
      <c r="V810" s="42" t="s">
        <v>48</v>
      </c>
      <c r="W810" s="45">
        <v>1</v>
      </c>
      <c r="X810" s="46">
        <v>450</v>
      </c>
      <c r="Y810" s="46">
        <v>0</v>
      </c>
      <c r="Z810" s="47">
        <f t="shared" si="81"/>
        <v>450</v>
      </c>
      <c r="AA810" s="48" t="s">
        <v>69</v>
      </c>
      <c r="AB810"/>
    </row>
    <row r="811" spans="1:28" x14ac:dyDescent="0.25">
      <c r="A811" s="31" t="s">
        <v>1215</v>
      </c>
      <c r="B811" s="31" t="s">
        <v>27</v>
      </c>
      <c r="C811" s="32" t="str">
        <f t="shared" si="76"/>
        <v>Roberto Santos</v>
      </c>
      <c r="D811" s="38" t="s">
        <v>280</v>
      </c>
      <c r="E811" s="33">
        <f t="shared" si="77"/>
        <v>45893</v>
      </c>
      <c r="F811" s="32" t="s">
        <v>47</v>
      </c>
      <c r="G811" s="32" t="str">
        <f t="shared" si="78"/>
        <v>Bruno Martins</v>
      </c>
      <c r="H811" s="32" t="s">
        <v>30</v>
      </c>
      <c r="I811" s="32" t="s">
        <v>31</v>
      </c>
      <c r="J811" s="34">
        <v>3</v>
      </c>
      <c r="K811" s="35">
        <v>2500</v>
      </c>
      <c r="L811" s="35">
        <v>1105.25</v>
      </c>
      <c r="M811" s="36">
        <f t="shared" si="80"/>
        <v>6394.75</v>
      </c>
      <c r="N811" s="32" t="s">
        <v>18</v>
      </c>
      <c r="Q811" s="49" t="s">
        <v>1215</v>
      </c>
      <c r="R811" s="49" t="s">
        <v>27</v>
      </c>
      <c r="S811" s="58">
        <f t="shared" si="79"/>
        <v>45893</v>
      </c>
      <c r="T811" s="51" t="s">
        <v>47</v>
      </c>
      <c r="U811" s="50" t="s">
        <v>30</v>
      </c>
      <c r="V811" s="52" t="s">
        <v>31</v>
      </c>
      <c r="W811" s="53">
        <v>3</v>
      </c>
      <c r="X811" s="54">
        <v>2500</v>
      </c>
      <c r="Y811" s="54">
        <v>1105.25</v>
      </c>
      <c r="Z811" s="55">
        <f t="shared" si="81"/>
        <v>6394.75</v>
      </c>
      <c r="AA811" s="56" t="s">
        <v>18</v>
      </c>
      <c r="AB811"/>
    </row>
    <row r="812" spans="1:28" x14ac:dyDescent="0.25">
      <c r="A812" s="26" t="s">
        <v>1216</v>
      </c>
      <c r="B812" s="26" t="s">
        <v>63</v>
      </c>
      <c r="C812" s="26" t="str">
        <f t="shared" si="76"/>
        <v>Marcos Rodrigues</v>
      </c>
      <c r="D812" s="37" t="s">
        <v>618</v>
      </c>
      <c r="E812" s="27">
        <f t="shared" si="77"/>
        <v>45757</v>
      </c>
      <c r="F812" s="26" t="s">
        <v>39</v>
      </c>
      <c r="G812" s="26" t="str">
        <f t="shared" si="78"/>
        <v>Rodrigo Mello</v>
      </c>
      <c r="H812" s="26" t="s">
        <v>16</v>
      </c>
      <c r="I812" s="26" t="s">
        <v>103</v>
      </c>
      <c r="J812" s="28">
        <v>2</v>
      </c>
      <c r="K812" s="29">
        <v>89</v>
      </c>
      <c r="L812" s="29">
        <v>0</v>
      </c>
      <c r="M812" s="30">
        <f t="shared" si="80"/>
        <v>178</v>
      </c>
      <c r="N812" s="26" t="s">
        <v>69</v>
      </c>
      <c r="Q812" s="42" t="s">
        <v>1216</v>
      </c>
      <c r="R812" s="42" t="s">
        <v>63</v>
      </c>
      <c r="S812" s="57">
        <f t="shared" si="79"/>
        <v>45757</v>
      </c>
      <c r="T812" s="44" t="s">
        <v>39</v>
      </c>
      <c r="U812" s="43" t="s">
        <v>16</v>
      </c>
      <c r="V812" s="42" t="s">
        <v>103</v>
      </c>
      <c r="W812" s="45">
        <v>2</v>
      </c>
      <c r="X812" s="46">
        <v>89</v>
      </c>
      <c r="Y812" s="46">
        <v>0</v>
      </c>
      <c r="Z812" s="47">
        <f t="shared" si="81"/>
        <v>178</v>
      </c>
      <c r="AA812" s="48" t="s">
        <v>69</v>
      </c>
      <c r="AB812"/>
    </row>
    <row r="813" spans="1:28" x14ac:dyDescent="0.25">
      <c r="A813" s="31" t="s">
        <v>1217</v>
      </c>
      <c r="B813" s="31" t="s">
        <v>34</v>
      </c>
      <c r="C813" s="32" t="str">
        <f t="shared" si="76"/>
        <v>Carlos Silva</v>
      </c>
      <c r="D813" s="38" t="s">
        <v>325</v>
      </c>
      <c r="E813" s="33">
        <f t="shared" si="77"/>
        <v>46034</v>
      </c>
      <c r="F813" s="32" t="s">
        <v>15</v>
      </c>
      <c r="G813" s="32" t="str">
        <f t="shared" si="78"/>
        <v>Larissa Dias</v>
      </c>
      <c r="H813" s="32" t="s">
        <v>52</v>
      </c>
      <c r="I813" s="32" t="s">
        <v>53</v>
      </c>
      <c r="J813" s="34">
        <v>3</v>
      </c>
      <c r="K813" s="35">
        <v>149</v>
      </c>
      <c r="L813" s="35">
        <v>51.33</v>
      </c>
      <c r="M813" s="36">
        <f t="shared" si="80"/>
        <v>395.67</v>
      </c>
      <c r="N813" s="32" t="s">
        <v>44</v>
      </c>
      <c r="Q813" s="49" t="s">
        <v>1217</v>
      </c>
      <c r="R813" s="49" t="s">
        <v>34</v>
      </c>
      <c r="S813" s="58">
        <f t="shared" si="79"/>
        <v>46034</v>
      </c>
      <c r="T813" s="51" t="s">
        <v>15</v>
      </c>
      <c r="U813" s="50" t="s">
        <v>52</v>
      </c>
      <c r="V813" s="52" t="s">
        <v>53</v>
      </c>
      <c r="W813" s="53">
        <v>3</v>
      </c>
      <c r="X813" s="54">
        <v>149</v>
      </c>
      <c r="Y813" s="54">
        <v>51.33</v>
      </c>
      <c r="Z813" s="55">
        <f t="shared" si="81"/>
        <v>395.67</v>
      </c>
      <c r="AA813" s="56" t="s">
        <v>44</v>
      </c>
      <c r="AB813"/>
    </row>
    <row r="814" spans="1:28" x14ac:dyDescent="0.25">
      <c r="A814" s="26" t="s">
        <v>1218</v>
      </c>
      <c r="B814" s="26" t="s">
        <v>34</v>
      </c>
      <c r="C814" s="26" t="str">
        <f t="shared" si="76"/>
        <v>Carlos Silva</v>
      </c>
      <c r="D814" s="37" t="s">
        <v>711</v>
      </c>
      <c r="E814" s="27">
        <f t="shared" si="77"/>
        <v>45726</v>
      </c>
      <c r="F814" s="26" t="s">
        <v>15</v>
      </c>
      <c r="G814" s="26" t="str">
        <f t="shared" si="78"/>
        <v>Larissa Dias</v>
      </c>
      <c r="H814" s="26" t="s">
        <v>30</v>
      </c>
      <c r="I814" s="26" t="s">
        <v>152</v>
      </c>
      <c r="J814" s="28">
        <v>5</v>
      </c>
      <c r="K814" s="29">
        <v>4500</v>
      </c>
      <c r="L814" s="29">
        <v>200.47</v>
      </c>
      <c r="M814" s="30">
        <f t="shared" si="80"/>
        <v>22299.53</v>
      </c>
      <c r="N814" s="26" t="s">
        <v>25</v>
      </c>
      <c r="Q814" s="42" t="s">
        <v>1218</v>
      </c>
      <c r="R814" s="42" t="s">
        <v>34</v>
      </c>
      <c r="S814" s="57">
        <f t="shared" si="79"/>
        <v>45726</v>
      </c>
      <c r="T814" s="44" t="s">
        <v>15</v>
      </c>
      <c r="U814" s="43" t="s">
        <v>30</v>
      </c>
      <c r="V814" s="42" t="s">
        <v>152</v>
      </c>
      <c r="W814" s="45">
        <v>5</v>
      </c>
      <c r="X814" s="46">
        <v>4500</v>
      </c>
      <c r="Y814" s="46">
        <v>200.47</v>
      </c>
      <c r="Z814" s="47">
        <f t="shared" si="81"/>
        <v>22299.53</v>
      </c>
      <c r="AA814" s="48" t="s">
        <v>25</v>
      </c>
      <c r="AB814"/>
    </row>
    <row r="815" spans="1:28" x14ac:dyDescent="0.25">
      <c r="A815" s="31" t="s">
        <v>1219</v>
      </c>
      <c r="B815" s="31" t="s">
        <v>27</v>
      </c>
      <c r="C815" s="32" t="str">
        <f t="shared" si="76"/>
        <v>Roberto Santos</v>
      </c>
      <c r="D815" s="38" t="s">
        <v>449</v>
      </c>
      <c r="E815" s="33">
        <f t="shared" si="77"/>
        <v>45912</v>
      </c>
      <c r="F815" s="32" t="s">
        <v>47</v>
      </c>
      <c r="G815" s="32" t="str">
        <f t="shared" si="78"/>
        <v>Bruno Martins</v>
      </c>
      <c r="H815" s="32" t="s">
        <v>52</v>
      </c>
      <c r="I815" s="32" t="s">
        <v>53</v>
      </c>
      <c r="J815" s="34">
        <v>4</v>
      </c>
      <c r="K815" s="35">
        <v>149</v>
      </c>
      <c r="L815" s="35">
        <v>0</v>
      </c>
      <c r="M815" s="36">
        <f t="shared" si="80"/>
        <v>596</v>
      </c>
      <c r="N815" s="32" t="s">
        <v>25</v>
      </c>
      <c r="Q815" s="49" t="s">
        <v>1219</v>
      </c>
      <c r="R815" s="49" t="s">
        <v>27</v>
      </c>
      <c r="S815" s="58">
        <f t="shared" si="79"/>
        <v>45912</v>
      </c>
      <c r="T815" s="51" t="s">
        <v>47</v>
      </c>
      <c r="U815" s="50" t="s">
        <v>52</v>
      </c>
      <c r="V815" s="52" t="s">
        <v>53</v>
      </c>
      <c r="W815" s="53">
        <v>4</v>
      </c>
      <c r="X815" s="54">
        <v>149</v>
      </c>
      <c r="Y815" s="54">
        <v>0</v>
      </c>
      <c r="Z815" s="55">
        <f t="shared" si="81"/>
        <v>596</v>
      </c>
      <c r="AA815" s="56" t="s">
        <v>25</v>
      </c>
      <c r="AB815"/>
    </row>
    <row r="816" spans="1:28" x14ac:dyDescent="0.25">
      <c r="A816" s="26" t="s">
        <v>1220</v>
      </c>
      <c r="B816" s="26" t="s">
        <v>37</v>
      </c>
      <c r="C816" s="26" t="str">
        <f t="shared" si="76"/>
        <v>Patricia Gomes</v>
      </c>
      <c r="D816" s="37" t="s">
        <v>14</v>
      </c>
      <c r="E816" s="27">
        <f t="shared" si="77"/>
        <v>45918</v>
      </c>
      <c r="F816" s="26" t="s">
        <v>15</v>
      </c>
      <c r="G816" s="26" t="str">
        <f t="shared" si="78"/>
        <v>Larissa Dias</v>
      </c>
      <c r="H816" s="26" t="s">
        <v>16</v>
      </c>
      <c r="I816" s="26" t="s">
        <v>17</v>
      </c>
      <c r="J816" s="28">
        <v>2</v>
      </c>
      <c r="K816" s="29">
        <v>39</v>
      </c>
      <c r="L816" s="29">
        <v>0</v>
      </c>
      <c r="M816" s="30">
        <f t="shared" si="80"/>
        <v>78</v>
      </c>
      <c r="N816" s="26" t="s">
        <v>49</v>
      </c>
      <c r="Q816" s="42" t="s">
        <v>1220</v>
      </c>
      <c r="R816" s="42" t="s">
        <v>37</v>
      </c>
      <c r="S816" s="57">
        <f t="shared" si="79"/>
        <v>45918</v>
      </c>
      <c r="T816" s="44" t="s">
        <v>15</v>
      </c>
      <c r="U816" s="43" t="s">
        <v>16</v>
      </c>
      <c r="V816" s="42" t="s">
        <v>17</v>
      </c>
      <c r="W816" s="45">
        <v>2</v>
      </c>
      <c r="X816" s="46">
        <v>39</v>
      </c>
      <c r="Y816" s="46">
        <v>0</v>
      </c>
      <c r="Z816" s="47">
        <f t="shared" si="81"/>
        <v>78</v>
      </c>
      <c r="AA816" s="48" t="s">
        <v>49</v>
      </c>
      <c r="AB816"/>
    </row>
    <row r="817" spans="1:28" x14ac:dyDescent="0.25">
      <c r="A817" s="31" t="s">
        <v>1221</v>
      </c>
      <c r="B817" s="31" t="s">
        <v>63</v>
      </c>
      <c r="C817" s="32" t="str">
        <f t="shared" si="76"/>
        <v>Marcos Rodrigues</v>
      </c>
      <c r="D817" s="38" t="s">
        <v>813</v>
      </c>
      <c r="E817" s="33">
        <f t="shared" si="77"/>
        <v>45660</v>
      </c>
      <c r="F817" s="32" t="s">
        <v>15</v>
      </c>
      <c r="G817" s="32" t="str">
        <f t="shared" si="78"/>
        <v>Larissa Dias</v>
      </c>
      <c r="H817" s="32" t="s">
        <v>52</v>
      </c>
      <c r="I817" s="32" t="s">
        <v>75</v>
      </c>
      <c r="J817" s="34">
        <v>3</v>
      </c>
      <c r="K817" s="35">
        <v>249</v>
      </c>
      <c r="L817" s="35">
        <v>110.32</v>
      </c>
      <c r="M817" s="36">
        <f t="shared" si="80"/>
        <v>636.68000000000006</v>
      </c>
      <c r="N817" s="32" t="s">
        <v>69</v>
      </c>
      <c r="Q817" s="49" t="s">
        <v>1221</v>
      </c>
      <c r="R817" s="49" t="s">
        <v>63</v>
      </c>
      <c r="S817" s="58">
        <f t="shared" si="79"/>
        <v>45660</v>
      </c>
      <c r="T817" s="51" t="s">
        <v>15</v>
      </c>
      <c r="U817" s="50" t="s">
        <v>52</v>
      </c>
      <c r="V817" s="52" t="s">
        <v>75</v>
      </c>
      <c r="W817" s="53">
        <v>3</v>
      </c>
      <c r="X817" s="54">
        <v>249</v>
      </c>
      <c r="Y817" s="54">
        <v>110.32</v>
      </c>
      <c r="Z817" s="55">
        <f t="shared" si="81"/>
        <v>636.68000000000006</v>
      </c>
      <c r="AA817" s="56" t="s">
        <v>69</v>
      </c>
      <c r="AB817"/>
    </row>
    <row r="818" spans="1:28" x14ac:dyDescent="0.25">
      <c r="A818" s="26" t="s">
        <v>1222</v>
      </c>
      <c r="B818" s="26" t="s">
        <v>63</v>
      </c>
      <c r="C818" s="26" t="str">
        <f t="shared" si="76"/>
        <v>Marcos Rodrigues</v>
      </c>
      <c r="D818" s="37" t="s">
        <v>329</v>
      </c>
      <c r="E818" s="27">
        <f t="shared" si="77"/>
        <v>46036</v>
      </c>
      <c r="F818" s="26" t="s">
        <v>15</v>
      </c>
      <c r="G818" s="26" t="str">
        <f t="shared" si="78"/>
        <v>Larissa Dias</v>
      </c>
      <c r="H818" s="26" t="s">
        <v>23</v>
      </c>
      <c r="I818" s="26" t="s">
        <v>48</v>
      </c>
      <c r="J818" s="28">
        <v>5</v>
      </c>
      <c r="K818" s="29">
        <v>450</v>
      </c>
      <c r="L818" s="29">
        <v>0</v>
      </c>
      <c r="M818" s="30">
        <f t="shared" si="80"/>
        <v>2250</v>
      </c>
      <c r="N818" s="26" t="s">
        <v>89</v>
      </c>
      <c r="Q818" s="42" t="s">
        <v>1222</v>
      </c>
      <c r="R818" s="42" t="s">
        <v>63</v>
      </c>
      <c r="S818" s="57">
        <f t="shared" si="79"/>
        <v>46036</v>
      </c>
      <c r="T818" s="44" t="s">
        <v>15</v>
      </c>
      <c r="U818" s="43" t="s">
        <v>23</v>
      </c>
      <c r="V818" s="42" t="s">
        <v>48</v>
      </c>
      <c r="W818" s="45">
        <v>5</v>
      </c>
      <c r="X818" s="46">
        <v>450</v>
      </c>
      <c r="Y818" s="46">
        <v>0</v>
      </c>
      <c r="Z818" s="47">
        <f t="shared" si="81"/>
        <v>2250</v>
      </c>
      <c r="AA818" s="48" t="s">
        <v>89</v>
      </c>
      <c r="AB818"/>
    </row>
    <row r="819" spans="1:28" x14ac:dyDescent="0.25">
      <c r="A819" s="31" t="s">
        <v>1223</v>
      </c>
      <c r="B819" s="31" t="s">
        <v>34</v>
      </c>
      <c r="C819" s="32" t="str">
        <f t="shared" si="76"/>
        <v>Carlos Silva</v>
      </c>
      <c r="D819" s="38" t="s">
        <v>469</v>
      </c>
      <c r="E819" s="33">
        <f t="shared" si="77"/>
        <v>46057</v>
      </c>
      <c r="F819" s="32" t="s">
        <v>29</v>
      </c>
      <c r="G819" s="32" t="str">
        <f t="shared" si="78"/>
        <v>Camila Rocha</v>
      </c>
      <c r="H819" s="32" t="s">
        <v>52</v>
      </c>
      <c r="I819" s="32" t="s">
        <v>75</v>
      </c>
      <c r="J819" s="34">
        <v>1</v>
      </c>
      <c r="K819" s="35">
        <v>249</v>
      </c>
      <c r="L819" s="35">
        <v>0</v>
      </c>
      <c r="M819" s="36">
        <f t="shared" si="80"/>
        <v>249</v>
      </c>
      <c r="N819" s="32" t="s">
        <v>49</v>
      </c>
      <c r="Q819" s="49" t="s">
        <v>1223</v>
      </c>
      <c r="R819" s="49" t="s">
        <v>34</v>
      </c>
      <c r="S819" s="58">
        <f t="shared" si="79"/>
        <v>46057</v>
      </c>
      <c r="T819" s="51" t="s">
        <v>29</v>
      </c>
      <c r="U819" s="50" t="s">
        <v>52</v>
      </c>
      <c r="V819" s="52" t="s">
        <v>75</v>
      </c>
      <c r="W819" s="53">
        <v>1</v>
      </c>
      <c r="X819" s="54">
        <v>249</v>
      </c>
      <c r="Y819" s="54">
        <v>0</v>
      </c>
      <c r="Z819" s="55">
        <f t="shared" si="81"/>
        <v>249</v>
      </c>
      <c r="AA819" s="56" t="s">
        <v>49</v>
      </c>
      <c r="AB819"/>
    </row>
    <row r="820" spans="1:28" x14ac:dyDescent="0.25">
      <c r="A820" s="26" t="s">
        <v>1224</v>
      </c>
      <c r="B820" s="26" t="s">
        <v>55</v>
      </c>
      <c r="C820" s="26" t="str">
        <f t="shared" si="76"/>
        <v>Ricardo Carvalho</v>
      </c>
      <c r="D820" s="37" t="s">
        <v>1147</v>
      </c>
      <c r="E820" s="27">
        <f t="shared" si="77"/>
        <v>45788</v>
      </c>
      <c r="F820" s="26" t="s">
        <v>39</v>
      </c>
      <c r="G820" s="26" t="str">
        <f t="shared" si="78"/>
        <v>Rodrigo Mello</v>
      </c>
      <c r="H820" s="26" t="s">
        <v>30</v>
      </c>
      <c r="I820" s="26" t="s">
        <v>31</v>
      </c>
      <c r="J820" s="28">
        <v>3</v>
      </c>
      <c r="K820" s="29">
        <v>2500</v>
      </c>
      <c r="L820" s="29">
        <v>0</v>
      </c>
      <c r="M820" s="30">
        <f t="shared" si="80"/>
        <v>7500</v>
      </c>
      <c r="N820" s="26" t="s">
        <v>25</v>
      </c>
      <c r="Q820" s="42" t="s">
        <v>1224</v>
      </c>
      <c r="R820" s="42" t="s">
        <v>55</v>
      </c>
      <c r="S820" s="57">
        <f t="shared" si="79"/>
        <v>45788</v>
      </c>
      <c r="T820" s="44" t="s">
        <v>39</v>
      </c>
      <c r="U820" s="43" t="s">
        <v>30</v>
      </c>
      <c r="V820" s="42" t="s">
        <v>31</v>
      </c>
      <c r="W820" s="45">
        <v>3</v>
      </c>
      <c r="X820" s="46">
        <v>2500</v>
      </c>
      <c r="Y820" s="46">
        <v>0</v>
      </c>
      <c r="Z820" s="47">
        <f t="shared" si="81"/>
        <v>7500</v>
      </c>
      <c r="AA820" s="48" t="s">
        <v>25</v>
      </c>
      <c r="AB820"/>
    </row>
    <row r="821" spans="1:28" x14ac:dyDescent="0.25">
      <c r="A821" s="31" t="s">
        <v>1225</v>
      </c>
      <c r="B821" s="31" t="s">
        <v>110</v>
      </c>
      <c r="C821" s="32" t="str">
        <f t="shared" si="76"/>
        <v>Fernanda Lima</v>
      </c>
      <c r="D821" s="38" t="s">
        <v>454</v>
      </c>
      <c r="E821" s="33">
        <f t="shared" si="77"/>
        <v>45993</v>
      </c>
      <c r="F821" s="32" t="s">
        <v>39</v>
      </c>
      <c r="G821" s="32" t="str">
        <f t="shared" si="78"/>
        <v>Rodrigo Mello</v>
      </c>
      <c r="H821" s="32" t="s">
        <v>23</v>
      </c>
      <c r="I821" s="32" t="s">
        <v>43</v>
      </c>
      <c r="J821" s="34">
        <v>1</v>
      </c>
      <c r="K821" s="35">
        <v>350</v>
      </c>
      <c r="L821" s="35">
        <v>0</v>
      </c>
      <c r="M821" s="36">
        <f>(J821*K821)-L821</f>
        <v>350</v>
      </c>
      <c r="N821" s="32" t="s">
        <v>44</v>
      </c>
      <c r="Q821" s="49" t="s">
        <v>1225</v>
      </c>
      <c r="R821" s="49" t="s">
        <v>110</v>
      </c>
      <c r="S821" s="58">
        <f t="shared" si="79"/>
        <v>45993</v>
      </c>
      <c r="T821" s="51" t="s">
        <v>39</v>
      </c>
      <c r="U821" s="50" t="s">
        <v>23</v>
      </c>
      <c r="V821" s="52" t="s">
        <v>43</v>
      </c>
      <c r="W821" s="53">
        <v>1</v>
      </c>
      <c r="X821" s="54">
        <v>350</v>
      </c>
      <c r="Y821" s="54">
        <v>0</v>
      </c>
      <c r="Z821" s="55">
        <f>(W821*X821)-Y821</f>
        <v>350</v>
      </c>
      <c r="AA821" s="56" t="s">
        <v>44</v>
      </c>
      <c r="AB821"/>
    </row>
    <row r="822" spans="1:28" x14ac:dyDescent="0.25">
      <c r="A822" s="26" t="s">
        <v>1226</v>
      </c>
      <c r="B822" s="26" t="s">
        <v>37</v>
      </c>
      <c r="C822" s="26" t="str">
        <f t="shared" si="76"/>
        <v>Patricia Gomes</v>
      </c>
      <c r="D822" s="37" t="s">
        <v>1119</v>
      </c>
      <c r="E822" s="27">
        <f t="shared" si="77"/>
        <v>45780</v>
      </c>
      <c r="F822" s="26" t="s">
        <v>29</v>
      </c>
      <c r="G822" s="26" t="str">
        <f t="shared" si="78"/>
        <v>Camila Rocha</v>
      </c>
      <c r="H822" s="26" t="s">
        <v>16</v>
      </c>
      <c r="I822" s="26" t="s">
        <v>116</v>
      </c>
      <c r="J822" s="28">
        <v>4</v>
      </c>
      <c r="K822" s="29">
        <v>45</v>
      </c>
      <c r="L822" s="29">
        <v>0</v>
      </c>
      <c r="M822" s="30">
        <f t="shared" ref="M822:M885" si="82">(J822*K822)-L822</f>
        <v>180</v>
      </c>
      <c r="N822" s="26" t="s">
        <v>89</v>
      </c>
      <c r="Q822" s="42" t="s">
        <v>1226</v>
      </c>
      <c r="R822" s="42" t="s">
        <v>37</v>
      </c>
      <c r="S822" s="57">
        <f t="shared" si="79"/>
        <v>45780</v>
      </c>
      <c r="T822" s="44" t="s">
        <v>29</v>
      </c>
      <c r="U822" s="43" t="s">
        <v>16</v>
      </c>
      <c r="V822" s="42" t="s">
        <v>116</v>
      </c>
      <c r="W822" s="45">
        <v>4</v>
      </c>
      <c r="X822" s="46">
        <v>45</v>
      </c>
      <c r="Y822" s="46">
        <v>0</v>
      </c>
      <c r="Z822" s="47">
        <f t="shared" ref="Z822:Z885" si="83">(W822*X822)-Y822</f>
        <v>180</v>
      </c>
      <c r="AA822" s="48" t="s">
        <v>89</v>
      </c>
      <c r="AB822"/>
    </row>
    <row r="823" spans="1:28" x14ac:dyDescent="0.25">
      <c r="A823" s="31" t="s">
        <v>1227</v>
      </c>
      <c r="B823" s="31" t="s">
        <v>95</v>
      </c>
      <c r="C823" s="32" t="str">
        <f t="shared" si="76"/>
        <v>Maria Oliveira</v>
      </c>
      <c r="D823" s="38" t="s">
        <v>260</v>
      </c>
      <c r="E823" s="33">
        <f t="shared" si="77"/>
        <v>45722</v>
      </c>
      <c r="F823" s="32" t="s">
        <v>39</v>
      </c>
      <c r="G823" s="32" t="str">
        <f t="shared" si="78"/>
        <v>Rodrigo Mello</v>
      </c>
      <c r="H823" s="32" t="s">
        <v>52</v>
      </c>
      <c r="I823" s="32" t="s">
        <v>61</v>
      </c>
      <c r="J823" s="34">
        <v>5</v>
      </c>
      <c r="K823" s="35">
        <v>199</v>
      </c>
      <c r="L823" s="35">
        <v>0</v>
      </c>
      <c r="M823" s="36">
        <f t="shared" si="82"/>
        <v>995</v>
      </c>
      <c r="N823" s="32" t="s">
        <v>65</v>
      </c>
      <c r="Q823" s="49" t="s">
        <v>1227</v>
      </c>
      <c r="R823" s="49" t="s">
        <v>95</v>
      </c>
      <c r="S823" s="58">
        <f t="shared" si="79"/>
        <v>45722</v>
      </c>
      <c r="T823" s="51" t="s">
        <v>39</v>
      </c>
      <c r="U823" s="50" t="s">
        <v>52</v>
      </c>
      <c r="V823" s="52" t="s">
        <v>61</v>
      </c>
      <c r="W823" s="53">
        <v>5</v>
      </c>
      <c r="X823" s="54">
        <v>199</v>
      </c>
      <c r="Y823" s="54">
        <v>0</v>
      </c>
      <c r="Z823" s="55">
        <f t="shared" si="83"/>
        <v>995</v>
      </c>
      <c r="AA823" s="56" t="s">
        <v>65</v>
      </c>
      <c r="AB823"/>
    </row>
    <row r="824" spans="1:28" x14ac:dyDescent="0.25">
      <c r="A824" s="26" t="s">
        <v>1228</v>
      </c>
      <c r="B824" s="26" t="s">
        <v>13</v>
      </c>
      <c r="C824" s="26" t="str">
        <f t="shared" si="76"/>
        <v>Lucas Almeida</v>
      </c>
      <c r="D824" s="37" t="s">
        <v>1229</v>
      </c>
      <c r="E824" s="27">
        <f t="shared" si="77"/>
        <v>45997</v>
      </c>
      <c r="F824" s="26" t="s">
        <v>22</v>
      </c>
      <c r="G824" s="26" t="str">
        <f t="shared" si="78"/>
        <v>Amanda Costa</v>
      </c>
      <c r="H824" s="26" t="s">
        <v>23</v>
      </c>
      <c r="I824" s="26" t="s">
        <v>24</v>
      </c>
      <c r="J824" s="28">
        <v>5</v>
      </c>
      <c r="K824" s="29">
        <v>180</v>
      </c>
      <c r="L824" s="29">
        <v>0</v>
      </c>
      <c r="M824" s="30">
        <f t="shared" si="82"/>
        <v>900</v>
      </c>
      <c r="N824" s="26" t="s">
        <v>49</v>
      </c>
      <c r="Q824" s="42" t="s">
        <v>1228</v>
      </c>
      <c r="R824" s="42" t="s">
        <v>13</v>
      </c>
      <c r="S824" s="57">
        <f t="shared" si="79"/>
        <v>45997</v>
      </c>
      <c r="T824" s="44" t="s">
        <v>22</v>
      </c>
      <c r="U824" s="43" t="s">
        <v>23</v>
      </c>
      <c r="V824" s="42" t="s">
        <v>24</v>
      </c>
      <c r="W824" s="45">
        <v>5</v>
      </c>
      <c r="X824" s="46">
        <v>180</v>
      </c>
      <c r="Y824" s="46">
        <v>0</v>
      </c>
      <c r="Z824" s="47">
        <f t="shared" si="83"/>
        <v>900</v>
      </c>
      <c r="AA824" s="48" t="s">
        <v>49</v>
      </c>
      <c r="AB824"/>
    </row>
    <row r="825" spans="1:28" x14ac:dyDescent="0.25">
      <c r="A825" s="31" t="s">
        <v>1230</v>
      </c>
      <c r="B825" s="31" t="s">
        <v>13</v>
      </c>
      <c r="C825" s="32" t="str">
        <f t="shared" si="76"/>
        <v>Lucas Almeida</v>
      </c>
      <c r="D825" s="38" t="s">
        <v>155</v>
      </c>
      <c r="E825" s="33">
        <f t="shared" si="77"/>
        <v>45668</v>
      </c>
      <c r="F825" s="32" t="s">
        <v>22</v>
      </c>
      <c r="G825" s="32" t="str">
        <f t="shared" si="78"/>
        <v>Amanda Costa</v>
      </c>
      <c r="H825" s="32" t="s">
        <v>52</v>
      </c>
      <c r="I825" s="32" t="s">
        <v>53</v>
      </c>
      <c r="J825" s="34">
        <v>3</v>
      </c>
      <c r="K825" s="35">
        <v>149</v>
      </c>
      <c r="L825" s="35">
        <v>6.05</v>
      </c>
      <c r="M825" s="36">
        <f t="shared" si="82"/>
        <v>440.95</v>
      </c>
      <c r="N825" s="32" t="s">
        <v>18</v>
      </c>
      <c r="Q825" s="49" t="s">
        <v>1230</v>
      </c>
      <c r="R825" s="49" t="s">
        <v>13</v>
      </c>
      <c r="S825" s="58">
        <f t="shared" si="79"/>
        <v>45668</v>
      </c>
      <c r="T825" s="51" t="s">
        <v>22</v>
      </c>
      <c r="U825" s="50" t="s">
        <v>52</v>
      </c>
      <c r="V825" s="52" t="s">
        <v>53</v>
      </c>
      <c r="W825" s="53">
        <v>3</v>
      </c>
      <c r="X825" s="54">
        <v>149</v>
      </c>
      <c r="Y825" s="54">
        <v>6.05</v>
      </c>
      <c r="Z825" s="55">
        <f t="shared" si="83"/>
        <v>440.95</v>
      </c>
      <c r="AA825" s="56" t="s">
        <v>18</v>
      </c>
      <c r="AB825"/>
    </row>
    <row r="826" spans="1:28" x14ac:dyDescent="0.25">
      <c r="A826" s="26" t="s">
        <v>1231</v>
      </c>
      <c r="B826" s="26" t="s">
        <v>27</v>
      </c>
      <c r="C826" s="26" t="str">
        <f t="shared" si="76"/>
        <v>Roberto Santos</v>
      </c>
      <c r="D826" s="37" t="s">
        <v>1112</v>
      </c>
      <c r="E826" s="27">
        <f t="shared" si="77"/>
        <v>46015</v>
      </c>
      <c r="F826" s="26" t="s">
        <v>29</v>
      </c>
      <c r="G826" s="26" t="str">
        <f t="shared" si="78"/>
        <v>Camila Rocha</v>
      </c>
      <c r="H826" s="26" t="s">
        <v>16</v>
      </c>
      <c r="I826" s="26" t="s">
        <v>78</v>
      </c>
      <c r="J826" s="28">
        <v>2</v>
      </c>
      <c r="K826" s="29">
        <v>59</v>
      </c>
      <c r="L826" s="29">
        <v>13.12</v>
      </c>
      <c r="M826" s="30">
        <f t="shared" si="82"/>
        <v>104.88</v>
      </c>
      <c r="N826" s="26" t="s">
        <v>69</v>
      </c>
      <c r="Q826" s="42" t="s">
        <v>1231</v>
      </c>
      <c r="R826" s="42" t="s">
        <v>27</v>
      </c>
      <c r="S826" s="57">
        <f t="shared" si="79"/>
        <v>46015</v>
      </c>
      <c r="T826" s="44" t="s">
        <v>29</v>
      </c>
      <c r="U826" s="43" t="s">
        <v>16</v>
      </c>
      <c r="V826" s="42" t="s">
        <v>78</v>
      </c>
      <c r="W826" s="45">
        <v>2</v>
      </c>
      <c r="X826" s="46">
        <v>59</v>
      </c>
      <c r="Y826" s="46">
        <v>13.12</v>
      </c>
      <c r="Z826" s="47">
        <f t="shared" si="83"/>
        <v>104.88</v>
      </c>
      <c r="AA826" s="48" t="s">
        <v>69</v>
      </c>
      <c r="AB826"/>
    </row>
    <row r="827" spans="1:28" x14ac:dyDescent="0.25">
      <c r="A827" s="31" t="s">
        <v>1232</v>
      </c>
      <c r="B827" s="31" t="s">
        <v>27</v>
      </c>
      <c r="C827" s="32" t="str">
        <f t="shared" si="76"/>
        <v>Roberto Santos</v>
      </c>
      <c r="D827" s="38" t="s">
        <v>1144</v>
      </c>
      <c r="E827" s="33">
        <f t="shared" si="77"/>
        <v>45729</v>
      </c>
      <c r="F827" s="32" t="s">
        <v>15</v>
      </c>
      <c r="G827" s="32" t="str">
        <f t="shared" si="78"/>
        <v>Larissa Dias</v>
      </c>
      <c r="H827" s="32" t="s">
        <v>30</v>
      </c>
      <c r="I827" s="32" t="s">
        <v>152</v>
      </c>
      <c r="J827" s="34">
        <v>2</v>
      </c>
      <c r="K827" s="35">
        <v>4500</v>
      </c>
      <c r="L827" s="35">
        <v>1297.98</v>
      </c>
      <c r="M827" s="36">
        <f t="shared" si="82"/>
        <v>7702.02</v>
      </c>
      <c r="N827" s="32" t="s">
        <v>18</v>
      </c>
      <c r="Q827" s="49" t="s">
        <v>1232</v>
      </c>
      <c r="R827" s="49" t="s">
        <v>27</v>
      </c>
      <c r="S827" s="58">
        <f t="shared" si="79"/>
        <v>45729</v>
      </c>
      <c r="T827" s="51" t="s">
        <v>15</v>
      </c>
      <c r="U827" s="50" t="s">
        <v>30</v>
      </c>
      <c r="V827" s="52" t="s">
        <v>152</v>
      </c>
      <c r="W827" s="53">
        <v>2</v>
      </c>
      <c r="X827" s="54">
        <v>4500</v>
      </c>
      <c r="Y827" s="54">
        <v>1297.98</v>
      </c>
      <c r="Z827" s="55">
        <f t="shared" si="83"/>
        <v>7702.02</v>
      </c>
      <c r="AA827" s="56" t="s">
        <v>18</v>
      </c>
      <c r="AB827"/>
    </row>
    <row r="828" spans="1:28" x14ac:dyDescent="0.25">
      <c r="A828" s="26" t="s">
        <v>1233</v>
      </c>
      <c r="B828" s="26" t="s">
        <v>37</v>
      </c>
      <c r="C828" s="26" t="str">
        <f t="shared" si="76"/>
        <v>Patricia Gomes</v>
      </c>
      <c r="D828" s="37" t="s">
        <v>186</v>
      </c>
      <c r="E828" s="27">
        <f t="shared" si="77"/>
        <v>45792</v>
      </c>
      <c r="F828" s="26" t="s">
        <v>29</v>
      </c>
      <c r="G828" s="26" t="str">
        <f t="shared" si="78"/>
        <v>Camila Rocha</v>
      </c>
      <c r="H828" s="26" t="s">
        <v>16</v>
      </c>
      <c r="I828" s="26" t="s">
        <v>17</v>
      </c>
      <c r="J828" s="28">
        <v>1</v>
      </c>
      <c r="K828" s="29">
        <v>39</v>
      </c>
      <c r="L828" s="29">
        <v>3.82</v>
      </c>
      <c r="M828" s="30">
        <f t="shared" si="82"/>
        <v>35.18</v>
      </c>
      <c r="N828" s="26" t="s">
        <v>18</v>
      </c>
      <c r="Q828" s="42" t="s">
        <v>1233</v>
      </c>
      <c r="R828" s="42" t="s">
        <v>37</v>
      </c>
      <c r="S828" s="57">
        <f t="shared" si="79"/>
        <v>45792</v>
      </c>
      <c r="T828" s="44" t="s">
        <v>29</v>
      </c>
      <c r="U828" s="43" t="s">
        <v>16</v>
      </c>
      <c r="V828" s="42" t="s">
        <v>17</v>
      </c>
      <c r="W828" s="45">
        <v>1</v>
      </c>
      <c r="X828" s="46">
        <v>39</v>
      </c>
      <c r="Y828" s="46">
        <v>3.82</v>
      </c>
      <c r="Z828" s="47">
        <f t="shared" si="83"/>
        <v>35.18</v>
      </c>
      <c r="AA828" s="48" t="s">
        <v>18</v>
      </c>
      <c r="AB828"/>
    </row>
    <row r="829" spans="1:28" x14ac:dyDescent="0.25">
      <c r="A829" s="31" t="s">
        <v>1234</v>
      </c>
      <c r="B829" s="31" t="s">
        <v>20</v>
      </c>
      <c r="C829" s="32" t="str">
        <f t="shared" si="76"/>
        <v>Beatriz Ribeiro</v>
      </c>
      <c r="D829" s="38" t="s">
        <v>599</v>
      </c>
      <c r="E829" s="33">
        <f t="shared" si="77"/>
        <v>45944</v>
      </c>
      <c r="F829" s="32" t="s">
        <v>29</v>
      </c>
      <c r="G829" s="32" t="str">
        <f t="shared" si="78"/>
        <v>Camila Rocha</v>
      </c>
      <c r="H829" s="32" t="s">
        <v>16</v>
      </c>
      <c r="I829" s="32" t="s">
        <v>116</v>
      </c>
      <c r="J829" s="34">
        <v>3</v>
      </c>
      <c r="K829" s="35">
        <v>45</v>
      </c>
      <c r="L829" s="35">
        <v>10.220000000000001</v>
      </c>
      <c r="M829" s="36">
        <f t="shared" si="82"/>
        <v>124.78</v>
      </c>
      <c r="N829" s="32" t="s">
        <v>25</v>
      </c>
      <c r="Q829" s="49" t="s">
        <v>1234</v>
      </c>
      <c r="R829" s="49" t="s">
        <v>20</v>
      </c>
      <c r="S829" s="58">
        <f t="shared" si="79"/>
        <v>45944</v>
      </c>
      <c r="T829" s="51" t="s">
        <v>29</v>
      </c>
      <c r="U829" s="50" t="s">
        <v>16</v>
      </c>
      <c r="V829" s="52" t="s">
        <v>116</v>
      </c>
      <c r="W829" s="53">
        <v>3</v>
      </c>
      <c r="X829" s="54">
        <v>45</v>
      </c>
      <c r="Y829" s="54">
        <v>10.220000000000001</v>
      </c>
      <c r="Z829" s="55">
        <f t="shared" si="83"/>
        <v>124.78</v>
      </c>
      <c r="AA829" s="56" t="s">
        <v>25</v>
      </c>
      <c r="AB829"/>
    </row>
    <row r="830" spans="1:28" x14ac:dyDescent="0.25">
      <c r="A830" s="26" t="s">
        <v>1235</v>
      </c>
      <c r="B830" s="26" t="s">
        <v>71</v>
      </c>
      <c r="C830" s="26" t="str">
        <f t="shared" si="76"/>
        <v>Juliana Costa</v>
      </c>
      <c r="D830" s="37" t="s">
        <v>373</v>
      </c>
      <c r="E830" s="27">
        <f t="shared" si="77"/>
        <v>46024</v>
      </c>
      <c r="F830" s="26" t="s">
        <v>47</v>
      </c>
      <c r="G830" s="26" t="str">
        <f t="shared" si="78"/>
        <v>Bruno Martins</v>
      </c>
      <c r="H830" s="26" t="s">
        <v>23</v>
      </c>
      <c r="I830" s="26" t="s">
        <v>43</v>
      </c>
      <c r="J830" s="28">
        <v>2</v>
      </c>
      <c r="K830" s="29">
        <v>350</v>
      </c>
      <c r="L830" s="29">
        <v>81.5</v>
      </c>
      <c r="M830" s="30">
        <f t="shared" si="82"/>
        <v>618.5</v>
      </c>
      <c r="N830" s="26" t="s">
        <v>18</v>
      </c>
      <c r="Q830" s="42" t="s">
        <v>1235</v>
      </c>
      <c r="R830" s="42" t="s">
        <v>71</v>
      </c>
      <c r="S830" s="57">
        <f t="shared" si="79"/>
        <v>46024</v>
      </c>
      <c r="T830" s="44" t="s">
        <v>47</v>
      </c>
      <c r="U830" s="43" t="s">
        <v>23</v>
      </c>
      <c r="V830" s="42" t="s">
        <v>43</v>
      </c>
      <c r="W830" s="45">
        <v>2</v>
      </c>
      <c r="X830" s="46">
        <v>350</v>
      </c>
      <c r="Y830" s="46">
        <v>81.5</v>
      </c>
      <c r="Z830" s="47">
        <f t="shared" si="83"/>
        <v>618.5</v>
      </c>
      <c r="AA830" s="48" t="s">
        <v>18</v>
      </c>
      <c r="AB830"/>
    </row>
    <row r="831" spans="1:28" x14ac:dyDescent="0.25">
      <c r="A831" s="31" t="s">
        <v>1236</v>
      </c>
      <c r="B831" s="31" t="s">
        <v>71</v>
      </c>
      <c r="C831" s="32" t="str">
        <f t="shared" si="76"/>
        <v>Juliana Costa</v>
      </c>
      <c r="D831" s="38" t="s">
        <v>136</v>
      </c>
      <c r="E831" s="33">
        <f t="shared" si="77"/>
        <v>45695</v>
      </c>
      <c r="F831" s="32" t="s">
        <v>22</v>
      </c>
      <c r="G831" s="32" t="str">
        <f t="shared" si="78"/>
        <v>Amanda Costa</v>
      </c>
      <c r="H831" s="32" t="s">
        <v>52</v>
      </c>
      <c r="I831" s="32" t="s">
        <v>75</v>
      </c>
      <c r="J831" s="34">
        <v>4</v>
      </c>
      <c r="K831" s="35">
        <v>249</v>
      </c>
      <c r="L831" s="35">
        <v>85.77</v>
      </c>
      <c r="M831" s="36">
        <f t="shared" si="82"/>
        <v>910.23</v>
      </c>
      <c r="N831" s="32" t="s">
        <v>44</v>
      </c>
      <c r="Q831" s="49" t="s">
        <v>1236</v>
      </c>
      <c r="R831" s="49" t="s">
        <v>71</v>
      </c>
      <c r="S831" s="58">
        <f t="shared" si="79"/>
        <v>45695</v>
      </c>
      <c r="T831" s="51" t="s">
        <v>22</v>
      </c>
      <c r="U831" s="50" t="s">
        <v>52</v>
      </c>
      <c r="V831" s="52" t="s">
        <v>75</v>
      </c>
      <c r="W831" s="53">
        <v>4</v>
      </c>
      <c r="X831" s="54">
        <v>249</v>
      </c>
      <c r="Y831" s="54">
        <v>85.77</v>
      </c>
      <c r="Z831" s="55">
        <f t="shared" si="83"/>
        <v>910.23</v>
      </c>
      <c r="AA831" s="56" t="s">
        <v>44</v>
      </c>
      <c r="AB831"/>
    </row>
    <row r="832" spans="1:28" x14ac:dyDescent="0.25">
      <c r="A832" s="26" t="s">
        <v>1237</v>
      </c>
      <c r="B832" s="26" t="s">
        <v>101</v>
      </c>
      <c r="C832" s="26" t="str">
        <f t="shared" si="76"/>
        <v>Ana Souza</v>
      </c>
      <c r="D832" s="37" t="s">
        <v>1238</v>
      </c>
      <c r="E832" s="27">
        <f t="shared" si="77"/>
        <v>45667</v>
      </c>
      <c r="F832" s="26" t="s">
        <v>29</v>
      </c>
      <c r="G832" s="26" t="str">
        <f t="shared" si="78"/>
        <v>Camila Rocha</v>
      </c>
      <c r="H832" s="26" t="s">
        <v>16</v>
      </c>
      <c r="I832" s="26" t="s">
        <v>116</v>
      </c>
      <c r="J832" s="28">
        <v>1</v>
      </c>
      <c r="K832" s="29">
        <v>45</v>
      </c>
      <c r="L832" s="29">
        <v>3.01</v>
      </c>
      <c r="M832" s="30">
        <f t="shared" si="82"/>
        <v>41.99</v>
      </c>
      <c r="N832" s="26" t="s">
        <v>65</v>
      </c>
      <c r="Q832" s="42" t="s">
        <v>1237</v>
      </c>
      <c r="R832" s="42" t="s">
        <v>101</v>
      </c>
      <c r="S832" s="57">
        <f t="shared" si="79"/>
        <v>45667</v>
      </c>
      <c r="T832" s="44" t="s">
        <v>29</v>
      </c>
      <c r="U832" s="43" t="s">
        <v>16</v>
      </c>
      <c r="V832" s="42" t="s">
        <v>116</v>
      </c>
      <c r="W832" s="45">
        <v>1</v>
      </c>
      <c r="X832" s="46">
        <v>45</v>
      </c>
      <c r="Y832" s="46">
        <v>3.01</v>
      </c>
      <c r="Z832" s="47">
        <f t="shared" si="83"/>
        <v>41.99</v>
      </c>
      <c r="AA832" s="48" t="s">
        <v>65</v>
      </c>
      <c r="AB832"/>
    </row>
    <row r="833" spans="1:28" x14ac:dyDescent="0.25">
      <c r="A833" s="31" t="s">
        <v>1239</v>
      </c>
      <c r="B833" s="31" t="s">
        <v>41</v>
      </c>
      <c r="C833" s="32" t="str">
        <f t="shared" si="76"/>
        <v>João Pereira</v>
      </c>
      <c r="D833" s="38" t="s">
        <v>716</v>
      </c>
      <c r="E833" s="33">
        <f t="shared" si="77"/>
        <v>45781</v>
      </c>
      <c r="F833" s="32" t="s">
        <v>39</v>
      </c>
      <c r="G833" s="32" t="str">
        <f t="shared" si="78"/>
        <v>Rodrigo Mello</v>
      </c>
      <c r="H833" s="32" t="s">
        <v>16</v>
      </c>
      <c r="I833" s="32" t="s">
        <v>17</v>
      </c>
      <c r="J833" s="34">
        <v>4</v>
      </c>
      <c r="K833" s="35">
        <v>39</v>
      </c>
      <c r="L833" s="35">
        <v>2.85</v>
      </c>
      <c r="M833" s="36">
        <f t="shared" si="82"/>
        <v>153.15</v>
      </c>
      <c r="N833" s="32" t="s">
        <v>44</v>
      </c>
      <c r="Q833" s="49" t="s">
        <v>1239</v>
      </c>
      <c r="R833" s="49" t="s">
        <v>41</v>
      </c>
      <c r="S833" s="58">
        <f t="shared" si="79"/>
        <v>45781</v>
      </c>
      <c r="T833" s="51" t="s">
        <v>39</v>
      </c>
      <c r="U833" s="50" t="s">
        <v>16</v>
      </c>
      <c r="V833" s="52" t="s">
        <v>17</v>
      </c>
      <c r="W833" s="53">
        <v>4</v>
      </c>
      <c r="X833" s="54">
        <v>39</v>
      </c>
      <c r="Y833" s="54">
        <v>2.85</v>
      </c>
      <c r="Z833" s="55">
        <f t="shared" si="83"/>
        <v>153.15</v>
      </c>
      <c r="AA833" s="56" t="s">
        <v>44</v>
      </c>
      <c r="AB833"/>
    </row>
    <row r="834" spans="1:28" x14ac:dyDescent="0.25">
      <c r="A834" s="26" t="s">
        <v>1240</v>
      </c>
      <c r="B834" s="26" t="s">
        <v>13</v>
      </c>
      <c r="C834" s="26" t="str">
        <f t="shared" si="76"/>
        <v>Lucas Almeida</v>
      </c>
      <c r="D834" s="37" t="s">
        <v>501</v>
      </c>
      <c r="E834" s="27">
        <f t="shared" si="77"/>
        <v>45671</v>
      </c>
      <c r="F834" s="26" t="s">
        <v>29</v>
      </c>
      <c r="G834" s="26" t="str">
        <f t="shared" si="78"/>
        <v>Camila Rocha</v>
      </c>
      <c r="H834" s="26" t="s">
        <v>16</v>
      </c>
      <c r="I834" s="26" t="s">
        <v>103</v>
      </c>
      <c r="J834" s="28">
        <v>3</v>
      </c>
      <c r="K834" s="29">
        <v>89</v>
      </c>
      <c r="L834" s="29">
        <v>30.63</v>
      </c>
      <c r="M834" s="30">
        <f t="shared" si="82"/>
        <v>236.37</v>
      </c>
      <c r="N834" s="26" t="s">
        <v>32</v>
      </c>
      <c r="Q834" s="42" t="s">
        <v>1240</v>
      </c>
      <c r="R834" s="42" t="s">
        <v>13</v>
      </c>
      <c r="S834" s="57">
        <f t="shared" si="79"/>
        <v>45671</v>
      </c>
      <c r="T834" s="44" t="s">
        <v>29</v>
      </c>
      <c r="U834" s="43" t="s">
        <v>16</v>
      </c>
      <c r="V834" s="42" t="s">
        <v>103</v>
      </c>
      <c r="W834" s="45">
        <v>3</v>
      </c>
      <c r="X834" s="46">
        <v>89</v>
      </c>
      <c r="Y834" s="46">
        <v>30.63</v>
      </c>
      <c r="Z834" s="47">
        <f t="shared" si="83"/>
        <v>236.37</v>
      </c>
      <c r="AA834" s="48" t="s">
        <v>32</v>
      </c>
      <c r="AB834"/>
    </row>
    <row r="835" spans="1:28" x14ac:dyDescent="0.25">
      <c r="A835" s="31" t="s">
        <v>1241</v>
      </c>
      <c r="B835" s="31" t="s">
        <v>95</v>
      </c>
      <c r="C835" s="32" t="str">
        <f t="shared" ref="C835:C898" si="84">SUBSTITUTE(SUBSTITUTE(SUBSTITUTE(SUBSTITUTE(PROPER(B835)," Da "," ")," De "," ")," Do "," ")," Dos "," ")</f>
        <v>Maria Oliveira</v>
      </c>
      <c r="D835" s="38" t="s">
        <v>768</v>
      </c>
      <c r="E835" s="33">
        <f t="shared" ref="E835:E898" si="85">DATEVALUE(D835)</f>
        <v>45855</v>
      </c>
      <c r="F835" s="32" t="s">
        <v>29</v>
      </c>
      <c r="G835" s="32" t="str">
        <f t="shared" ref="G835:G898" si="86">SUBSTITUTE(SUBSTITUTE(SUBSTITUTE(SUBSTITUTE(PROPER(F835)," Da "," ")," De "," ")," Do "," ")," Dos "," ")</f>
        <v>Camila Rocha</v>
      </c>
      <c r="H835" s="32" t="s">
        <v>16</v>
      </c>
      <c r="I835" s="32" t="s">
        <v>17</v>
      </c>
      <c r="J835" s="34">
        <v>3</v>
      </c>
      <c r="K835" s="35">
        <v>39</v>
      </c>
      <c r="L835" s="35">
        <v>13.54</v>
      </c>
      <c r="M835" s="36">
        <f t="shared" si="82"/>
        <v>103.46000000000001</v>
      </c>
      <c r="N835" s="32" t="s">
        <v>49</v>
      </c>
      <c r="Q835" s="49" t="s">
        <v>1241</v>
      </c>
      <c r="R835" s="49" t="s">
        <v>95</v>
      </c>
      <c r="S835" s="58">
        <f t="shared" si="79"/>
        <v>45855</v>
      </c>
      <c r="T835" s="51" t="s">
        <v>29</v>
      </c>
      <c r="U835" s="50" t="s">
        <v>16</v>
      </c>
      <c r="V835" s="52" t="s">
        <v>17</v>
      </c>
      <c r="W835" s="53">
        <v>3</v>
      </c>
      <c r="X835" s="54">
        <v>39</v>
      </c>
      <c r="Y835" s="54">
        <v>13.54</v>
      </c>
      <c r="Z835" s="55">
        <f t="shared" si="83"/>
        <v>103.46000000000001</v>
      </c>
      <c r="AA835" s="56" t="s">
        <v>49</v>
      </c>
      <c r="AB835"/>
    </row>
    <row r="836" spans="1:28" x14ac:dyDescent="0.25">
      <c r="A836" s="26" t="s">
        <v>1242</v>
      </c>
      <c r="B836" s="26" t="s">
        <v>63</v>
      </c>
      <c r="C836" s="26" t="str">
        <f t="shared" si="84"/>
        <v>Marcos Rodrigues</v>
      </c>
      <c r="D836" s="37" t="s">
        <v>527</v>
      </c>
      <c r="E836" s="27">
        <f t="shared" si="85"/>
        <v>45767</v>
      </c>
      <c r="F836" s="26" t="s">
        <v>15</v>
      </c>
      <c r="G836" s="26" t="str">
        <f t="shared" si="86"/>
        <v>Larissa Dias</v>
      </c>
      <c r="H836" s="26" t="s">
        <v>16</v>
      </c>
      <c r="I836" s="26" t="s">
        <v>78</v>
      </c>
      <c r="J836" s="28">
        <v>2</v>
      </c>
      <c r="K836" s="29">
        <v>59</v>
      </c>
      <c r="L836" s="29">
        <v>0</v>
      </c>
      <c r="M836" s="30">
        <f t="shared" si="82"/>
        <v>118</v>
      </c>
      <c r="N836" s="26" t="s">
        <v>65</v>
      </c>
      <c r="Q836" s="42" t="s">
        <v>1242</v>
      </c>
      <c r="R836" s="42" t="s">
        <v>63</v>
      </c>
      <c r="S836" s="57">
        <f t="shared" si="79"/>
        <v>45767</v>
      </c>
      <c r="T836" s="44" t="s">
        <v>15</v>
      </c>
      <c r="U836" s="43" t="s">
        <v>16</v>
      </c>
      <c r="V836" s="42" t="s">
        <v>78</v>
      </c>
      <c r="W836" s="45">
        <v>2</v>
      </c>
      <c r="X836" s="46">
        <v>59</v>
      </c>
      <c r="Y836" s="46">
        <v>0</v>
      </c>
      <c r="Z836" s="47">
        <f t="shared" si="83"/>
        <v>118</v>
      </c>
      <c r="AA836" s="48" t="s">
        <v>65</v>
      </c>
      <c r="AB836"/>
    </row>
    <row r="837" spans="1:28" x14ac:dyDescent="0.25">
      <c r="A837" s="31" t="s">
        <v>1243</v>
      </c>
      <c r="B837" s="31" t="s">
        <v>27</v>
      </c>
      <c r="C837" s="32" t="str">
        <f t="shared" si="84"/>
        <v>Roberto Santos</v>
      </c>
      <c r="D837" s="38" t="s">
        <v>386</v>
      </c>
      <c r="E837" s="33">
        <f t="shared" si="85"/>
        <v>45883</v>
      </c>
      <c r="F837" s="32" t="s">
        <v>15</v>
      </c>
      <c r="G837" s="32" t="str">
        <f t="shared" si="86"/>
        <v>Larissa Dias</v>
      </c>
      <c r="H837" s="32" t="s">
        <v>30</v>
      </c>
      <c r="I837" s="32" t="s">
        <v>68</v>
      </c>
      <c r="J837" s="34">
        <v>4</v>
      </c>
      <c r="K837" s="35">
        <v>799</v>
      </c>
      <c r="L837" s="35">
        <v>0</v>
      </c>
      <c r="M837" s="36">
        <f t="shared" si="82"/>
        <v>3196</v>
      </c>
      <c r="N837" s="32" t="s">
        <v>49</v>
      </c>
      <c r="Q837" s="49" t="s">
        <v>1243</v>
      </c>
      <c r="R837" s="49" t="s">
        <v>27</v>
      </c>
      <c r="S837" s="58">
        <f t="shared" si="79"/>
        <v>45883</v>
      </c>
      <c r="T837" s="51" t="s">
        <v>15</v>
      </c>
      <c r="U837" s="50" t="s">
        <v>30</v>
      </c>
      <c r="V837" s="52" t="s">
        <v>68</v>
      </c>
      <c r="W837" s="53">
        <v>4</v>
      </c>
      <c r="X837" s="54">
        <v>799</v>
      </c>
      <c r="Y837" s="54">
        <v>0</v>
      </c>
      <c r="Z837" s="55">
        <f t="shared" si="83"/>
        <v>3196</v>
      </c>
      <c r="AA837" s="56" t="s">
        <v>49</v>
      </c>
      <c r="AB837"/>
    </row>
    <row r="838" spans="1:28" x14ac:dyDescent="0.25">
      <c r="A838" s="26" t="s">
        <v>1244</v>
      </c>
      <c r="B838" s="26" t="s">
        <v>55</v>
      </c>
      <c r="C838" s="26" t="str">
        <f t="shared" si="84"/>
        <v>Ricardo Carvalho</v>
      </c>
      <c r="D838" s="37" t="s">
        <v>384</v>
      </c>
      <c r="E838" s="27">
        <f t="shared" si="85"/>
        <v>46058</v>
      </c>
      <c r="F838" s="26" t="s">
        <v>47</v>
      </c>
      <c r="G838" s="26" t="str">
        <f t="shared" si="86"/>
        <v>Bruno Martins</v>
      </c>
      <c r="H838" s="26" t="s">
        <v>52</v>
      </c>
      <c r="I838" s="26" t="s">
        <v>61</v>
      </c>
      <c r="J838" s="28">
        <v>1</v>
      </c>
      <c r="K838" s="29">
        <v>199</v>
      </c>
      <c r="L838" s="29">
        <v>8.4700000000000006</v>
      </c>
      <c r="M838" s="30">
        <f t="shared" si="82"/>
        <v>190.53</v>
      </c>
      <c r="N838" s="26" t="s">
        <v>32</v>
      </c>
      <c r="Q838" s="42" t="s">
        <v>1244</v>
      </c>
      <c r="R838" s="42" t="s">
        <v>55</v>
      </c>
      <c r="S838" s="57">
        <f t="shared" ref="S838:S901" si="87">DATEVALUE(D838)</f>
        <v>46058</v>
      </c>
      <c r="T838" s="44" t="s">
        <v>47</v>
      </c>
      <c r="U838" s="43" t="s">
        <v>52</v>
      </c>
      <c r="V838" s="42" t="s">
        <v>61</v>
      </c>
      <c r="W838" s="45">
        <v>1</v>
      </c>
      <c r="X838" s="46">
        <v>199</v>
      </c>
      <c r="Y838" s="46">
        <v>8.4700000000000006</v>
      </c>
      <c r="Z838" s="47">
        <f t="shared" si="83"/>
        <v>190.53</v>
      </c>
      <c r="AA838" s="48" t="s">
        <v>32</v>
      </c>
      <c r="AB838"/>
    </row>
    <row r="839" spans="1:28" x14ac:dyDescent="0.25">
      <c r="A839" s="31" t="s">
        <v>1245</v>
      </c>
      <c r="B839" s="31" t="s">
        <v>13</v>
      </c>
      <c r="C839" s="32" t="str">
        <f t="shared" si="84"/>
        <v>Lucas Almeida</v>
      </c>
      <c r="D839" s="38" t="s">
        <v>697</v>
      </c>
      <c r="E839" s="33">
        <f t="shared" si="85"/>
        <v>45927</v>
      </c>
      <c r="F839" s="32" t="s">
        <v>39</v>
      </c>
      <c r="G839" s="32" t="str">
        <f t="shared" si="86"/>
        <v>Rodrigo Mello</v>
      </c>
      <c r="H839" s="32" t="s">
        <v>16</v>
      </c>
      <c r="I839" s="32" t="s">
        <v>17</v>
      </c>
      <c r="J839" s="34">
        <v>1</v>
      </c>
      <c r="K839" s="35">
        <v>39</v>
      </c>
      <c r="L839" s="35">
        <v>2.54</v>
      </c>
      <c r="M839" s="36">
        <f t="shared" si="82"/>
        <v>36.46</v>
      </c>
      <c r="N839" s="32" t="s">
        <v>25</v>
      </c>
      <c r="Q839" s="49" t="s">
        <v>1245</v>
      </c>
      <c r="R839" s="49" t="s">
        <v>13</v>
      </c>
      <c r="S839" s="58">
        <f t="shared" si="87"/>
        <v>45927</v>
      </c>
      <c r="T839" s="51" t="s">
        <v>39</v>
      </c>
      <c r="U839" s="50" t="s">
        <v>16</v>
      </c>
      <c r="V839" s="52" t="s">
        <v>17</v>
      </c>
      <c r="W839" s="53">
        <v>1</v>
      </c>
      <c r="X839" s="54">
        <v>39</v>
      </c>
      <c r="Y839" s="54">
        <v>2.54</v>
      </c>
      <c r="Z839" s="55">
        <f t="shared" si="83"/>
        <v>36.46</v>
      </c>
      <c r="AA839" s="56" t="s">
        <v>25</v>
      </c>
      <c r="AB839"/>
    </row>
    <row r="840" spans="1:28" x14ac:dyDescent="0.25">
      <c r="A840" s="26" t="s">
        <v>1246</v>
      </c>
      <c r="B840" s="26" t="s">
        <v>27</v>
      </c>
      <c r="C840" s="26" t="str">
        <f t="shared" si="84"/>
        <v>Roberto Santos</v>
      </c>
      <c r="D840" s="37" t="s">
        <v>616</v>
      </c>
      <c r="E840" s="27">
        <f t="shared" si="85"/>
        <v>45769</v>
      </c>
      <c r="F840" s="26" t="s">
        <v>29</v>
      </c>
      <c r="G840" s="26" t="str">
        <f t="shared" si="86"/>
        <v>Camila Rocha</v>
      </c>
      <c r="H840" s="26" t="s">
        <v>52</v>
      </c>
      <c r="I840" s="26" t="s">
        <v>61</v>
      </c>
      <c r="J840" s="28">
        <v>4</v>
      </c>
      <c r="K840" s="29">
        <v>199</v>
      </c>
      <c r="L840" s="29">
        <v>85.71</v>
      </c>
      <c r="M840" s="30">
        <f t="shared" si="82"/>
        <v>710.29</v>
      </c>
      <c r="N840" s="26" t="s">
        <v>32</v>
      </c>
      <c r="Q840" s="42" t="s">
        <v>1246</v>
      </c>
      <c r="R840" s="42" t="s">
        <v>27</v>
      </c>
      <c r="S840" s="57">
        <f t="shared" si="87"/>
        <v>45769</v>
      </c>
      <c r="T840" s="44" t="s">
        <v>29</v>
      </c>
      <c r="U840" s="43" t="s">
        <v>52</v>
      </c>
      <c r="V840" s="42" t="s">
        <v>61</v>
      </c>
      <c r="W840" s="45">
        <v>4</v>
      </c>
      <c r="X840" s="46">
        <v>199</v>
      </c>
      <c r="Y840" s="46">
        <v>85.71</v>
      </c>
      <c r="Z840" s="47">
        <f t="shared" si="83"/>
        <v>710.29</v>
      </c>
      <c r="AA840" s="48" t="s">
        <v>32</v>
      </c>
      <c r="AB840"/>
    </row>
    <row r="841" spans="1:28" x14ac:dyDescent="0.25">
      <c r="A841" s="31" t="s">
        <v>1247</v>
      </c>
      <c r="B841" s="31" t="s">
        <v>71</v>
      </c>
      <c r="C841" s="32" t="str">
        <f t="shared" si="84"/>
        <v>Juliana Costa</v>
      </c>
      <c r="D841" s="38" t="s">
        <v>857</v>
      </c>
      <c r="E841" s="33">
        <f t="shared" si="85"/>
        <v>45837</v>
      </c>
      <c r="F841" s="32" t="s">
        <v>47</v>
      </c>
      <c r="G841" s="32" t="str">
        <f t="shared" si="86"/>
        <v>Bruno Martins</v>
      </c>
      <c r="H841" s="32" t="s">
        <v>52</v>
      </c>
      <c r="I841" s="32" t="s">
        <v>61</v>
      </c>
      <c r="J841" s="34">
        <v>3</v>
      </c>
      <c r="K841" s="35">
        <v>199</v>
      </c>
      <c r="L841" s="35">
        <v>0</v>
      </c>
      <c r="M841" s="36">
        <f t="shared" si="82"/>
        <v>597</v>
      </c>
      <c r="N841" s="32" t="s">
        <v>49</v>
      </c>
      <c r="Q841" s="49" t="s">
        <v>1247</v>
      </c>
      <c r="R841" s="49" t="s">
        <v>71</v>
      </c>
      <c r="S841" s="58">
        <f t="shared" si="87"/>
        <v>45837</v>
      </c>
      <c r="T841" s="51" t="s">
        <v>47</v>
      </c>
      <c r="U841" s="50" t="s">
        <v>52</v>
      </c>
      <c r="V841" s="52" t="s">
        <v>61</v>
      </c>
      <c r="W841" s="53">
        <v>3</v>
      </c>
      <c r="X841" s="54">
        <v>199</v>
      </c>
      <c r="Y841" s="54">
        <v>0</v>
      </c>
      <c r="Z841" s="55">
        <f t="shared" si="83"/>
        <v>597</v>
      </c>
      <c r="AA841" s="56" t="s">
        <v>49</v>
      </c>
      <c r="AB841"/>
    </row>
    <row r="842" spans="1:28" x14ac:dyDescent="0.25">
      <c r="A842" s="26" t="s">
        <v>1248</v>
      </c>
      <c r="B842" s="26" t="s">
        <v>63</v>
      </c>
      <c r="C842" s="26" t="str">
        <f t="shared" si="84"/>
        <v>Marcos Rodrigues</v>
      </c>
      <c r="D842" s="37" t="s">
        <v>884</v>
      </c>
      <c r="E842" s="27">
        <f t="shared" si="85"/>
        <v>45721</v>
      </c>
      <c r="F842" s="26" t="s">
        <v>15</v>
      </c>
      <c r="G842" s="26" t="str">
        <f t="shared" si="86"/>
        <v>Larissa Dias</v>
      </c>
      <c r="H842" s="26" t="s">
        <v>30</v>
      </c>
      <c r="I842" s="26" t="s">
        <v>31</v>
      </c>
      <c r="J842" s="28">
        <v>5</v>
      </c>
      <c r="K842" s="29">
        <v>2500</v>
      </c>
      <c r="L842" s="29">
        <v>1266.4000000000001</v>
      </c>
      <c r="M842" s="30">
        <f t="shared" si="82"/>
        <v>11233.6</v>
      </c>
      <c r="N842" s="26" t="s">
        <v>89</v>
      </c>
      <c r="Q842" s="42" t="s">
        <v>1248</v>
      </c>
      <c r="R842" s="42" t="s">
        <v>63</v>
      </c>
      <c r="S842" s="57">
        <f t="shared" si="87"/>
        <v>45721</v>
      </c>
      <c r="T842" s="44" t="s">
        <v>15</v>
      </c>
      <c r="U842" s="43" t="s">
        <v>30</v>
      </c>
      <c r="V842" s="42" t="s">
        <v>31</v>
      </c>
      <c r="W842" s="45">
        <v>5</v>
      </c>
      <c r="X842" s="46">
        <v>2500</v>
      </c>
      <c r="Y842" s="46">
        <v>1266.4000000000001</v>
      </c>
      <c r="Z842" s="47">
        <f t="shared" si="83"/>
        <v>11233.6</v>
      </c>
      <c r="AA842" s="48" t="s">
        <v>89</v>
      </c>
      <c r="AB842"/>
    </row>
    <row r="843" spans="1:28" x14ac:dyDescent="0.25">
      <c r="A843" s="31" t="s">
        <v>1249</v>
      </c>
      <c r="B843" s="31" t="s">
        <v>55</v>
      </c>
      <c r="C843" s="32" t="str">
        <f t="shared" si="84"/>
        <v>Ricardo Carvalho</v>
      </c>
      <c r="D843" s="38" t="s">
        <v>728</v>
      </c>
      <c r="E843" s="33">
        <f t="shared" si="85"/>
        <v>45674</v>
      </c>
      <c r="F843" s="32" t="s">
        <v>39</v>
      </c>
      <c r="G843" s="32" t="str">
        <f t="shared" si="86"/>
        <v>Rodrigo Mello</v>
      </c>
      <c r="H843" s="32" t="s">
        <v>52</v>
      </c>
      <c r="I843" s="32" t="s">
        <v>61</v>
      </c>
      <c r="J843" s="34">
        <v>3</v>
      </c>
      <c r="K843" s="35">
        <v>199</v>
      </c>
      <c r="L843" s="35">
        <v>53.51</v>
      </c>
      <c r="M843" s="36">
        <f t="shared" si="82"/>
        <v>543.49</v>
      </c>
      <c r="N843" s="32" t="s">
        <v>69</v>
      </c>
      <c r="Q843" s="49" t="s">
        <v>1249</v>
      </c>
      <c r="R843" s="49" t="s">
        <v>55</v>
      </c>
      <c r="S843" s="58">
        <f t="shared" si="87"/>
        <v>45674</v>
      </c>
      <c r="T843" s="51" t="s">
        <v>39</v>
      </c>
      <c r="U843" s="50" t="s">
        <v>52</v>
      </c>
      <c r="V843" s="52" t="s">
        <v>61</v>
      </c>
      <c r="W843" s="53">
        <v>3</v>
      </c>
      <c r="X843" s="54">
        <v>199</v>
      </c>
      <c r="Y843" s="54">
        <v>53.51</v>
      </c>
      <c r="Z843" s="55">
        <f t="shared" si="83"/>
        <v>543.49</v>
      </c>
      <c r="AA843" s="56" t="s">
        <v>69</v>
      </c>
      <c r="AB843"/>
    </row>
    <row r="844" spans="1:28" x14ac:dyDescent="0.25">
      <c r="A844" s="26" t="s">
        <v>1250</v>
      </c>
      <c r="B844" s="26" t="s">
        <v>71</v>
      </c>
      <c r="C844" s="26" t="str">
        <f t="shared" si="84"/>
        <v>Juliana Costa</v>
      </c>
      <c r="D844" s="37" t="s">
        <v>724</v>
      </c>
      <c r="E844" s="27">
        <f t="shared" si="85"/>
        <v>45784</v>
      </c>
      <c r="F844" s="26" t="s">
        <v>29</v>
      </c>
      <c r="G844" s="26" t="str">
        <f t="shared" si="86"/>
        <v>Camila Rocha</v>
      </c>
      <c r="H844" s="26" t="s">
        <v>23</v>
      </c>
      <c r="I844" s="26" t="s">
        <v>48</v>
      </c>
      <c r="J844" s="28">
        <v>5</v>
      </c>
      <c r="K844" s="29">
        <v>450</v>
      </c>
      <c r="L844" s="29">
        <v>0</v>
      </c>
      <c r="M844" s="30">
        <f t="shared" si="82"/>
        <v>2250</v>
      </c>
      <c r="N844" s="26" t="s">
        <v>65</v>
      </c>
      <c r="Q844" s="42" t="s">
        <v>1250</v>
      </c>
      <c r="R844" s="42" t="s">
        <v>71</v>
      </c>
      <c r="S844" s="57">
        <f t="shared" si="87"/>
        <v>45784</v>
      </c>
      <c r="T844" s="44" t="s">
        <v>29</v>
      </c>
      <c r="U844" s="43" t="s">
        <v>23</v>
      </c>
      <c r="V844" s="42" t="s">
        <v>48</v>
      </c>
      <c r="W844" s="45">
        <v>5</v>
      </c>
      <c r="X844" s="46">
        <v>450</v>
      </c>
      <c r="Y844" s="46">
        <v>0</v>
      </c>
      <c r="Z844" s="47">
        <f t="shared" si="83"/>
        <v>2250</v>
      </c>
      <c r="AA844" s="48" t="s">
        <v>65</v>
      </c>
      <c r="AB844"/>
    </row>
    <row r="845" spans="1:28" x14ac:dyDescent="0.25">
      <c r="A845" s="31" t="s">
        <v>1251</v>
      </c>
      <c r="B845" s="31" t="s">
        <v>13</v>
      </c>
      <c r="C845" s="32" t="str">
        <f t="shared" si="84"/>
        <v>Lucas Almeida</v>
      </c>
      <c r="D845" s="38" t="s">
        <v>579</v>
      </c>
      <c r="E845" s="33">
        <f t="shared" si="85"/>
        <v>45909</v>
      </c>
      <c r="F845" s="32" t="s">
        <v>47</v>
      </c>
      <c r="G845" s="32" t="str">
        <f t="shared" si="86"/>
        <v>Bruno Martins</v>
      </c>
      <c r="H845" s="32" t="s">
        <v>16</v>
      </c>
      <c r="I845" s="32" t="s">
        <v>78</v>
      </c>
      <c r="J845" s="34">
        <v>2</v>
      </c>
      <c r="K845" s="35">
        <v>59</v>
      </c>
      <c r="L845" s="35">
        <v>0</v>
      </c>
      <c r="M845" s="36">
        <f t="shared" si="82"/>
        <v>118</v>
      </c>
      <c r="N845" s="32" t="s">
        <v>18</v>
      </c>
      <c r="Q845" s="49" t="s">
        <v>1251</v>
      </c>
      <c r="R845" s="49" t="s">
        <v>13</v>
      </c>
      <c r="S845" s="58">
        <f t="shared" si="87"/>
        <v>45909</v>
      </c>
      <c r="T845" s="51" t="s">
        <v>47</v>
      </c>
      <c r="U845" s="50" t="s">
        <v>16</v>
      </c>
      <c r="V845" s="52" t="s">
        <v>78</v>
      </c>
      <c r="W845" s="53">
        <v>2</v>
      </c>
      <c r="X845" s="54">
        <v>59</v>
      </c>
      <c r="Y845" s="54">
        <v>0</v>
      </c>
      <c r="Z845" s="55">
        <f t="shared" si="83"/>
        <v>118</v>
      </c>
      <c r="AA845" s="56" t="s">
        <v>18</v>
      </c>
      <c r="AB845"/>
    </row>
    <row r="846" spans="1:28" x14ac:dyDescent="0.25">
      <c r="A846" s="26" t="s">
        <v>1252</v>
      </c>
      <c r="B846" s="26" t="s">
        <v>34</v>
      </c>
      <c r="C846" s="26" t="str">
        <f t="shared" si="84"/>
        <v>Carlos Silva</v>
      </c>
      <c r="D846" s="37" t="s">
        <v>518</v>
      </c>
      <c r="E846" s="27">
        <f t="shared" si="85"/>
        <v>45800</v>
      </c>
      <c r="F846" s="26" t="s">
        <v>15</v>
      </c>
      <c r="G846" s="26" t="str">
        <f t="shared" si="86"/>
        <v>Larissa Dias</v>
      </c>
      <c r="H846" s="26" t="s">
        <v>23</v>
      </c>
      <c r="I846" s="26" t="s">
        <v>48</v>
      </c>
      <c r="J846" s="28">
        <v>1</v>
      </c>
      <c r="K846" s="29">
        <v>450</v>
      </c>
      <c r="L846" s="29">
        <v>29.51</v>
      </c>
      <c r="M846" s="30">
        <f t="shared" si="82"/>
        <v>420.49</v>
      </c>
      <c r="N846" s="26" t="s">
        <v>49</v>
      </c>
      <c r="Q846" s="42" t="s">
        <v>1252</v>
      </c>
      <c r="R846" s="42" t="s">
        <v>34</v>
      </c>
      <c r="S846" s="57">
        <f t="shared" si="87"/>
        <v>45800</v>
      </c>
      <c r="T846" s="44" t="s">
        <v>15</v>
      </c>
      <c r="U846" s="43" t="s">
        <v>23</v>
      </c>
      <c r="V846" s="42" t="s">
        <v>48</v>
      </c>
      <c r="W846" s="45">
        <v>1</v>
      </c>
      <c r="X846" s="46">
        <v>450</v>
      </c>
      <c r="Y846" s="46">
        <v>29.51</v>
      </c>
      <c r="Z846" s="47">
        <f t="shared" si="83"/>
        <v>420.49</v>
      </c>
      <c r="AA846" s="48" t="s">
        <v>49</v>
      </c>
      <c r="AB846"/>
    </row>
    <row r="847" spans="1:28" x14ac:dyDescent="0.25">
      <c r="A847" s="31" t="s">
        <v>1253</v>
      </c>
      <c r="B847" s="31" t="s">
        <v>63</v>
      </c>
      <c r="C847" s="32" t="str">
        <f t="shared" si="84"/>
        <v>Marcos Rodrigues</v>
      </c>
      <c r="D847" s="38" t="s">
        <v>488</v>
      </c>
      <c r="E847" s="33">
        <f t="shared" si="85"/>
        <v>45896</v>
      </c>
      <c r="F847" s="32" t="s">
        <v>39</v>
      </c>
      <c r="G847" s="32" t="str">
        <f t="shared" si="86"/>
        <v>Rodrigo Mello</v>
      </c>
      <c r="H847" s="32" t="s">
        <v>16</v>
      </c>
      <c r="I847" s="32" t="s">
        <v>17</v>
      </c>
      <c r="J847" s="34">
        <v>3</v>
      </c>
      <c r="K847" s="35">
        <v>39</v>
      </c>
      <c r="L847" s="35">
        <v>0</v>
      </c>
      <c r="M847" s="36">
        <f t="shared" si="82"/>
        <v>117</v>
      </c>
      <c r="N847" s="32" t="s">
        <v>25</v>
      </c>
      <c r="Q847" s="49" t="s">
        <v>1253</v>
      </c>
      <c r="R847" s="49" t="s">
        <v>63</v>
      </c>
      <c r="S847" s="58">
        <f t="shared" si="87"/>
        <v>45896</v>
      </c>
      <c r="T847" s="51" t="s">
        <v>39</v>
      </c>
      <c r="U847" s="50" t="s">
        <v>16</v>
      </c>
      <c r="V847" s="52" t="s">
        <v>17</v>
      </c>
      <c r="W847" s="53">
        <v>3</v>
      </c>
      <c r="X847" s="54">
        <v>39</v>
      </c>
      <c r="Y847" s="54">
        <v>0</v>
      </c>
      <c r="Z847" s="55">
        <f t="shared" si="83"/>
        <v>117</v>
      </c>
      <c r="AA847" s="56" t="s">
        <v>25</v>
      </c>
      <c r="AB847"/>
    </row>
    <row r="848" spans="1:28" x14ac:dyDescent="0.25">
      <c r="A848" s="26" t="s">
        <v>1254</v>
      </c>
      <c r="B848" s="26" t="s">
        <v>13</v>
      </c>
      <c r="C848" s="26" t="str">
        <f t="shared" si="84"/>
        <v>Lucas Almeida</v>
      </c>
      <c r="D848" s="37" t="s">
        <v>381</v>
      </c>
      <c r="E848" s="27">
        <f t="shared" si="85"/>
        <v>46037</v>
      </c>
      <c r="F848" s="26" t="s">
        <v>29</v>
      </c>
      <c r="G848" s="26" t="str">
        <f t="shared" si="86"/>
        <v>Camila Rocha</v>
      </c>
      <c r="H848" s="26" t="s">
        <v>23</v>
      </c>
      <c r="I848" s="26" t="s">
        <v>48</v>
      </c>
      <c r="J848" s="28">
        <v>2</v>
      </c>
      <c r="K848" s="29">
        <v>450</v>
      </c>
      <c r="L848" s="29">
        <v>0</v>
      </c>
      <c r="M848" s="30">
        <f t="shared" si="82"/>
        <v>900</v>
      </c>
      <c r="N848" s="26" t="s">
        <v>25</v>
      </c>
      <c r="Q848" s="42" t="s">
        <v>1254</v>
      </c>
      <c r="R848" s="42" t="s">
        <v>13</v>
      </c>
      <c r="S848" s="57">
        <f t="shared" si="87"/>
        <v>46037</v>
      </c>
      <c r="T848" s="44" t="s">
        <v>29</v>
      </c>
      <c r="U848" s="43" t="s">
        <v>23</v>
      </c>
      <c r="V848" s="42" t="s">
        <v>48</v>
      </c>
      <c r="W848" s="45">
        <v>2</v>
      </c>
      <c r="X848" s="46">
        <v>450</v>
      </c>
      <c r="Y848" s="46">
        <v>0</v>
      </c>
      <c r="Z848" s="47">
        <f t="shared" si="83"/>
        <v>900</v>
      </c>
      <c r="AA848" s="48" t="s">
        <v>25</v>
      </c>
      <c r="AB848"/>
    </row>
    <row r="849" spans="1:28" x14ac:dyDescent="0.25">
      <c r="A849" s="31" t="s">
        <v>1255</v>
      </c>
      <c r="B849" s="31" t="s">
        <v>20</v>
      </c>
      <c r="C849" s="32" t="str">
        <f t="shared" si="84"/>
        <v>Beatriz Ribeiro</v>
      </c>
      <c r="D849" s="38" t="s">
        <v>627</v>
      </c>
      <c r="E849" s="33">
        <f t="shared" si="85"/>
        <v>45840</v>
      </c>
      <c r="F849" s="32" t="s">
        <v>47</v>
      </c>
      <c r="G849" s="32" t="str">
        <f t="shared" si="86"/>
        <v>Bruno Martins</v>
      </c>
      <c r="H849" s="32" t="s">
        <v>23</v>
      </c>
      <c r="I849" s="32" t="s">
        <v>43</v>
      </c>
      <c r="J849" s="34">
        <v>5</v>
      </c>
      <c r="K849" s="35">
        <v>350</v>
      </c>
      <c r="L849" s="35">
        <v>184.15</v>
      </c>
      <c r="M849" s="36">
        <f t="shared" si="82"/>
        <v>1565.85</v>
      </c>
      <c r="N849" s="32" t="s">
        <v>32</v>
      </c>
      <c r="Q849" s="49" t="s">
        <v>1255</v>
      </c>
      <c r="R849" s="49" t="s">
        <v>20</v>
      </c>
      <c r="S849" s="58">
        <f t="shared" si="87"/>
        <v>45840</v>
      </c>
      <c r="T849" s="51" t="s">
        <v>47</v>
      </c>
      <c r="U849" s="50" t="s">
        <v>23</v>
      </c>
      <c r="V849" s="52" t="s">
        <v>43</v>
      </c>
      <c r="W849" s="53">
        <v>5</v>
      </c>
      <c r="X849" s="54">
        <v>350</v>
      </c>
      <c r="Y849" s="54">
        <v>184.15</v>
      </c>
      <c r="Z849" s="55">
        <f t="shared" si="83"/>
        <v>1565.85</v>
      </c>
      <c r="AA849" s="56" t="s">
        <v>32</v>
      </c>
      <c r="AB849"/>
    </row>
    <row r="850" spans="1:28" x14ac:dyDescent="0.25">
      <c r="A850" s="26" t="s">
        <v>1256</v>
      </c>
      <c r="B850" s="26" t="s">
        <v>110</v>
      </c>
      <c r="C850" s="26" t="str">
        <f t="shared" si="84"/>
        <v>Fernanda Lima</v>
      </c>
      <c r="D850" s="37" t="s">
        <v>554</v>
      </c>
      <c r="E850" s="27">
        <f t="shared" si="85"/>
        <v>45848</v>
      </c>
      <c r="F850" s="26" t="s">
        <v>15</v>
      </c>
      <c r="G850" s="26" t="str">
        <f t="shared" si="86"/>
        <v>Larissa Dias</v>
      </c>
      <c r="H850" s="26" t="s">
        <v>16</v>
      </c>
      <c r="I850" s="26" t="s">
        <v>78</v>
      </c>
      <c r="J850" s="28">
        <v>1</v>
      </c>
      <c r="K850" s="29">
        <v>59</v>
      </c>
      <c r="L850" s="29">
        <v>0</v>
      </c>
      <c r="M850" s="30">
        <f t="shared" si="82"/>
        <v>59</v>
      </c>
      <c r="N850" s="26" t="s">
        <v>32</v>
      </c>
      <c r="Q850" s="42" t="s">
        <v>1256</v>
      </c>
      <c r="R850" s="42" t="s">
        <v>110</v>
      </c>
      <c r="S850" s="57">
        <f t="shared" si="87"/>
        <v>45848</v>
      </c>
      <c r="T850" s="44" t="s">
        <v>15</v>
      </c>
      <c r="U850" s="43" t="s">
        <v>16</v>
      </c>
      <c r="V850" s="42" t="s">
        <v>78</v>
      </c>
      <c r="W850" s="45">
        <v>1</v>
      </c>
      <c r="X850" s="46">
        <v>59</v>
      </c>
      <c r="Y850" s="46">
        <v>0</v>
      </c>
      <c r="Z850" s="47">
        <f t="shared" si="83"/>
        <v>59</v>
      </c>
      <c r="AA850" s="48" t="s">
        <v>32</v>
      </c>
      <c r="AB850"/>
    </row>
    <row r="851" spans="1:28" x14ac:dyDescent="0.25">
      <c r="A851" s="31" t="s">
        <v>1257</v>
      </c>
      <c r="B851" s="31" t="s">
        <v>71</v>
      </c>
      <c r="C851" s="32" t="str">
        <f t="shared" si="84"/>
        <v>Juliana Costa</v>
      </c>
      <c r="D851" s="38" t="s">
        <v>401</v>
      </c>
      <c r="E851" s="33">
        <f t="shared" si="85"/>
        <v>45772</v>
      </c>
      <c r="F851" s="32" t="s">
        <v>15</v>
      </c>
      <c r="G851" s="32" t="str">
        <f t="shared" si="86"/>
        <v>Larissa Dias</v>
      </c>
      <c r="H851" s="32" t="s">
        <v>30</v>
      </c>
      <c r="I851" s="32" t="s">
        <v>31</v>
      </c>
      <c r="J851" s="34">
        <v>2</v>
      </c>
      <c r="K851" s="35">
        <v>2500</v>
      </c>
      <c r="L851" s="35">
        <v>0</v>
      </c>
      <c r="M851" s="36">
        <f t="shared" si="82"/>
        <v>5000</v>
      </c>
      <c r="N851" s="32" t="s">
        <v>65</v>
      </c>
      <c r="Q851" s="49" t="s">
        <v>1257</v>
      </c>
      <c r="R851" s="49" t="s">
        <v>71</v>
      </c>
      <c r="S851" s="58">
        <f t="shared" si="87"/>
        <v>45772</v>
      </c>
      <c r="T851" s="51" t="s">
        <v>15</v>
      </c>
      <c r="U851" s="50" t="s">
        <v>30</v>
      </c>
      <c r="V851" s="52" t="s">
        <v>31</v>
      </c>
      <c r="W851" s="53">
        <v>2</v>
      </c>
      <c r="X851" s="54">
        <v>2500</v>
      </c>
      <c r="Y851" s="54">
        <v>0</v>
      </c>
      <c r="Z851" s="55">
        <f t="shared" si="83"/>
        <v>5000</v>
      </c>
      <c r="AA851" s="56" t="s">
        <v>65</v>
      </c>
      <c r="AB851"/>
    </row>
    <row r="852" spans="1:28" x14ac:dyDescent="0.25">
      <c r="A852" s="26" t="s">
        <v>1258</v>
      </c>
      <c r="B852" s="26" t="s">
        <v>34</v>
      </c>
      <c r="C852" s="26" t="str">
        <f t="shared" si="84"/>
        <v>Carlos Silva</v>
      </c>
      <c r="D852" s="37" t="s">
        <v>98</v>
      </c>
      <c r="E852" s="27">
        <f t="shared" si="85"/>
        <v>45666</v>
      </c>
      <c r="F852" s="26" t="s">
        <v>29</v>
      </c>
      <c r="G852" s="26" t="str">
        <f t="shared" si="86"/>
        <v>Camila Rocha</v>
      </c>
      <c r="H852" s="26" t="s">
        <v>52</v>
      </c>
      <c r="I852" s="26" t="s">
        <v>99</v>
      </c>
      <c r="J852" s="28">
        <v>4</v>
      </c>
      <c r="K852" s="29">
        <v>79</v>
      </c>
      <c r="L852" s="29">
        <v>0</v>
      </c>
      <c r="M852" s="30">
        <f t="shared" si="82"/>
        <v>316</v>
      </c>
      <c r="N852" s="26" t="s">
        <v>25</v>
      </c>
      <c r="Q852" s="42" t="s">
        <v>1258</v>
      </c>
      <c r="R852" s="42" t="s">
        <v>34</v>
      </c>
      <c r="S852" s="57">
        <f t="shared" si="87"/>
        <v>45666</v>
      </c>
      <c r="T852" s="44" t="s">
        <v>29</v>
      </c>
      <c r="U852" s="43" t="s">
        <v>52</v>
      </c>
      <c r="V852" s="42" t="s">
        <v>99</v>
      </c>
      <c r="W852" s="45">
        <v>4</v>
      </c>
      <c r="X852" s="46">
        <v>79</v>
      </c>
      <c r="Y852" s="46">
        <v>0</v>
      </c>
      <c r="Z852" s="47">
        <f t="shared" si="83"/>
        <v>316</v>
      </c>
      <c r="AA852" s="48" t="s">
        <v>25</v>
      </c>
      <c r="AB852"/>
    </row>
    <row r="853" spans="1:28" x14ac:dyDescent="0.25">
      <c r="A853" s="31" t="s">
        <v>1259</v>
      </c>
      <c r="B853" s="31" t="s">
        <v>71</v>
      </c>
      <c r="C853" s="32" t="str">
        <f t="shared" si="84"/>
        <v>Juliana Costa</v>
      </c>
      <c r="D853" s="38" t="s">
        <v>627</v>
      </c>
      <c r="E853" s="33">
        <f t="shared" si="85"/>
        <v>45840</v>
      </c>
      <c r="F853" s="32" t="s">
        <v>29</v>
      </c>
      <c r="G853" s="32" t="str">
        <f t="shared" si="86"/>
        <v>Camila Rocha</v>
      </c>
      <c r="H853" s="32" t="s">
        <v>16</v>
      </c>
      <c r="I853" s="32" t="s">
        <v>103</v>
      </c>
      <c r="J853" s="34">
        <v>5</v>
      </c>
      <c r="K853" s="35">
        <v>89</v>
      </c>
      <c r="L853" s="35">
        <v>0</v>
      </c>
      <c r="M853" s="36">
        <f t="shared" si="82"/>
        <v>445</v>
      </c>
      <c r="N853" s="32" t="s">
        <v>18</v>
      </c>
      <c r="Q853" s="49" t="s">
        <v>1259</v>
      </c>
      <c r="R853" s="49" t="s">
        <v>71</v>
      </c>
      <c r="S853" s="58">
        <f t="shared" si="87"/>
        <v>45840</v>
      </c>
      <c r="T853" s="51" t="s">
        <v>29</v>
      </c>
      <c r="U853" s="50" t="s">
        <v>16</v>
      </c>
      <c r="V853" s="52" t="s">
        <v>103</v>
      </c>
      <c r="W853" s="53">
        <v>5</v>
      </c>
      <c r="X853" s="54">
        <v>89</v>
      </c>
      <c r="Y853" s="54">
        <v>0</v>
      </c>
      <c r="Z853" s="55">
        <f t="shared" si="83"/>
        <v>445</v>
      </c>
      <c r="AA853" s="56" t="s">
        <v>18</v>
      </c>
      <c r="AB853"/>
    </row>
    <row r="854" spans="1:28" x14ac:dyDescent="0.25">
      <c r="A854" s="26" t="s">
        <v>1260</v>
      </c>
      <c r="B854" s="26" t="s">
        <v>20</v>
      </c>
      <c r="C854" s="26" t="str">
        <f t="shared" si="84"/>
        <v>Beatriz Ribeiro</v>
      </c>
      <c r="D854" s="37" t="s">
        <v>1261</v>
      </c>
      <c r="E854" s="27">
        <f t="shared" si="85"/>
        <v>45740</v>
      </c>
      <c r="F854" s="26" t="s">
        <v>15</v>
      </c>
      <c r="G854" s="26" t="str">
        <f t="shared" si="86"/>
        <v>Larissa Dias</v>
      </c>
      <c r="H854" s="26" t="s">
        <v>30</v>
      </c>
      <c r="I854" s="26" t="s">
        <v>152</v>
      </c>
      <c r="J854" s="28">
        <v>3</v>
      </c>
      <c r="K854" s="29">
        <v>4500</v>
      </c>
      <c r="L854" s="29">
        <v>0</v>
      </c>
      <c r="M854" s="30">
        <f t="shared" si="82"/>
        <v>13500</v>
      </c>
      <c r="N854" s="26" t="s">
        <v>32</v>
      </c>
      <c r="Q854" s="42" t="s">
        <v>1260</v>
      </c>
      <c r="R854" s="42" t="s">
        <v>20</v>
      </c>
      <c r="S854" s="57">
        <f t="shared" si="87"/>
        <v>45740</v>
      </c>
      <c r="T854" s="44" t="s">
        <v>15</v>
      </c>
      <c r="U854" s="43" t="s">
        <v>30</v>
      </c>
      <c r="V854" s="42" t="s">
        <v>152</v>
      </c>
      <c r="W854" s="45">
        <v>3</v>
      </c>
      <c r="X854" s="46">
        <v>4500</v>
      </c>
      <c r="Y854" s="46">
        <v>0</v>
      </c>
      <c r="Z854" s="47">
        <f t="shared" si="83"/>
        <v>13500</v>
      </c>
      <c r="AA854" s="48" t="s">
        <v>32</v>
      </c>
      <c r="AB854"/>
    </row>
    <row r="855" spans="1:28" x14ac:dyDescent="0.25">
      <c r="A855" s="31" t="s">
        <v>1262</v>
      </c>
      <c r="B855" s="31" t="s">
        <v>71</v>
      </c>
      <c r="C855" s="32" t="str">
        <f t="shared" si="84"/>
        <v>Juliana Costa</v>
      </c>
      <c r="D855" s="38" t="s">
        <v>1263</v>
      </c>
      <c r="E855" s="33">
        <f t="shared" si="85"/>
        <v>45982</v>
      </c>
      <c r="F855" s="32" t="s">
        <v>15</v>
      </c>
      <c r="G855" s="32" t="str">
        <f t="shared" si="86"/>
        <v>Larissa Dias</v>
      </c>
      <c r="H855" s="32" t="s">
        <v>52</v>
      </c>
      <c r="I855" s="32" t="s">
        <v>75</v>
      </c>
      <c r="J855" s="34">
        <v>5</v>
      </c>
      <c r="K855" s="35">
        <v>249</v>
      </c>
      <c r="L855" s="35">
        <v>0</v>
      </c>
      <c r="M855" s="36">
        <f t="shared" si="82"/>
        <v>1245</v>
      </c>
      <c r="N855" s="32" t="s">
        <v>25</v>
      </c>
      <c r="Q855" s="49" t="s">
        <v>1262</v>
      </c>
      <c r="R855" s="49" t="s">
        <v>71</v>
      </c>
      <c r="S855" s="58">
        <f t="shared" si="87"/>
        <v>45982</v>
      </c>
      <c r="T855" s="51" t="s">
        <v>15</v>
      </c>
      <c r="U855" s="50" t="s">
        <v>52</v>
      </c>
      <c r="V855" s="52" t="s">
        <v>75</v>
      </c>
      <c r="W855" s="53">
        <v>5</v>
      </c>
      <c r="X855" s="54">
        <v>249</v>
      </c>
      <c r="Y855" s="54">
        <v>0</v>
      </c>
      <c r="Z855" s="55">
        <f t="shared" si="83"/>
        <v>1245</v>
      </c>
      <c r="AA855" s="56" t="s">
        <v>25</v>
      </c>
      <c r="AB855"/>
    </row>
    <row r="856" spans="1:28" x14ac:dyDescent="0.25">
      <c r="A856" s="26" t="s">
        <v>1264</v>
      </c>
      <c r="B856" s="26" t="s">
        <v>55</v>
      </c>
      <c r="C856" s="26" t="str">
        <f t="shared" si="84"/>
        <v>Ricardo Carvalho</v>
      </c>
      <c r="D856" s="37" t="s">
        <v>1265</v>
      </c>
      <c r="E856" s="27">
        <f t="shared" si="85"/>
        <v>45948</v>
      </c>
      <c r="F856" s="26" t="s">
        <v>22</v>
      </c>
      <c r="G856" s="26" t="str">
        <f t="shared" si="86"/>
        <v>Amanda Costa</v>
      </c>
      <c r="H856" s="26" t="s">
        <v>30</v>
      </c>
      <c r="I856" s="26" t="s">
        <v>31</v>
      </c>
      <c r="J856" s="28">
        <v>1</v>
      </c>
      <c r="K856" s="29">
        <v>2500</v>
      </c>
      <c r="L856" s="29">
        <v>334.31</v>
      </c>
      <c r="M856" s="30">
        <f t="shared" si="82"/>
        <v>2165.69</v>
      </c>
      <c r="N856" s="26" t="s">
        <v>65</v>
      </c>
      <c r="Q856" s="42" t="s">
        <v>1264</v>
      </c>
      <c r="R856" s="42" t="s">
        <v>55</v>
      </c>
      <c r="S856" s="57">
        <f t="shared" si="87"/>
        <v>45948</v>
      </c>
      <c r="T856" s="44" t="s">
        <v>22</v>
      </c>
      <c r="U856" s="43" t="s">
        <v>30</v>
      </c>
      <c r="V856" s="42" t="s">
        <v>31</v>
      </c>
      <c r="W856" s="45">
        <v>1</v>
      </c>
      <c r="X856" s="46">
        <v>2500</v>
      </c>
      <c r="Y856" s="46">
        <v>334.31</v>
      </c>
      <c r="Z856" s="47">
        <f t="shared" si="83"/>
        <v>2165.69</v>
      </c>
      <c r="AA856" s="48" t="s">
        <v>65</v>
      </c>
      <c r="AB856"/>
    </row>
    <row r="857" spans="1:28" x14ac:dyDescent="0.25">
      <c r="A857" s="31" t="s">
        <v>1266</v>
      </c>
      <c r="B857" s="31" t="s">
        <v>20</v>
      </c>
      <c r="C857" s="32" t="str">
        <f t="shared" si="84"/>
        <v>Beatriz Ribeiro</v>
      </c>
      <c r="D857" s="38" t="s">
        <v>83</v>
      </c>
      <c r="E857" s="33">
        <f t="shared" si="85"/>
        <v>45748</v>
      </c>
      <c r="F857" s="32" t="s">
        <v>47</v>
      </c>
      <c r="G857" s="32" t="str">
        <f t="shared" si="86"/>
        <v>Bruno Martins</v>
      </c>
      <c r="H857" s="32" t="s">
        <v>52</v>
      </c>
      <c r="I857" s="32" t="s">
        <v>53</v>
      </c>
      <c r="J857" s="34">
        <v>1</v>
      </c>
      <c r="K857" s="35">
        <v>149</v>
      </c>
      <c r="L857" s="35">
        <v>0</v>
      </c>
      <c r="M857" s="36">
        <f t="shared" si="82"/>
        <v>149</v>
      </c>
      <c r="N857" s="32" t="s">
        <v>49</v>
      </c>
      <c r="Q857" s="49" t="s">
        <v>1266</v>
      </c>
      <c r="R857" s="49" t="s">
        <v>20</v>
      </c>
      <c r="S857" s="58">
        <f t="shared" si="87"/>
        <v>45748</v>
      </c>
      <c r="T857" s="51" t="s">
        <v>47</v>
      </c>
      <c r="U857" s="50" t="s">
        <v>52</v>
      </c>
      <c r="V857" s="52" t="s">
        <v>53</v>
      </c>
      <c r="W857" s="53">
        <v>1</v>
      </c>
      <c r="X857" s="54">
        <v>149</v>
      </c>
      <c r="Y857" s="54">
        <v>0</v>
      </c>
      <c r="Z857" s="55">
        <f t="shared" si="83"/>
        <v>149</v>
      </c>
      <c r="AA857" s="56" t="s">
        <v>49</v>
      </c>
      <c r="AB857"/>
    </row>
    <row r="858" spans="1:28" x14ac:dyDescent="0.25">
      <c r="A858" s="26" t="s">
        <v>1267</v>
      </c>
      <c r="B858" s="26" t="s">
        <v>37</v>
      </c>
      <c r="C858" s="26" t="str">
        <f t="shared" si="84"/>
        <v>Patricia Gomes</v>
      </c>
      <c r="D858" s="37" t="s">
        <v>564</v>
      </c>
      <c r="E858" s="27">
        <f t="shared" si="85"/>
        <v>45832</v>
      </c>
      <c r="F858" s="26" t="s">
        <v>15</v>
      </c>
      <c r="G858" s="26" t="str">
        <f t="shared" si="86"/>
        <v>Larissa Dias</v>
      </c>
      <c r="H858" s="26" t="s">
        <v>30</v>
      </c>
      <c r="I858" s="26" t="s">
        <v>106</v>
      </c>
      <c r="J858" s="28">
        <v>3</v>
      </c>
      <c r="K858" s="29">
        <v>299</v>
      </c>
      <c r="L858" s="29">
        <v>111.34</v>
      </c>
      <c r="M858" s="30">
        <f t="shared" si="82"/>
        <v>785.66</v>
      </c>
      <c r="N858" s="26" t="s">
        <v>65</v>
      </c>
      <c r="Q858" s="42" t="s">
        <v>1267</v>
      </c>
      <c r="R858" s="42" t="s">
        <v>37</v>
      </c>
      <c r="S858" s="57">
        <f t="shared" si="87"/>
        <v>45832</v>
      </c>
      <c r="T858" s="44" t="s">
        <v>15</v>
      </c>
      <c r="U858" s="43" t="s">
        <v>30</v>
      </c>
      <c r="V858" s="42" t="s">
        <v>106</v>
      </c>
      <c r="W858" s="45">
        <v>3</v>
      </c>
      <c r="X858" s="46">
        <v>299</v>
      </c>
      <c r="Y858" s="46">
        <v>111.34</v>
      </c>
      <c r="Z858" s="47">
        <f t="shared" si="83"/>
        <v>785.66</v>
      </c>
      <c r="AA858" s="48" t="s">
        <v>65</v>
      </c>
      <c r="AB858"/>
    </row>
    <row r="859" spans="1:28" x14ac:dyDescent="0.25">
      <c r="A859" s="31" t="s">
        <v>1268</v>
      </c>
      <c r="B859" s="31" t="s">
        <v>20</v>
      </c>
      <c r="C859" s="32" t="str">
        <f t="shared" si="84"/>
        <v>Beatriz Ribeiro</v>
      </c>
      <c r="D859" s="38" t="s">
        <v>634</v>
      </c>
      <c r="E859" s="33">
        <f t="shared" si="85"/>
        <v>46009</v>
      </c>
      <c r="F859" s="32" t="s">
        <v>15</v>
      </c>
      <c r="G859" s="32" t="str">
        <f t="shared" si="86"/>
        <v>Larissa Dias</v>
      </c>
      <c r="H859" s="32" t="s">
        <v>23</v>
      </c>
      <c r="I859" s="32" t="s">
        <v>48</v>
      </c>
      <c r="J859" s="34">
        <v>3</v>
      </c>
      <c r="K859" s="35">
        <v>450</v>
      </c>
      <c r="L859" s="35">
        <v>76.77</v>
      </c>
      <c r="M859" s="36">
        <f t="shared" si="82"/>
        <v>1273.23</v>
      </c>
      <c r="N859" s="32" t="s">
        <v>49</v>
      </c>
      <c r="Q859" s="49" t="s">
        <v>1268</v>
      </c>
      <c r="R859" s="49" t="s">
        <v>20</v>
      </c>
      <c r="S859" s="58">
        <f t="shared" si="87"/>
        <v>46009</v>
      </c>
      <c r="T859" s="51" t="s">
        <v>15</v>
      </c>
      <c r="U859" s="50" t="s">
        <v>23</v>
      </c>
      <c r="V859" s="52" t="s">
        <v>48</v>
      </c>
      <c r="W859" s="53">
        <v>3</v>
      </c>
      <c r="X859" s="54">
        <v>450</v>
      </c>
      <c r="Y859" s="54">
        <v>76.77</v>
      </c>
      <c r="Z859" s="55">
        <f t="shared" si="83"/>
        <v>1273.23</v>
      </c>
      <c r="AA859" s="56" t="s">
        <v>49</v>
      </c>
      <c r="AB859"/>
    </row>
    <row r="860" spans="1:28" x14ac:dyDescent="0.25">
      <c r="A860" s="26" t="s">
        <v>1269</v>
      </c>
      <c r="B860" s="26" t="s">
        <v>55</v>
      </c>
      <c r="C860" s="26" t="str">
        <f t="shared" si="84"/>
        <v>Ricardo Carvalho</v>
      </c>
      <c r="D860" s="37" t="s">
        <v>752</v>
      </c>
      <c r="E860" s="27">
        <f t="shared" si="85"/>
        <v>45850</v>
      </c>
      <c r="F860" s="26" t="s">
        <v>47</v>
      </c>
      <c r="G860" s="26" t="str">
        <f t="shared" si="86"/>
        <v>Bruno Martins</v>
      </c>
      <c r="H860" s="26" t="s">
        <v>16</v>
      </c>
      <c r="I860" s="26" t="s">
        <v>17</v>
      </c>
      <c r="J860" s="28">
        <v>3</v>
      </c>
      <c r="K860" s="29">
        <v>39</v>
      </c>
      <c r="L860" s="29">
        <v>0</v>
      </c>
      <c r="M860" s="30">
        <f t="shared" si="82"/>
        <v>117</v>
      </c>
      <c r="N860" s="26" t="s">
        <v>25</v>
      </c>
      <c r="Q860" s="42" t="s">
        <v>1269</v>
      </c>
      <c r="R860" s="42" t="s">
        <v>55</v>
      </c>
      <c r="S860" s="57">
        <f t="shared" si="87"/>
        <v>45850</v>
      </c>
      <c r="T860" s="44" t="s">
        <v>47</v>
      </c>
      <c r="U860" s="43" t="s">
        <v>16</v>
      </c>
      <c r="V860" s="42" t="s">
        <v>17</v>
      </c>
      <c r="W860" s="45">
        <v>3</v>
      </c>
      <c r="X860" s="46">
        <v>39</v>
      </c>
      <c r="Y860" s="46">
        <v>0</v>
      </c>
      <c r="Z860" s="47">
        <f t="shared" si="83"/>
        <v>117</v>
      </c>
      <c r="AA860" s="48" t="s">
        <v>25</v>
      </c>
      <c r="AB860"/>
    </row>
    <row r="861" spans="1:28" x14ac:dyDescent="0.25">
      <c r="A861" s="31" t="s">
        <v>1270</v>
      </c>
      <c r="B861" s="31" t="s">
        <v>63</v>
      </c>
      <c r="C861" s="32" t="str">
        <f t="shared" si="84"/>
        <v>Marcos Rodrigues</v>
      </c>
      <c r="D861" s="38" t="s">
        <v>527</v>
      </c>
      <c r="E861" s="33">
        <f t="shared" si="85"/>
        <v>45767</v>
      </c>
      <c r="F861" s="32" t="s">
        <v>29</v>
      </c>
      <c r="G861" s="32" t="str">
        <f t="shared" si="86"/>
        <v>Camila Rocha</v>
      </c>
      <c r="H861" s="32" t="s">
        <v>52</v>
      </c>
      <c r="I861" s="32" t="s">
        <v>53</v>
      </c>
      <c r="J861" s="34">
        <v>1</v>
      </c>
      <c r="K861" s="35">
        <v>149</v>
      </c>
      <c r="L861" s="35">
        <v>13.57</v>
      </c>
      <c r="M861" s="36">
        <f t="shared" si="82"/>
        <v>135.43</v>
      </c>
      <c r="N861" s="32" t="s">
        <v>18</v>
      </c>
      <c r="Q861" s="49" t="s">
        <v>1270</v>
      </c>
      <c r="R861" s="49" t="s">
        <v>63</v>
      </c>
      <c r="S861" s="58">
        <f t="shared" si="87"/>
        <v>45767</v>
      </c>
      <c r="T861" s="51" t="s">
        <v>29</v>
      </c>
      <c r="U861" s="50" t="s">
        <v>52</v>
      </c>
      <c r="V861" s="52" t="s">
        <v>53</v>
      </c>
      <c r="W861" s="53">
        <v>1</v>
      </c>
      <c r="X861" s="54">
        <v>149</v>
      </c>
      <c r="Y861" s="54">
        <v>13.57</v>
      </c>
      <c r="Z861" s="55">
        <f t="shared" si="83"/>
        <v>135.43</v>
      </c>
      <c r="AA861" s="56" t="s">
        <v>18</v>
      </c>
      <c r="AB861"/>
    </row>
    <row r="862" spans="1:28" x14ac:dyDescent="0.25">
      <c r="A862" s="26" t="s">
        <v>1271</v>
      </c>
      <c r="B862" s="26" t="s">
        <v>55</v>
      </c>
      <c r="C862" s="26" t="str">
        <f t="shared" si="84"/>
        <v>Ricardo Carvalho</v>
      </c>
      <c r="D862" s="37" t="s">
        <v>996</v>
      </c>
      <c r="E862" s="27">
        <f t="shared" si="85"/>
        <v>45960</v>
      </c>
      <c r="F862" s="26" t="s">
        <v>22</v>
      </c>
      <c r="G862" s="26" t="str">
        <f t="shared" si="86"/>
        <v>Amanda Costa</v>
      </c>
      <c r="H862" s="26" t="s">
        <v>23</v>
      </c>
      <c r="I862" s="26" t="s">
        <v>24</v>
      </c>
      <c r="J862" s="28">
        <v>1</v>
      </c>
      <c r="K862" s="29">
        <v>180</v>
      </c>
      <c r="L862" s="29">
        <v>0</v>
      </c>
      <c r="M862" s="30">
        <f t="shared" si="82"/>
        <v>180</v>
      </c>
      <c r="N862" s="26" t="s">
        <v>49</v>
      </c>
      <c r="Q862" s="42" t="s">
        <v>1271</v>
      </c>
      <c r="R862" s="42" t="s">
        <v>55</v>
      </c>
      <c r="S862" s="57">
        <f t="shared" si="87"/>
        <v>45960</v>
      </c>
      <c r="T862" s="44" t="s">
        <v>22</v>
      </c>
      <c r="U862" s="43" t="s">
        <v>23</v>
      </c>
      <c r="V862" s="42" t="s">
        <v>24</v>
      </c>
      <c r="W862" s="45">
        <v>1</v>
      </c>
      <c r="X862" s="46">
        <v>180</v>
      </c>
      <c r="Y862" s="46">
        <v>0</v>
      </c>
      <c r="Z862" s="47">
        <f t="shared" si="83"/>
        <v>180</v>
      </c>
      <c r="AA862" s="48" t="s">
        <v>49</v>
      </c>
      <c r="AB862"/>
    </row>
    <row r="863" spans="1:28" x14ac:dyDescent="0.25">
      <c r="A863" s="31" t="s">
        <v>1272</v>
      </c>
      <c r="B863" s="31" t="s">
        <v>71</v>
      </c>
      <c r="C863" s="32" t="str">
        <f t="shared" si="84"/>
        <v>Juliana Costa</v>
      </c>
      <c r="D863" s="38" t="s">
        <v>614</v>
      </c>
      <c r="E863" s="33">
        <f t="shared" si="85"/>
        <v>45691</v>
      </c>
      <c r="F863" s="32" t="s">
        <v>29</v>
      </c>
      <c r="G863" s="32" t="str">
        <f t="shared" si="86"/>
        <v>Camila Rocha</v>
      </c>
      <c r="H863" s="32" t="s">
        <v>23</v>
      </c>
      <c r="I863" s="32" t="s">
        <v>48</v>
      </c>
      <c r="J863" s="34">
        <v>2</v>
      </c>
      <c r="K863" s="35">
        <v>450</v>
      </c>
      <c r="L863" s="35">
        <v>22.44</v>
      </c>
      <c r="M863" s="36">
        <f t="shared" si="82"/>
        <v>877.56</v>
      </c>
      <c r="N863" s="32" t="s">
        <v>25</v>
      </c>
      <c r="Q863" s="49" t="s">
        <v>1272</v>
      </c>
      <c r="R863" s="49" t="s">
        <v>71</v>
      </c>
      <c r="S863" s="58">
        <f t="shared" si="87"/>
        <v>45691</v>
      </c>
      <c r="T863" s="51" t="s">
        <v>29</v>
      </c>
      <c r="U863" s="50" t="s">
        <v>23</v>
      </c>
      <c r="V863" s="52" t="s">
        <v>48</v>
      </c>
      <c r="W863" s="53">
        <v>2</v>
      </c>
      <c r="X863" s="54">
        <v>450</v>
      </c>
      <c r="Y863" s="54">
        <v>22.44</v>
      </c>
      <c r="Z863" s="55">
        <f t="shared" si="83"/>
        <v>877.56</v>
      </c>
      <c r="AA863" s="56" t="s">
        <v>25</v>
      </c>
      <c r="AB863"/>
    </row>
    <row r="864" spans="1:28" x14ac:dyDescent="0.25">
      <c r="A864" s="26" t="s">
        <v>1273</v>
      </c>
      <c r="B864" s="26" t="s">
        <v>20</v>
      </c>
      <c r="C864" s="26" t="str">
        <f t="shared" si="84"/>
        <v>Beatriz Ribeiro</v>
      </c>
      <c r="D864" s="37" t="s">
        <v>531</v>
      </c>
      <c r="E864" s="27">
        <f t="shared" si="85"/>
        <v>45754</v>
      </c>
      <c r="F864" s="26" t="s">
        <v>22</v>
      </c>
      <c r="G864" s="26" t="str">
        <f t="shared" si="86"/>
        <v>Amanda Costa</v>
      </c>
      <c r="H864" s="26" t="s">
        <v>23</v>
      </c>
      <c r="I864" s="26" t="s">
        <v>43</v>
      </c>
      <c r="J864" s="28">
        <v>4</v>
      </c>
      <c r="K864" s="29">
        <v>350</v>
      </c>
      <c r="L864" s="29">
        <v>165.15</v>
      </c>
      <c r="M864" s="30">
        <f t="shared" si="82"/>
        <v>1234.8499999999999</v>
      </c>
      <c r="N864" s="26" t="s">
        <v>89</v>
      </c>
      <c r="Q864" s="42" t="s">
        <v>1273</v>
      </c>
      <c r="R864" s="42" t="s">
        <v>20</v>
      </c>
      <c r="S864" s="57">
        <f t="shared" si="87"/>
        <v>45754</v>
      </c>
      <c r="T864" s="44" t="s">
        <v>22</v>
      </c>
      <c r="U864" s="43" t="s">
        <v>23</v>
      </c>
      <c r="V864" s="42" t="s">
        <v>43</v>
      </c>
      <c r="W864" s="45">
        <v>4</v>
      </c>
      <c r="X864" s="46">
        <v>350</v>
      </c>
      <c r="Y864" s="46">
        <v>165.15</v>
      </c>
      <c r="Z864" s="47">
        <f t="shared" si="83"/>
        <v>1234.8499999999999</v>
      </c>
      <c r="AA864" s="48" t="s">
        <v>89</v>
      </c>
      <c r="AB864"/>
    </row>
    <row r="865" spans="1:28" x14ac:dyDescent="0.25">
      <c r="A865" s="31" t="s">
        <v>1274</v>
      </c>
      <c r="B865" s="31" t="s">
        <v>37</v>
      </c>
      <c r="C865" s="32" t="str">
        <f t="shared" si="84"/>
        <v>Patricia Gomes</v>
      </c>
      <c r="D865" s="38" t="s">
        <v>759</v>
      </c>
      <c r="E865" s="33">
        <f t="shared" si="85"/>
        <v>45720</v>
      </c>
      <c r="F865" s="32" t="s">
        <v>15</v>
      </c>
      <c r="G865" s="32" t="str">
        <f t="shared" si="86"/>
        <v>Larissa Dias</v>
      </c>
      <c r="H865" s="32" t="s">
        <v>23</v>
      </c>
      <c r="I865" s="32" t="s">
        <v>88</v>
      </c>
      <c r="J865" s="34">
        <v>1</v>
      </c>
      <c r="K865" s="35">
        <v>650</v>
      </c>
      <c r="L865" s="35">
        <v>0</v>
      </c>
      <c r="M865" s="36">
        <f t="shared" si="82"/>
        <v>650</v>
      </c>
      <c r="N865" s="32" t="s">
        <v>18</v>
      </c>
      <c r="Q865" s="49" t="s">
        <v>1274</v>
      </c>
      <c r="R865" s="49" t="s">
        <v>37</v>
      </c>
      <c r="S865" s="58">
        <f t="shared" si="87"/>
        <v>45720</v>
      </c>
      <c r="T865" s="51" t="s">
        <v>15</v>
      </c>
      <c r="U865" s="50" t="s">
        <v>23</v>
      </c>
      <c r="V865" s="52" t="s">
        <v>88</v>
      </c>
      <c r="W865" s="53">
        <v>1</v>
      </c>
      <c r="X865" s="54">
        <v>650</v>
      </c>
      <c r="Y865" s="54">
        <v>0</v>
      </c>
      <c r="Z865" s="55">
        <f t="shared" si="83"/>
        <v>650</v>
      </c>
      <c r="AA865" s="56" t="s">
        <v>18</v>
      </c>
      <c r="AB865"/>
    </row>
    <row r="866" spans="1:28" x14ac:dyDescent="0.25">
      <c r="A866" s="26" t="s">
        <v>1275</v>
      </c>
      <c r="B866" s="26" t="s">
        <v>110</v>
      </c>
      <c r="C866" s="26" t="str">
        <f t="shared" si="84"/>
        <v>Fernanda Lima</v>
      </c>
      <c r="D866" s="37" t="s">
        <v>320</v>
      </c>
      <c r="E866" s="27">
        <f t="shared" si="85"/>
        <v>46056</v>
      </c>
      <c r="F866" s="26" t="s">
        <v>29</v>
      </c>
      <c r="G866" s="26" t="str">
        <f t="shared" si="86"/>
        <v>Camila Rocha</v>
      </c>
      <c r="H866" s="26" t="s">
        <v>16</v>
      </c>
      <c r="I866" s="26" t="s">
        <v>17</v>
      </c>
      <c r="J866" s="28">
        <v>3</v>
      </c>
      <c r="K866" s="29">
        <v>39</v>
      </c>
      <c r="L866" s="29">
        <v>10.83</v>
      </c>
      <c r="M866" s="30">
        <f t="shared" si="82"/>
        <v>106.17</v>
      </c>
      <c r="N866" s="26" t="s">
        <v>25</v>
      </c>
      <c r="Q866" s="42" t="s">
        <v>1275</v>
      </c>
      <c r="R866" s="42" t="s">
        <v>110</v>
      </c>
      <c r="S866" s="57">
        <f t="shared" si="87"/>
        <v>46056</v>
      </c>
      <c r="T866" s="44" t="s">
        <v>29</v>
      </c>
      <c r="U866" s="43" t="s">
        <v>16</v>
      </c>
      <c r="V866" s="42" t="s">
        <v>17</v>
      </c>
      <c r="W866" s="45">
        <v>3</v>
      </c>
      <c r="X866" s="46">
        <v>39</v>
      </c>
      <c r="Y866" s="46">
        <v>10.83</v>
      </c>
      <c r="Z866" s="47">
        <f t="shared" si="83"/>
        <v>106.17</v>
      </c>
      <c r="AA866" s="48" t="s">
        <v>25</v>
      </c>
      <c r="AB866"/>
    </row>
    <row r="867" spans="1:28" x14ac:dyDescent="0.25">
      <c r="A867" s="31" t="s">
        <v>1276</v>
      </c>
      <c r="B867" s="31" t="s">
        <v>20</v>
      </c>
      <c r="C867" s="32" t="str">
        <f t="shared" si="84"/>
        <v>Beatriz Ribeiro</v>
      </c>
      <c r="D867" s="38" t="s">
        <v>286</v>
      </c>
      <c r="E867" s="33">
        <f t="shared" si="85"/>
        <v>45712</v>
      </c>
      <c r="F867" s="32" t="s">
        <v>47</v>
      </c>
      <c r="G867" s="32" t="str">
        <f t="shared" si="86"/>
        <v>Bruno Martins</v>
      </c>
      <c r="H867" s="32" t="s">
        <v>16</v>
      </c>
      <c r="I867" s="32" t="s">
        <v>103</v>
      </c>
      <c r="J867" s="34">
        <v>5</v>
      </c>
      <c r="K867" s="35">
        <v>89</v>
      </c>
      <c r="L867" s="35">
        <v>0</v>
      </c>
      <c r="M867" s="36">
        <f t="shared" si="82"/>
        <v>445</v>
      </c>
      <c r="N867" s="32" t="s">
        <v>69</v>
      </c>
      <c r="Q867" s="49" t="s">
        <v>1276</v>
      </c>
      <c r="R867" s="49" t="s">
        <v>20</v>
      </c>
      <c r="S867" s="58">
        <f t="shared" si="87"/>
        <v>45712</v>
      </c>
      <c r="T867" s="51" t="s">
        <v>47</v>
      </c>
      <c r="U867" s="50" t="s">
        <v>16</v>
      </c>
      <c r="V867" s="52" t="s">
        <v>103</v>
      </c>
      <c r="W867" s="53">
        <v>5</v>
      </c>
      <c r="X867" s="54">
        <v>89</v>
      </c>
      <c r="Y867" s="54">
        <v>0</v>
      </c>
      <c r="Z867" s="55">
        <f t="shared" si="83"/>
        <v>445</v>
      </c>
      <c r="AA867" s="56" t="s">
        <v>69</v>
      </c>
      <c r="AB867"/>
    </row>
    <row r="868" spans="1:28" x14ac:dyDescent="0.25">
      <c r="A868" s="26" t="s">
        <v>1277</v>
      </c>
      <c r="B868" s="26" t="s">
        <v>55</v>
      </c>
      <c r="C868" s="26" t="str">
        <f t="shared" si="84"/>
        <v>Ricardo Carvalho</v>
      </c>
      <c r="D868" s="37" t="s">
        <v>985</v>
      </c>
      <c r="E868" s="27">
        <f t="shared" si="85"/>
        <v>45873</v>
      </c>
      <c r="F868" s="26" t="s">
        <v>22</v>
      </c>
      <c r="G868" s="26" t="str">
        <f t="shared" si="86"/>
        <v>Amanda Costa</v>
      </c>
      <c r="H868" s="26" t="s">
        <v>23</v>
      </c>
      <c r="I868" s="26" t="s">
        <v>88</v>
      </c>
      <c r="J868" s="28">
        <v>3</v>
      </c>
      <c r="K868" s="29">
        <v>650</v>
      </c>
      <c r="L868" s="29">
        <v>236.79</v>
      </c>
      <c r="M868" s="30">
        <f t="shared" si="82"/>
        <v>1713.21</v>
      </c>
      <c r="N868" s="26" t="s">
        <v>44</v>
      </c>
      <c r="Q868" s="42" t="s">
        <v>1277</v>
      </c>
      <c r="R868" s="42" t="s">
        <v>55</v>
      </c>
      <c r="S868" s="57">
        <f t="shared" si="87"/>
        <v>45873</v>
      </c>
      <c r="T868" s="44" t="s">
        <v>22</v>
      </c>
      <c r="U868" s="43" t="s">
        <v>23</v>
      </c>
      <c r="V868" s="42" t="s">
        <v>88</v>
      </c>
      <c r="W868" s="45">
        <v>3</v>
      </c>
      <c r="X868" s="46">
        <v>650</v>
      </c>
      <c r="Y868" s="46">
        <v>236.79</v>
      </c>
      <c r="Z868" s="47">
        <f t="shared" si="83"/>
        <v>1713.21</v>
      </c>
      <c r="AA868" s="48" t="s">
        <v>44</v>
      </c>
      <c r="AB868"/>
    </row>
    <row r="869" spans="1:28" x14ac:dyDescent="0.25">
      <c r="A869" s="31" t="s">
        <v>1278</v>
      </c>
      <c r="B869" s="31" t="s">
        <v>110</v>
      </c>
      <c r="C869" s="32" t="str">
        <f t="shared" si="84"/>
        <v>Fernanda Lima</v>
      </c>
      <c r="D869" s="38" t="s">
        <v>1101</v>
      </c>
      <c r="E869" s="33">
        <f t="shared" si="85"/>
        <v>45711</v>
      </c>
      <c r="F869" s="32" t="s">
        <v>29</v>
      </c>
      <c r="G869" s="32" t="str">
        <f t="shared" si="86"/>
        <v>Camila Rocha</v>
      </c>
      <c r="H869" s="32" t="s">
        <v>16</v>
      </c>
      <c r="I869" s="32" t="s">
        <v>78</v>
      </c>
      <c r="J869" s="34">
        <v>2</v>
      </c>
      <c r="K869" s="35">
        <v>59</v>
      </c>
      <c r="L869" s="35">
        <v>0</v>
      </c>
      <c r="M869" s="36">
        <f t="shared" si="82"/>
        <v>118</v>
      </c>
      <c r="N869" s="32" t="s">
        <v>65</v>
      </c>
      <c r="Q869" s="49" t="s">
        <v>1278</v>
      </c>
      <c r="R869" s="49" t="s">
        <v>110</v>
      </c>
      <c r="S869" s="58">
        <f t="shared" si="87"/>
        <v>45711</v>
      </c>
      <c r="T869" s="51" t="s">
        <v>29</v>
      </c>
      <c r="U869" s="50" t="s">
        <v>16</v>
      </c>
      <c r="V869" s="52" t="s">
        <v>78</v>
      </c>
      <c r="W869" s="53">
        <v>2</v>
      </c>
      <c r="X869" s="54">
        <v>59</v>
      </c>
      <c r="Y869" s="54">
        <v>0</v>
      </c>
      <c r="Z869" s="55">
        <f t="shared" si="83"/>
        <v>118</v>
      </c>
      <c r="AA869" s="56" t="s">
        <v>65</v>
      </c>
      <c r="AB869"/>
    </row>
    <row r="870" spans="1:28" x14ac:dyDescent="0.25">
      <c r="A870" s="26" t="s">
        <v>1279</v>
      </c>
      <c r="B870" s="26" t="s">
        <v>71</v>
      </c>
      <c r="C870" s="26" t="str">
        <f t="shared" si="84"/>
        <v>Juliana Costa</v>
      </c>
      <c r="D870" s="37" t="s">
        <v>194</v>
      </c>
      <c r="E870" s="27">
        <f t="shared" si="85"/>
        <v>45987</v>
      </c>
      <c r="F870" s="26" t="s">
        <v>22</v>
      </c>
      <c r="G870" s="26" t="str">
        <f t="shared" si="86"/>
        <v>Amanda Costa</v>
      </c>
      <c r="H870" s="26" t="s">
        <v>30</v>
      </c>
      <c r="I870" s="26" t="s">
        <v>31</v>
      </c>
      <c r="J870" s="28">
        <v>5</v>
      </c>
      <c r="K870" s="29">
        <v>2500</v>
      </c>
      <c r="L870" s="29">
        <v>0</v>
      </c>
      <c r="M870" s="30">
        <f t="shared" si="82"/>
        <v>12500</v>
      </c>
      <c r="N870" s="26" t="s">
        <v>18</v>
      </c>
      <c r="Q870" s="42" t="s">
        <v>1279</v>
      </c>
      <c r="R870" s="42" t="s">
        <v>71</v>
      </c>
      <c r="S870" s="57">
        <f t="shared" si="87"/>
        <v>45987</v>
      </c>
      <c r="T870" s="44" t="s">
        <v>22</v>
      </c>
      <c r="U870" s="43" t="s">
        <v>30</v>
      </c>
      <c r="V870" s="42" t="s">
        <v>31</v>
      </c>
      <c r="W870" s="45">
        <v>5</v>
      </c>
      <c r="X870" s="46">
        <v>2500</v>
      </c>
      <c r="Y870" s="46">
        <v>0</v>
      </c>
      <c r="Z870" s="47">
        <f t="shared" si="83"/>
        <v>12500</v>
      </c>
      <c r="AA870" s="48" t="s">
        <v>18</v>
      </c>
      <c r="AB870"/>
    </row>
    <row r="871" spans="1:28" x14ac:dyDescent="0.25">
      <c r="A871" s="31" t="s">
        <v>1280</v>
      </c>
      <c r="B871" s="31" t="s">
        <v>101</v>
      </c>
      <c r="C871" s="32" t="str">
        <f t="shared" si="84"/>
        <v>Ana Souza</v>
      </c>
      <c r="D871" s="38" t="s">
        <v>1281</v>
      </c>
      <c r="E871" s="33">
        <f t="shared" si="85"/>
        <v>45829</v>
      </c>
      <c r="F871" s="32" t="s">
        <v>22</v>
      </c>
      <c r="G871" s="32" t="str">
        <f t="shared" si="86"/>
        <v>Amanda Costa</v>
      </c>
      <c r="H871" s="32" t="s">
        <v>30</v>
      </c>
      <c r="I871" s="32" t="s">
        <v>68</v>
      </c>
      <c r="J871" s="34">
        <v>3</v>
      </c>
      <c r="K871" s="35">
        <v>799</v>
      </c>
      <c r="L871" s="35">
        <v>0</v>
      </c>
      <c r="M871" s="36">
        <f t="shared" si="82"/>
        <v>2397</v>
      </c>
      <c r="N871" s="32" t="s">
        <v>65</v>
      </c>
      <c r="Q871" s="49" t="s">
        <v>1280</v>
      </c>
      <c r="R871" s="49" t="s">
        <v>101</v>
      </c>
      <c r="S871" s="58">
        <f t="shared" si="87"/>
        <v>45829</v>
      </c>
      <c r="T871" s="51" t="s">
        <v>22</v>
      </c>
      <c r="U871" s="50" t="s">
        <v>30</v>
      </c>
      <c r="V871" s="52" t="s">
        <v>68</v>
      </c>
      <c r="W871" s="53">
        <v>3</v>
      </c>
      <c r="X871" s="54">
        <v>799</v>
      </c>
      <c r="Y871" s="54">
        <v>0</v>
      </c>
      <c r="Z871" s="55">
        <f t="shared" si="83"/>
        <v>2397</v>
      </c>
      <c r="AA871" s="56" t="s">
        <v>65</v>
      </c>
      <c r="AB871"/>
    </row>
    <row r="872" spans="1:28" x14ac:dyDescent="0.25">
      <c r="A872" s="26" t="s">
        <v>1282</v>
      </c>
      <c r="B872" s="26" t="s">
        <v>95</v>
      </c>
      <c r="C872" s="26" t="str">
        <f t="shared" si="84"/>
        <v>Maria Oliveira</v>
      </c>
      <c r="D872" s="37" t="s">
        <v>533</v>
      </c>
      <c r="E872" s="27">
        <f t="shared" si="85"/>
        <v>45932</v>
      </c>
      <c r="F872" s="26" t="s">
        <v>15</v>
      </c>
      <c r="G872" s="26" t="str">
        <f t="shared" si="86"/>
        <v>Larissa Dias</v>
      </c>
      <c r="H872" s="26" t="s">
        <v>30</v>
      </c>
      <c r="I872" s="26" t="s">
        <v>106</v>
      </c>
      <c r="J872" s="28">
        <v>3</v>
      </c>
      <c r="K872" s="29">
        <v>299</v>
      </c>
      <c r="L872" s="29">
        <v>87.28</v>
      </c>
      <c r="M872" s="30">
        <f t="shared" si="82"/>
        <v>809.72</v>
      </c>
      <c r="N872" s="26" t="s">
        <v>25</v>
      </c>
      <c r="Q872" s="42" t="s">
        <v>1282</v>
      </c>
      <c r="R872" s="42" t="s">
        <v>95</v>
      </c>
      <c r="S872" s="57">
        <f t="shared" si="87"/>
        <v>45932</v>
      </c>
      <c r="T872" s="44" t="s">
        <v>15</v>
      </c>
      <c r="U872" s="43" t="s">
        <v>30</v>
      </c>
      <c r="V872" s="42" t="s">
        <v>106</v>
      </c>
      <c r="W872" s="45">
        <v>3</v>
      </c>
      <c r="X872" s="46">
        <v>299</v>
      </c>
      <c r="Y872" s="46">
        <v>87.28</v>
      </c>
      <c r="Z872" s="47">
        <f t="shared" si="83"/>
        <v>809.72</v>
      </c>
      <c r="AA872" s="48" t="s">
        <v>25</v>
      </c>
      <c r="AB872"/>
    </row>
    <row r="873" spans="1:28" x14ac:dyDescent="0.25">
      <c r="A873" s="31" t="s">
        <v>1283</v>
      </c>
      <c r="B873" s="31" t="s">
        <v>110</v>
      </c>
      <c r="C873" s="32" t="str">
        <f t="shared" si="84"/>
        <v>Fernanda Lima</v>
      </c>
      <c r="D873" s="38" t="s">
        <v>223</v>
      </c>
      <c r="E873" s="33">
        <f t="shared" si="85"/>
        <v>46021</v>
      </c>
      <c r="F873" s="32" t="s">
        <v>15</v>
      </c>
      <c r="G873" s="32" t="str">
        <f t="shared" si="86"/>
        <v>Larissa Dias</v>
      </c>
      <c r="H873" s="32" t="s">
        <v>23</v>
      </c>
      <c r="I873" s="32" t="s">
        <v>48</v>
      </c>
      <c r="J873" s="34">
        <v>4</v>
      </c>
      <c r="K873" s="35">
        <v>450</v>
      </c>
      <c r="L873" s="35">
        <v>45.65</v>
      </c>
      <c r="M873" s="36">
        <f t="shared" si="82"/>
        <v>1754.35</v>
      </c>
      <c r="N873" s="32" t="s">
        <v>49</v>
      </c>
      <c r="Q873" s="49" t="s">
        <v>1283</v>
      </c>
      <c r="R873" s="49" t="s">
        <v>110</v>
      </c>
      <c r="S873" s="58">
        <f t="shared" si="87"/>
        <v>46021</v>
      </c>
      <c r="T873" s="51" t="s">
        <v>15</v>
      </c>
      <c r="U873" s="50" t="s">
        <v>23</v>
      </c>
      <c r="V873" s="52" t="s">
        <v>48</v>
      </c>
      <c r="W873" s="53">
        <v>4</v>
      </c>
      <c r="X873" s="54">
        <v>450</v>
      </c>
      <c r="Y873" s="54">
        <v>45.65</v>
      </c>
      <c r="Z873" s="55">
        <f t="shared" si="83"/>
        <v>1754.35</v>
      </c>
      <c r="AA873" s="56" t="s">
        <v>49</v>
      </c>
      <c r="AB873"/>
    </row>
    <row r="874" spans="1:28" x14ac:dyDescent="0.25">
      <c r="A874" s="26" t="s">
        <v>1284</v>
      </c>
      <c r="B874" s="26" t="s">
        <v>37</v>
      </c>
      <c r="C874" s="26" t="str">
        <f t="shared" si="84"/>
        <v>Patricia Gomes</v>
      </c>
      <c r="D874" s="37" t="s">
        <v>1285</v>
      </c>
      <c r="E874" s="27">
        <f t="shared" si="85"/>
        <v>45844</v>
      </c>
      <c r="F874" s="26" t="s">
        <v>15</v>
      </c>
      <c r="G874" s="26" t="str">
        <f t="shared" si="86"/>
        <v>Larissa Dias</v>
      </c>
      <c r="H874" s="26" t="s">
        <v>30</v>
      </c>
      <c r="I874" s="26" t="s">
        <v>152</v>
      </c>
      <c r="J874" s="28">
        <v>3</v>
      </c>
      <c r="K874" s="29">
        <v>4500</v>
      </c>
      <c r="L874" s="29">
        <v>0</v>
      </c>
      <c r="M874" s="30">
        <f t="shared" si="82"/>
        <v>13500</v>
      </c>
      <c r="N874" s="26" t="s">
        <v>18</v>
      </c>
      <c r="Q874" s="42" t="s">
        <v>1284</v>
      </c>
      <c r="R874" s="42" t="s">
        <v>37</v>
      </c>
      <c r="S874" s="57">
        <f t="shared" si="87"/>
        <v>45844</v>
      </c>
      <c r="T874" s="44" t="s">
        <v>15</v>
      </c>
      <c r="U874" s="43" t="s">
        <v>30</v>
      </c>
      <c r="V874" s="42" t="s">
        <v>152</v>
      </c>
      <c r="W874" s="45">
        <v>3</v>
      </c>
      <c r="X874" s="46">
        <v>4500</v>
      </c>
      <c r="Y874" s="46">
        <v>0</v>
      </c>
      <c r="Z874" s="47">
        <f t="shared" si="83"/>
        <v>13500</v>
      </c>
      <c r="AA874" s="48" t="s">
        <v>18</v>
      </c>
      <c r="AB874"/>
    </row>
    <row r="875" spans="1:28" x14ac:dyDescent="0.25">
      <c r="A875" s="31" t="s">
        <v>1286</v>
      </c>
      <c r="B875" s="31" t="s">
        <v>34</v>
      </c>
      <c r="C875" s="32" t="str">
        <f t="shared" si="84"/>
        <v>Carlos Silva</v>
      </c>
      <c r="D875" s="38" t="s">
        <v>549</v>
      </c>
      <c r="E875" s="33">
        <f t="shared" si="85"/>
        <v>45950</v>
      </c>
      <c r="F875" s="32" t="s">
        <v>47</v>
      </c>
      <c r="G875" s="32" t="str">
        <f t="shared" si="86"/>
        <v>Bruno Martins</v>
      </c>
      <c r="H875" s="32" t="s">
        <v>30</v>
      </c>
      <c r="I875" s="32" t="s">
        <v>152</v>
      </c>
      <c r="J875" s="34">
        <v>1</v>
      </c>
      <c r="K875" s="35">
        <v>4500</v>
      </c>
      <c r="L875" s="35">
        <v>0</v>
      </c>
      <c r="M875" s="36">
        <f t="shared" si="82"/>
        <v>4500</v>
      </c>
      <c r="N875" s="32" t="s">
        <v>89</v>
      </c>
      <c r="Q875" s="49" t="s">
        <v>1286</v>
      </c>
      <c r="R875" s="49" t="s">
        <v>34</v>
      </c>
      <c r="S875" s="58">
        <f t="shared" si="87"/>
        <v>45950</v>
      </c>
      <c r="T875" s="51" t="s">
        <v>47</v>
      </c>
      <c r="U875" s="50" t="s">
        <v>30</v>
      </c>
      <c r="V875" s="52" t="s">
        <v>152</v>
      </c>
      <c r="W875" s="53">
        <v>1</v>
      </c>
      <c r="X875" s="54">
        <v>4500</v>
      </c>
      <c r="Y875" s="54">
        <v>0</v>
      </c>
      <c r="Z875" s="55">
        <f t="shared" si="83"/>
        <v>4500</v>
      </c>
      <c r="AA875" s="56" t="s">
        <v>89</v>
      </c>
      <c r="AB875"/>
    </row>
    <row r="876" spans="1:28" x14ac:dyDescent="0.25">
      <c r="A876" s="26" t="s">
        <v>1287</v>
      </c>
      <c r="B876" s="26" t="s">
        <v>20</v>
      </c>
      <c r="C876" s="26" t="str">
        <f t="shared" si="84"/>
        <v>Beatriz Ribeiro</v>
      </c>
      <c r="D876" s="37" t="s">
        <v>738</v>
      </c>
      <c r="E876" s="27">
        <f t="shared" si="85"/>
        <v>45759</v>
      </c>
      <c r="F876" s="26" t="s">
        <v>22</v>
      </c>
      <c r="G876" s="26" t="str">
        <f t="shared" si="86"/>
        <v>Amanda Costa</v>
      </c>
      <c r="H876" s="26" t="s">
        <v>52</v>
      </c>
      <c r="I876" s="26" t="s">
        <v>53</v>
      </c>
      <c r="J876" s="28">
        <v>4</v>
      </c>
      <c r="K876" s="29">
        <v>149</v>
      </c>
      <c r="L876" s="29">
        <v>0</v>
      </c>
      <c r="M876" s="30">
        <f t="shared" si="82"/>
        <v>596</v>
      </c>
      <c r="N876" s="26" t="s">
        <v>18</v>
      </c>
      <c r="Q876" s="42" t="s">
        <v>1287</v>
      </c>
      <c r="R876" s="42" t="s">
        <v>20</v>
      </c>
      <c r="S876" s="57">
        <f t="shared" si="87"/>
        <v>45759</v>
      </c>
      <c r="T876" s="44" t="s">
        <v>22</v>
      </c>
      <c r="U876" s="43" t="s">
        <v>52</v>
      </c>
      <c r="V876" s="42" t="s">
        <v>53</v>
      </c>
      <c r="W876" s="45">
        <v>4</v>
      </c>
      <c r="X876" s="46">
        <v>149</v>
      </c>
      <c r="Y876" s="46">
        <v>0</v>
      </c>
      <c r="Z876" s="47">
        <f t="shared" si="83"/>
        <v>596</v>
      </c>
      <c r="AA876" s="48" t="s">
        <v>18</v>
      </c>
      <c r="AB876"/>
    </row>
    <row r="877" spans="1:28" x14ac:dyDescent="0.25">
      <c r="A877" s="31" t="s">
        <v>1288</v>
      </c>
      <c r="B877" s="31" t="s">
        <v>13</v>
      </c>
      <c r="C877" s="32" t="str">
        <f t="shared" si="84"/>
        <v>Lucas Almeida</v>
      </c>
      <c r="D877" s="38" t="s">
        <v>618</v>
      </c>
      <c r="E877" s="33">
        <f t="shared" si="85"/>
        <v>45757</v>
      </c>
      <c r="F877" s="32" t="s">
        <v>39</v>
      </c>
      <c r="G877" s="32" t="str">
        <f t="shared" si="86"/>
        <v>Rodrigo Mello</v>
      </c>
      <c r="H877" s="32" t="s">
        <v>52</v>
      </c>
      <c r="I877" s="32" t="s">
        <v>53</v>
      </c>
      <c r="J877" s="34">
        <v>3</v>
      </c>
      <c r="K877" s="35">
        <v>149</v>
      </c>
      <c r="L877" s="35">
        <v>1.96</v>
      </c>
      <c r="M877" s="36">
        <f t="shared" si="82"/>
        <v>445.04</v>
      </c>
      <c r="N877" s="32" t="s">
        <v>65</v>
      </c>
      <c r="Q877" s="49" t="s">
        <v>1288</v>
      </c>
      <c r="R877" s="49" t="s">
        <v>13</v>
      </c>
      <c r="S877" s="58">
        <f t="shared" si="87"/>
        <v>45757</v>
      </c>
      <c r="T877" s="51" t="s">
        <v>39</v>
      </c>
      <c r="U877" s="50" t="s">
        <v>52</v>
      </c>
      <c r="V877" s="52" t="s">
        <v>53</v>
      </c>
      <c r="W877" s="53">
        <v>3</v>
      </c>
      <c r="X877" s="54">
        <v>149</v>
      </c>
      <c r="Y877" s="54">
        <v>1.96</v>
      </c>
      <c r="Z877" s="55">
        <f t="shared" si="83"/>
        <v>445.04</v>
      </c>
      <c r="AA877" s="56" t="s">
        <v>65</v>
      </c>
      <c r="AB877"/>
    </row>
    <row r="878" spans="1:28" x14ac:dyDescent="0.25">
      <c r="A878" s="26" t="s">
        <v>1289</v>
      </c>
      <c r="B878" s="26" t="s">
        <v>41</v>
      </c>
      <c r="C878" s="26" t="str">
        <f t="shared" si="84"/>
        <v>João Pereira</v>
      </c>
      <c r="D878" s="37" t="s">
        <v>917</v>
      </c>
      <c r="E878" s="27">
        <f t="shared" si="85"/>
        <v>45677</v>
      </c>
      <c r="F878" s="26" t="s">
        <v>29</v>
      </c>
      <c r="G878" s="26" t="str">
        <f t="shared" si="86"/>
        <v>Camila Rocha</v>
      </c>
      <c r="H878" s="26" t="s">
        <v>16</v>
      </c>
      <c r="I878" s="26" t="s">
        <v>116</v>
      </c>
      <c r="J878" s="28">
        <v>2</v>
      </c>
      <c r="K878" s="29">
        <v>45</v>
      </c>
      <c r="L878" s="29">
        <v>0</v>
      </c>
      <c r="M878" s="30">
        <f t="shared" si="82"/>
        <v>90</v>
      </c>
      <c r="N878" s="26" t="s">
        <v>49</v>
      </c>
      <c r="Q878" s="42" t="s">
        <v>1289</v>
      </c>
      <c r="R878" s="42" t="s">
        <v>41</v>
      </c>
      <c r="S878" s="57">
        <f t="shared" si="87"/>
        <v>45677</v>
      </c>
      <c r="T878" s="44" t="s">
        <v>29</v>
      </c>
      <c r="U878" s="43" t="s">
        <v>16</v>
      </c>
      <c r="V878" s="42" t="s">
        <v>116</v>
      </c>
      <c r="W878" s="45">
        <v>2</v>
      </c>
      <c r="X878" s="46">
        <v>45</v>
      </c>
      <c r="Y878" s="46">
        <v>0</v>
      </c>
      <c r="Z878" s="47">
        <f t="shared" si="83"/>
        <v>90</v>
      </c>
      <c r="AA878" s="48" t="s">
        <v>49</v>
      </c>
      <c r="AB878"/>
    </row>
    <row r="879" spans="1:28" x14ac:dyDescent="0.25">
      <c r="A879" s="31" t="s">
        <v>1290</v>
      </c>
      <c r="B879" s="31" t="s">
        <v>63</v>
      </c>
      <c r="C879" s="32" t="str">
        <f t="shared" si="84"/>
        <v>Marcos Rodrigues</v>
      </c>
      <c r="D879" s="38" t="s">
        <v>938</v>
      </c>
      <c r="E879" s="33">
        <f t="shared" si="85"/>
        <v>45845</v>
      </c>
      <c r="F879" s="32" t="s">
        <v>47</v>
      </c>
      <c r="G879" s="32" t="str">
        <f t="shared" si="86"/>
        <v>Bruno Martins</v>
      </c>
      <c r="H879" s="32" t="s">
        <v>23</v>
      </c>
      <c r="I879" s="32" t="s">
        <v>24</v>
      </c>
      <c r="J879" s="34">
        <v>3</v>
      </c>
      <c r="K879" s="35">
        <v>180</v>
      </c>
      <c r="L879" s="35">
        <v>0</v>
      </c>
      <c r="M879" s="36">
        <f t="shared" si="82"/>
        <v>540</v>
      </c>
      <c r="N879" s="32" t="s">
        <v>49</v>
      </c>
      <c r="Q879" s="49" t="s">
        <v>1290</v>
      </c>
      <c r="R879" s="49" t="s">
        <v>63</v>
      </c>
      <c r="S879" s="58">
        <f t="shared" si="87"/>
        <v>45845</v>
      </c>
      <c r="T879" s="51" t="s">
        <v>47</v>
      </c>
      <c r="U879" s="50" t="s">
        <v>23</v>
      </c>
      <c r="V879" s="52" t="s">
        <v>24</v>
      </c>
      <c r="W879" s="53">
        <v>3</v>
      </c>
      <c r="X879" s="54">
        <v>180</v>
      </c>
      <c r="Y879" s="54">
        <v>0</v>
      </c>
      <c r="Z879" s="55">
        <f t="shared" si="83"/>
        <v>540</v>
      </c>
      <c r="AA879" s="56" t="s">
        <v>49</v>
      </c>
      <c r="AB879"/>
    </row>
    <row r="880" spans="1:28" x14ac:dyDescent="0.25">
      <c r="A880" s="26" t="s">
        <v>1291</v>
      </c>
      <c r="B880" s="26" t="s">
        <v>27</v>
      </c>
      <c r="C880" s="26" t="str">
        <f t="shared" si="84"/>
        <v>Roberto Santos</v>
      </c>
      <c r="D880" s="37" t="s">
        <v>452</v>
      </c>
      <c r="E880" s="27">
        <f t="shared" si="85"/>
        <v>45685</v>
      </c>
      <c r="F880" s="26" t="s">
        <v>15</v>
      </c>
      <c r="G880" s="26" t="str">
        <f t="shared" si="86"/>
        <v>Larissa Dias</v>
      </c>
      <c r="H880" s="26" t="s">
        <v>16</v>
      </c>
      <c r="I880" s="26" t="s">
        <v>78</v>
      </c>
      <c r="J880" s="28">
        <v>2</v>
      </c>
      <c r="K880" s="29">
        <v>59</v>
      </c>
      <c r="L880" s="29">
        <v>5.87</v>
      </c>
      <c r="M880" s="30">
        <f t="shared" si="82"/>
        <v>112.13</v>
      </c>
      <c r="N880" s="26" t="s">
        <v>44</v>
      </c>
      <c r="Q880" s="42" t="s">
        <v>1291</v>
      </c>
      <c r="R880" s="42" t="s">
        <v>27</v>
      </c>
      <c r="S880" s="57">
        <f t="shared" si="87"/>
        <v>45685</v>
      </c>
      <c r="T880" s="44" t="s">
        <v>15</v>
      </c>
      <c r="U880" s="43" t="s">
        <v>16</v>
      </c>
      <c r="V880" s="42" t="s">
        <v>78</v>
      </c>
      <c r="W880" s="45">
        <v>2</v>
      </c>
      <c r="X880" s="46">
        <v>59</v>
      </c>
      <c r="Y880" s="46">
        <v>5.87</v>
      </c>
      <c r="Z880" s="47">
        <f t="shared" si="83"/>
        <v>112.13</v>
      </c>
      <c r="AA880" s="48" t="s">
        <v>44</v>
      </c>
      <c r="AB880"/>
    </row>
    <row r="881" spans="1:28" x14ac:dyDescent="0.25">
      <c r="A881" s="31" t="s">
        <v>1292</v>
      </c>
      <c r="B881" s="31" t="s">
        <v>37</v>
      </c>
      <c r="C881" s="32" t="str">
        <f t="shared" si="84"/>
        <v>Patricia Gomes</v>
      </c>
      <c r="D881" s="38" t="s">
        <v>394</v>
      </c>
      <c r="E881" s="33">
        <f t="shared" si="85"/>
        <v>45954</v>
      </c>
      <c r="F881" s="32" t="s">
        <v>15</v>
      </c>
      <c r="G881" s="32" t="str">
        <f t="shared" si="86"/>
        <v>Larissa Dias</v>
      </c>
      <c r="H881" s="32" t="s">
        <v>52</v>
      </c>
      <c r="I881" s="32" t="s">
        <v>75</v>
      </c>
      <c r="J881" s="34">
        <v>5</v>
      </c>
      <c r="K881" s="35">
        <v>249</v>
      </c>
      <c r="L881" s="35">
        <v>0</v>
      </c>
      <c r="M881" s="36">
        <f t="shared" si="82"/>
        <v>1245</v>
      </c>
      <c r="N881" s="32" t="s">
        <v>25</v>
      </c>
      <c r="Q881" s="49" t="s">
        <v>1292</v>
      </c>
      <c r="R881" s="49" t="s">
        <v>37</v>
      </c>
      <c r="S881" s="58">
        <f t="shared" si="87"/>
        <v>45954</v>
      </c>
      <c r="T881" s="51" t="s">
        <v>15</v>
      </c>
      <c r="U881" s="50" t="s">
        <v>52</v>
      </c>
      <c r="V881" s="52" t="s">
        <v>75</v>
      </c>
      <c r="W881" s="53">
        <v>5</v>
      </c>
      <c r="X881" s="54">
        <v>249</v>
      </c>
      <c r="Y881" s="54">
        <v>0</v>
      </c>
      <c r="Z881" s="55">
        <f t="shared" si="83"/>
        <v>1245</v>
      </c>
      <c r="AA881" s="56" t="s">
        <v>25</v>
      </c>
      <c r="AB881"/>
    </row>
    <row r="882" spans="1:28" x14ac:dyDescent="0.25">
      <c r="A882" s="26" t="s">
        <v>1293</v>
      </c>
      <c r="B882" s="26" t="s">
        <v>55</v>
      </c>
      <c r="C882" s="26" t="str">
        <f t="shared" si="84"/>
        <v>Ricardo Carvalho</v>
      </c>
      <c r="D882" s="37" t="s">
        <v>124</v>
      </c>
      <c r="E882" s="27">
        <f t="shared" si="85"/>
        <v>45888</v>
      </c>
      <c r="F882" s="26" t="s">
        <v>47</v>
      </c>
      <c r="G882" s="26" t="str">
        <f t="shared" si="86"/>
        <v>Bruno Martins</v>
      </c>
      <c r="H882" s="26" t="s">
        <v>16</v>
      </c>
      <c r="I882" s="26" t="s">
        <v>116</v>
      </c>
      <c r="J882" s="28">
        <v>3</v>
      </c>
      <c r="K882" s="29">
        <v>45</v>
      </c>
      <c r="L882" s="29">
        <v>0</v>
      </c>
      <c r="M882" s="30">
        <f t="shared" si="82"/>
        <v>135</v>
      </c>
      <c r="N882" s="26" t="s">
        <v>69</v>
      </c>
      <c r="Q882" s="42" t="s">
        <v>1293</v>
      </c>
      <c r="R882" s="42" t="s">
        <v>55</v>
      </c>
      <c r="S882" s="57">
        <f t="shared" si="87"/>
        <v>45888</v>
      </c>
      <c r="T882" s="44" t="s">
        <v>47</v>
      </c>
      <c r="U882" s="43" t="s">
        <v>16</v>
      </c>
      <c r="V882" s="42" t="s">
        <v>116</v>
      </c>
      <c r="W882" s="45">
        <v>3</v>
      </c>
      <c r="X882" s="46">
        <v>45</v>
      </c>
      <c r="Y882" s="46">
        <v>0</v>
      </c>
      <c r="Z882" s="47">
        <f t="shared" si="83"/>
        <v>135</v>
      </c>
      <c r="AA882" s="48" t="s">
        <v>69</v>
      </c>
      <c r="AB882"/>
    </row>
    <row r="883" spans="1:28" x14ac:dyDescent="0.25">
      <c r="A883" s="31" t="s">
        <v>1294</v>
      </c>
      <c r="B883" s="31" t="s">
        <v>34</v>
      </c>
      <c r="C883" s="32" t="str">
        <f t="shared" si="84"/>
        <v>Carlos Silva</v>
      </c>
      <c r="D883" s="38" t="s">
        <v>368</v>
      </c>
      <c r="E883" s="33">
        <f t="shared" si="85"/>
        <v>45673</v>
      </c>
      <c r="F883" s="32" t="s">
        <v>22</v>
      </c>
      <c r="G883" s="32" t="str">
        <f t="shared" si="86"/>
        <v>Amanda Costa</v>
      </c>
      <c r="H883" s="32" t="s">
        <v>23</v>
      </c>
      <c r="I883" s="32" t="s">
        <v>43</v>
      </c>
      <c r="J883" s="34">
        <v>5</v>
      </c>
      <c r="K883" s="35">
        <v>350</v>
      </c>
      <c r="L883" s="35">
        <v>114.39</v>
      </c>
      <c r="M883" s="36">
        <f t="shared" si="82"/>
        <v>1635.61</v>
      </c>
      <c r="N883" s="32" t="s">
        <v>89</v>
      </c>
      <c r="Q883" s="49" t="s">
        <v>1294</v>
      </c>
      <c r="R883" s="49" t="s">
        <v>34</v>
      </c>
      <c r="S883" s="58">
        <f t="shared" si="87"/>
        <v>45673</v>
      </c>
      <c r="T883" s="51" t="s">
        <v>22</v>
      </c>
      <c r="U883" s="50" t="s">
        <v>23</v>
      </c>
      <c r="V883" s="52" t="s">
        <v>43</v>
      </c>
      <c r="W883" s="53">
        <v>5</v>
      </c>
      <c r="X883" s="54">
        <v>350</v>
      </c>
      <c r="Y883" s="54">
        <v>114.39</v>
      </c>
      <c r="Z883" s="55">
        <f t="shared" si="83"/>
        <v>1635.61</v>
      </c>
      <c r="AA883" s="56" t="s">
        <v>89</v>
      </c>
      <c r="AB883"/>
    </row>
    <row r="884" spans="1:28" x14ac:dyDescent="0.25">
      <c r="A884" s="26" t="s">
        <v>1295</v>
      </c>
      <c r="B884" s="26" t="s">
        <v>13</v>
      </c>
      <c r="C884" s="26" t="str">
        <f t="shared" si="84"/>
        <v>Lucas Almeida</v>
      </c>
      <c r="D884" s="37" t="s">
        <v>405</v>
      </c>
      <c r="E884" s="27">
        <f t="shared" si="85"/>
        <v>46019</v>
      </c>
      <c r="F884" s="26" t="s">
        <v>39</v>
      </c>
      <c r="G884" s="26" t="str">
        <f t="shared" si="86"/>
        <v>Rodrigo Mello</v>
      </c>
      <c r="H884" s="26" t="s">
        <v>30</v>
      </c>
      <c r="I884" s="26" t="s">
        <v>31</v>
      </c>
      <c r="J884" s="28">
        <v>5</v>
      </c>
      <c r="K884" s="29">
        <v>2500</v>
      </c>
      <c r="L884" s="29">
        <v>0</v>
      </c>
      <c r="M884" s="30">
        <f t="shared" si="82"/>
        <v>12500</v>
      </c>
      <c r="N884" s="26" t="s">
        <v>49</v>
      </c>
      <c r="Q884" s="42" t="s">
        <v>1295</v>
      </c>
      <c r="R884" s="42" t="s">
        <v>13</v>
      </c>
      <c r="S884" s="57">
        <f t="shared" si="87"/>
        <v>46019</v>
      </c>
      <c r="T884" s="44" t="s">
        <v>39</v>
      </c>
      <c r="U884" s="43" t="s">
        <v>30</v>
      </c>
      <c r="V884" s="42" t="s">
        <v>31</v>
      </c>
      <c r="W884" s="45">
        <v>5</v>
      </c>
      <c r="X884" s="46">
        <v>2500</v>
      </c>
      <c r="Y884" s="46">
        <v>0</v>
      </c>
      <c r="Z884" s="47">
        <f t="shared" si="83"/>
        <v>12500</v>
      </c>
      <c r="AA884" s="48" t="s">
        <v>49</v>
      </c>
      <c r="AB884"/>
    </row>
    <row r="885" spans="1:28" x14ac:dyDescent="0.25">
      <c r="A885" s="31" t="s">
        <v>1296</v>
      </c>
      <c r="B885" s="31" t="s">
        <v>110</v>
      </c>
      <c r="C885" s="32" t="str">
        <f t="shared" si="84"/>
        <v>Fernanda Lima</v>
      </c>
      <c r="D885" s="38" t="s">
        <v>327</v>
      </c>
      <c r="E885" s="33">
        <f t="shared" si="85"/>
        <v>45955</v>
      </c>
      <c r="F885" s="32" t="s">
        <v>47</v>
      </c>
      <c r="G885" s="32" t="str">
        <f t="shared" si="86"/>
        <v>Bruno Martins</v>
      </c>
      <c r="H885" s="32" t="s">
        <v>52</v>
      </c>
      <c r="I885" s="32" t="s">
        <v>99</v>
      </c>
      <c r="J885" s="34">
        <v>5</v>
      </c>
      <c r="K885" s="35">
        <v>79</v>
      </c>
      <c r="L885" s="35">
        <v>0</v>
      </c>
      <c r="M885" s="36">
        <f t="shared" si="82"/>
        <v>395</v>
      </c>
      <c r="N885" s="32" t="s">
        <v>25</v>
      </c>
      <c r="Q885" s="49" t="s">
        <v>1296</v>
      </c>
      <c r="R885" s="49" t="s">
        <v>110</v>
      </c>
      <c r="S885" s="58">
        <f t="shared" si="87"/>
        <v>45955</v>
      </c>
      <c r="T885" s="51" t="s">
        <v>47</v>
      </c>
      <c r="U885" s="50" t="s">
        <v>52</v>
      </c>
      <c r="V885" s="52" t="s">
        <v>99</v>
      </c>
      <c r="W885" s="53">
        <v>5</v>
      </c>
      <c r="X885" s="54">
        <v>79</v>
      </c>
      <c r="Y885" s="54">
        <v>0</v>
      </c>
      <c r="Z885" s="55">
        <f t="shared" si="83"/>
        <v>395</v>
      </c>
      <c r="AA885" s="56" t="s">
        <v>25</v>
      </c>
      <c r="AB885"/>
    </row>
    <row r="886" spans="1:28" x14ac:dyDescent="0.25">
      <c r="A886" s="26" t="s">
        <v>1297</v>
      </c>
      <c r="B886" s="26" t="s">
        <v>110</v>
      </c>
      <c r="C886" s="26" t="str">
        <f t="shared" si="84"/>
        <v>Fernanda Lima</v>
      </c>
      <c r="D886" s="37" t="s">
        <v>761</v>
      </c>
      <c r="E886" s="27">
        <f t="shared" si="85"/>
        <v>45761</v>
      </c>
      <c r="F886" s="26" t="s">
        <v>47</v>
      </c>
      <c r="G886" s="26" t="str">
        <f t="shared" si="86"/>
        <v>Bruno Martins</v>
      </c>
      <c r="H886" s="26" t="s">
        <v>23</v>
      </c>
      <c r="I886" s="26" t="s">
        <v>48</v>
      </c>
      <c r="J886" s="28">
        <v>3</v>
      </c>
      <c r="K886" s="29">
        <v>450</v>
      </c>
      <c r="L886" s="29">
        <v>0</v>
      </c>
      <c r="M886" s="30">
        <f t="shared" ref="M886:M908" si="88">(J886*K886)-L886</f>
        <v>1350</v>
      </c>
      <c r="N886" s="26" t="s">
        <v>44</v>
      </c>
      <c r="Q886" s="42" t="s">
        <v>1297</v>
      </c>
      <c r="R886" s="42" t="s">
        <v>110</v>
      </c>
      <c r="S886" s="57">
        <f t="shared" si="87"/>
        <v>45761</v>
      </c>
      <c r="T886" s="44" t="s">
        <v>47</v>
      </c>
      <c r="U886" s="43" t="s">
        <v>23</v>
      </c>
      <c r="V886" s="42" t="s">
        <v>48</v>
      </c>
      <c r="W886" s="45">
        <v>3</v>
      </c>
      <c r="X886" s="46">
        <v>450</v>
      </c>
      <c r="Y886" s="46">
        <v>0</v>
      </c>
      <c r="Z886" s="47">
        <f t="shared" ref="Z886:Z908" si="89">(W886*X886)-Y886</f>
        <v>1350</v>
      </c>
      <c r="AA886" s="48" t="s">
        <v>44</v>
      </c>
      <c r="AB886"/>
    </row>
    <row r="887" spans="1:28" x14ac:dyDescent="0.25">
      <c r="A887" s="31" t="s">
        <v>1298</v>
      </c>
      <c r="B887" s="31" t="s">
        <v>63</v>
      </c>
      <c r="C887" s="32" t="str">
        <f t="shared" si="84"/>
        <v>Marcos Rodrigues</v>
      </c>
      <c r="D887" s="38" t="s">
        <v>813</v>
      </c>
      <c r="E887" s="33">
        <f t="shared" si="85"/>
        <v>45660</v>
      </c>
      <c r="F887" s="32" t="s">
        <v>47</v>
      </c>
      <c r="G887" s="32" t="str">
        <f t="shared" si="86"/>
        <v>Bruno Martins</v>
      </c>
      <c r="H887" s="32" t="s">
        <v>30</v>
      </c>
      <c r="I887" s="32" t="s">
        <v>68</v>
      </c>
      <c r="J887" s="34">
        <v>2</v>
      </c>
      <c r="K887" s="35">
        <v>799</v>
      </c>
      <c r="L887" s="35">
        <v>0</v>
      </c>
      <c r="M887" s="36">
        <f t="shared" si="88"/>
        <v>1598</v>
      </c>
      <c r="N887" s="32" t="s">
        <v>89</v>
      </c>
      <c r="Q887" s="49" t="s">
        <v>1298</v>
      </c>
      <c r="R887" s="49" t="s">
        <v>63</v>
      </c>
      <c r="S887" s="58">
        <f t="shared" si="87"/>
        <v>45660</v>
      </c>
      <c r="T887" s="51" t="s">
        <v>47</v>
      </c>
      <c r="U887" s="50" t="s">
        <v>30</v>
      </c>
      <c r="V887" s="52" t="s">
        <v>68</v>
      </c>
      <c r="W887" s="53">
        <v>2</v>
      </c>
      <c r="X887" s="54">
        <v>799</v>
      </c>
      <c r="Y887" s="54">
        <v>0</v>
      </c>
      <c r="Z887" s="55">
        <f t="shared" si="89"/>
        <v>1598</v>
      </c>
      <c r="AA887" s="56" t="s">
        <v>89</v>
      </c>
      <c r="AB887"/>
    </row>
    <row r="888" spans="1:28" x14ac:dyDescent="0.25">
      <c r="A888" s="26" t="s">
        <v>1299</v>
      </c>
      <c r="B888" s="26" t="s">
        <v>101</v>
      </c>
      <c r="C888" s="26" t="str">
        <f t="shared" si="84"/>
        <v>Ana Souza</v>
      </c>
      <c r="D888" s="37" t="s">
        <v>1300</v>
      </c>
      <c r="E888" s="27">
        <f t="shared" si="85"/>
        <v>45762</v>
      </c>
      <c r="F888" s="26" t="s">
        <v>47</v>
      </c>
      <c r="G888" s="26" t="str">
        <f t="shared" si="86"/>
        <v>Bruno Martins</v>
      </c>
      <c r="H888" s="26" t="s">
        <v>30</v>
      </c>
      <c r="I888" s="26" t="s">
        <v>106</v>
      </c>
      <c r="J888" s="28">
        <v>5</v>
      </c>
      <c r="K888" s="29">
        <v>299</v>
      </c>
      <c r="L888" s="29">
        <v>0</v>
      </c>
      <c r="M888" s="30">
        <f t="shared" si="88"/>
        <v>1495</v>
      </c>
      <c r="N888" s="26" t="s">
        <v>49</v>
      </c>
      <c r="Q888" s="42" t="s">
        <v>1299</v>
      </c>
      <c r="R888" s="42" t="s">
        <v>101</v>
      </c>
      <c r="S888" s="57">
        <f t="shared" si="87"/>
        <v>45762</v>
      </c>
      <c r="T888" s="44" t="s">
        <v>47</v>
      </c>
      <c r="U888" s="43" t="s">
        <v>30</v>
      </c>
      <c r="V888" s="42" t="s">
        <v>106</v>
      </c>
      <c r="W888" s="45">
        <v>5</v>
      </c>
      <c r="X888" s="46">
        <v>299</v>
      </c>
      <c r="Y888" s="46">
        <v>0</v>
      </c>
      <c r="Z888" s="47">
        <f t="shared" si="89"/>
        <v>1495</v>
      </c>
      <c r="AA888" s="48" t="s">
        <v>49</v>
      </c>
      <c r="AB888"/>
    </row>
    <row r="889" spans="1:28" x14ac:dyDescent="0.25">
      <c r="A889" s="31" t="s">
        <v>1301</v>
      </c>
      <c r="B889" s="31" t="s">
        <v>95</v>
      </c>
      <c r="C889" s="32" t="str">
        <f t="shared" si="84"/>
        <v>Maria Oliveira</v>
      </c>
      <c r="D889" s="38" t="s">
        <v>1004</v>
      </c>
      <c r="E889" s="33">
        <f t="shared" si="85"/>
        <v>45725</v>
      </c>
      <c r="F889" s="32" t="s">
        <v>29</v>
      </c>
      <c r="G889" s="32" t="str">
        <f t="shared" si="86"/>
        <v>Camila Rocha</v>
      </c>
      <c r="H889" s="32" t="s">
        <v>23</v>
      </c>
      <c r="I889" s="32" t="s">
        <v>43</v>
      </c>
      <c r="J889" s="34">
        <v>2</v>
      </c>
      <c r="K889" s="35">
        <v>350</v>
      </c>
      <c r="L889" s="35">
        <v>0</v>
      </c>
      <c r="M889" s="36">
        <f t="shared" si="88"/>
        <v>700</v>
      </c>
      <c r="N889" s="32" t="s">
        <v>49</v>
      </c>
      <c r="Q889" s="49" t="s">
        <v>1301</v>
      </c>
      <c r="R889" s="49" t="s">
        <v>95</v>
      </c>
      <c r="S889" s="58">
        <f t="shared" si="87"/>
        <v>45725</v>
      </c>
      <c r="T889" s="51" t="s">
        <v>29</v>
      </c>
      <c r="U889" s="50" t="s">
        <v>23</v>
      </c>
      <c r="V889" s="52" t="s">
        <v>43</v>
      </c>
      <c r="W889" s="53">
        <v>2</v>
      </c>
      <c r="X889" s="54">
        <v>350</v>
      </c>
      <c r="Y889" s="54">
        <v>0</v>
      </c>
      <c r="Z889" s="55">
        <f t="shared" si="89"/>
        <v>700</v>
      </c>
      <c r="AA889" s="56" t="s">
        <v>49</v>
      </c>
      <c r="AB889"/>
    </row>
    <row r="890" spans="1:28" x14ac:dyDescent="0.25">
      <c r="A890" s="26" t="s">
        <v>1302</v>
      </c>
      <c r="B890" s="26" t="s">
        <v>27</v>
      </c>
      <c r="C890" s="26" t="str">
        <f t="shared" si="84"/>
        <v>Roberto Santos</v>
      </c>
      <c r="D890" s="37" t="s">
        <v>1008</v>
      </c>
      <c r="E890" s="27">
        <f t="shared" si="85"/>
        <v>45704</v>
      </c>
      <c r="F890" s="26" t="s">
        <v>22</v>
      </c>
      <c r="G890" s="26" t="str">
        <f t="shared" si="86"/>
        <v>Amanda Costa</v>
      </c>
      <c r="H890" s="26" t="s">
        <v>23</v>
      </c>
      <c r="I890" s="26" t="s">
        <v>88</v>
      </c>
      <c r="J890" s="28">
        <v>3</v>
      </c>
      <c r="K890" s="29">
        <v>650</v>
      </c>
      <c r="L890" s="29">
        <v>78.45</v>
      </c>
      <c r="M890" s="30">
        <f t="shared" si="88"/>
        <v>1871.55</v>
      </c>
      <c r="N890" s="26" t="s">
        <v>49</v>
      </c>
      <c r="Q890" s="42" t="s">
        <v>1302</v>
      </c>
      <c r="R890" s="42" t="s">
        <v>27</v>
      </c>
      <c r="S890" s="57">
        <f t="shared" si="87"/>
        <v>45704</v>
      </c>
      <c r="T890" s="44" t="s">
        <v>22</v>
      </c>
      <c r="U890" s="43" t="s">
        <v>23</v>
      </c>
      <c r="V890" s="42" t="s">
        <v>88</v>
      </c>
      <c r="W890" s="45">
        <v>3</v>
      </c>
      <c r="X890" s="46">
        <v>650</v>
      </c>
      <c r="Y890" s="46">
        <v>78.45</v>
      </c>
      <c r="Z890" s="47">
        <f t="shared" si="89"/>
        <v>1871.55</v>
      </c>
      <c r="AA890" s="48" t="s">
        <v>49</v>
      </c>
      <c r="AB890"/>
    </row>
    <row r="891" spans="1:28" x14ac:dyDescent="0.25">
      <c r="A891" s="31" t="s">
        <v>1303</v>
      </c>
      <c r="B891" s="31" t="s">
        <v>63</v>
      </c>
      <c r="C891" s="32" t="str">
        <f t="shared" si="84"/>
        <v>Marcos Rodrigues</v>
      </c>
      <c r="D891" s="38" t="s">
        <v>632</v>
      </c>
      <c r="E891" s="33">
        <f t="shared" si="85"/>
        <v>46008</v>
      </c>
      <c r="F891" s="32" t="s">
        <v>22</v>
      </c>
      <c r="G891" s="32" t="str">
        <f t="shared" si="86"/>
        <v>Amanda Costa</v>
      </c>
      <c r="H891" s="32" t="s">
        <v>30</v>
      </c>
      <c r="I891" s="32" t="s">
        <v>106</v>
      </c>
      <c r="J891" s="34">
        <v>1</v>
      </c>
      <c r="K891" s="35">
        <v>299</v>
      </c>
      <c r="L891" s="35">
        <v>21.48</v>
      </c>
      <c r="M891" s="36">
        <f t="shared" si="88"/>
        <v>277.52</v>
      </c>
      <c r="N891" s="32" t="s">
        <v>32</v>
      </c>
      <c r="Q891" s="49" t="s">
        <v>1303</v>
      </c>
      <c r="R891" s="49" t="s">
        <v>63</v>
      </c>
      <c r="S891" s="58">
        <f t="shared" si="87"/>
        <v>46008</v>
      </c>
      <c r="T891" s="51" t="s">
        <v>22</v>
      </c>
      <c r="U891" s="50" t="s">
        <v>30</v>
      </c>
      <c r="V891" s="52" t="s">
        <v>106</v>
      </c>
      <c r="W891" s="53">
        <v>1</v>
      </c>
      <c r="X891" s="54">
        <v>299</v>
      </c>
      <c r="Y891" s="54">
        <v>21.48</v>
      </c>
      <c r="Z891" s="55">
        <f t="shared" si="89"/>
        <v>277.52</v>
      </c>
      <c r="AA891" s="56" t="s">
        <v>32</v>
      </c>
      <c r="AB891"/>
    </row>
    <row r="892" spans="1:28" x14ac:dyDescent="0.25">
      <c r="A892" s="26" t="s">
        <v>1304</v>
      </c>
      <c r="B892" s="26" t="s">
        <v>71</v>
      </c>
      <c r="C892" s="26" t="str">
        <f t="shared" si="84"/>
        <v>Juliana Costa</v>
      </c>
      <c r="D892" s="37" t="s">
        <v>340</v>
      </c>
      <c r="E892" s="27">
        <f t="shared" si="85"/>
        <v>45690</v>
      </c>
      <c r="F892" s="26" t="s">
        <v>29</v>
      </c>
      <c r="G892" s="26" t="str">
        <f t="shared" si="86"/>
        <v>Camila Rocha</v>
      </c>
      <c r="H892" s="26" t="s">
        <v>23</v>
      </c>
      <c r="I892" s="26" t="s">
        <v>43</v>
      </c>
      <c r="J892" s="28">
        <v>1</v>
      </c>
      <c r="K892" s="29">
        <v>350</v>
      </c>
      <c r="L892" s="29">
        <v>3.59</v>
      </c>
      <c r="M892" s="30">
        <f t="shared" si="88"/>
        <v>346.41</v>
      </c>
      <c r="N892" s="26" t="s">
        <v>32</v>
      </c>
      <c r="Q892" s="42" t="s">
        <v>1304</v>
      </c>
      <c r="R892" s="42" t="s">
        <v>71</v>
      </c>
      <c r="S892" s="57">
        <f t="shared" si="87"/>
        <v>45690</v>
      </c>
      <c r="T892" s="44" t="s">
        <v>29</v>
      </c>
      <c r="U892" s="43" t="s">
        <v>23</v>
      </c>
      <c r="V892" s="42" t="s">
        <v>43</v>
      </c>
      <c r="W892" s="45">
        <v>1</v>
      </c>
      <c r="X892" s="46">
        <v>350</v>
      </c>
      <c r="Y892" s="46">
        <v>3.59</v>
      </c>
      <c r="Z892" s="47">
        <f t="shared" si="89"/>
        <v>346.41</v>
      </c>
      <c r="AA892" s="48" t="s">
        <v>32</v>
      </c>
      <c r="AB892"/>
    </row>
    <row r="893" spans="1:28" x14ac:dyDescent="0.25">
      <c r="A893" s="31" t="s">
        <v>1305</v>
      </c>
      <c r="B893" s="31" t="s">
        <v>34</v>
      </c>
      <c r="C893" s="32" t="str">
        <f t="shared" si="84"/>
        <v>Carlos Silva</v>
      </c>
      <c r="D893" s="38" t="s">
        <v>269</v>
      </c>
      <c r="E893" s="33">
        <f t="shared" si="85"/>
        <v>45871</v>
      </c>
      <c r="F893" s="32" t="s">
        <v>15</v>
      </c>
      <c r="G893" s="32" t="str">
        <f t="shared" si="86"/>
        <v>Larissa Dias</v>
      </c>
      <c r="H893" s="32" t="s">
        <v>52</v>
      </c>
      <c r="I893" s="32" t="s">
        <v>99</v>
      </c>
      <c r="J893" s="34">
        <v>1</v>
      </c>
      <c r="K893" s="35">
        <v>79</v>
      </c>
      <c r="L893" s="35">
        <v>0</v>
      </c>
      <c r="M893" s="36">
        <f t="shared" si="88"/>
        <v>79</v>
      </c>
      <c r="N893" s="32" t="s">
        <v>44</v>
      </c>
      <c r="Q893" s="49" t="s">
        <v>1305</v>
      </c>
      <c r="R893" s="49" t="s">
        <v>34</v>
      </c>
      <c r="S893" s="58">
        <f t="shared" si="87"/>
        <v>45871</v>
      </c>
      <c r="T893" s="51" t="s">
        <v>15</v>
      </c>
      <c r="U893" s="50" t="s">
        <v>52</v>
      </c>
      <c r="V893" s="52" t="s">
        <v>99</v>
      </c>
      <c r="W893" s="53">
        <v>1</v>
      </c>
      <c r="X893" s="54">
        <v>79</v>
      </c>
      <c r="Y893" s="54">
        <v>0</v>
      </c>
      <c r="Z893" s="55">
        <f t="shared" si="89"/>
        <v>79</v>
      </c>
      <c r="AA893" s="56" t="s">
        <v>44</v>
      </c>
      <c r="AB893"/>
    </row>
    <row r="894" spans="1:28" x14ac:dyDescent="0.25">
      <c r="A894" s="26" t="s">
        <v>1306</v>
      </c>
      <c r="B894" s="26" t="s">
        <v>63</v>
      </c>
      <c r="C894" s="26" t="str">
        <f t="shared" si="84"/>
        <v>Marcos Rodrigues</v>
      </c>
      <c r="D894" s="37" t="s">
        <v>148</v>
      </c>
      <c r="E894" s="27">
        <f t="shared" si="85"/>
        <v>45798</v>
      </c>
      <c r="F894" s="26" t="s">
        <v>39</v>
      </c>
      <c r="G894" s="26" t="str">
        <f t="shared" si="86"/>
        <v>Rodrigo Mello</v>
      </c>
      <c r="H894" s="26" t="s">
        <v>52</v>
      </c>
      <c r="I894" s="26" t="s">
        <v>53</v>
      </c>
      <c r="J894" s="28">
        <v>5</v>
      </c>
      <c r="K894" s="29">
        <v>149</v>
      </c>
      <c r="L894" s="29">
        <v>0</v>
      </c>
      <c r="M894" s="30">
        <f t="shared" si="88"/>
        <v>745</v>
      </c>
      <c r="N894" s="26" t="s">
        <v>49</v>
      </c>
      <c r="Q894" s="42" t="s">
        <v>1306</v>
      </c>
      <c r="R894" s="42" t="s">
        <v>63</v>
      </c>
      <c r="S894" s="57">
        <f t="shared" si="87"/>
        <v>45798</v>
      </c>
      <c r="T894" s="44" t="s">
        <v>39</v>
      </c>
      <c r="U894" s="43" t="s">
        <v>52</v>
      </c>
      <c r="V894" s="42" t="s">
        <v>53</v>
      </c>
      <c r="W894" s="45">
        <v>5</v>
      </c>
      <c r="X894" s="46">
        <v>149</v>
      </c>
      <c r="Y894" s="46">
        <v>0</v>
      </c>
      <c r="Z894" s="47">
        <f t="shared" si="89"/>
        <v>745</v>
      </c>
      <c r="AA894" s="48" t="s">
        <v>49</v>
      </c>
      <c r="AB894"/>
    </row>
    <row r="895" spans="1:28" x14ac:dyDescent="0.25">
      <c r="A895" s="31" t="s">
        <v>1307</v>
      </c>
      <c r="B895" s="31" t="s">
        <v>71</v>
      </c>
      <c r="C895" s="32" t="str">
        <f t="shared" si="84"/>
        <v>Juliana Costa</v>
      </c>
      <c r="D895" s="38" t="s">
        <v>209</v>
      </c>
      <c r="E895" s="33">
        <f t="shared" si="85"/>
        <v>46018</v>
      </c>
      <c r="F895" s="32" t="s">
        <v>22</v>
      </c>
      <c r="G895" s="32" t="str">
        <f t="shared" si="86"/>
        <v>Amanda Costa</v>
      </c>
      <c r="H895" s="32" t="s">
        <v>52</v>
      </c>
      <c r="I895" s="32" t="s">
        <v>99</v>
      </c>
      <c r="J895" s="34">
        <v>1</v>
      </c>
      <c r="K895" s="35">
        <v>79</v>
      </c>
      <c r="L895" s="35">
        <v>0</v>
      </c>
      <c r="M895" s="36">
        <f t="shared" si="88"/>
        <v>79</v>
      </c>
      <c r="N895" s="32" t="s">
        <v>69</v>
      </c>
      <c r="Q895" s="49" t="s">
        <v>1307</v>
      </c>
      <c r="R895" s="49" t="s">
        <v>71</v>
      </c>
      <c r="S895" s="58">
        <f t="shared" si="87"/>
        <v>46018</v>
      </c>
      <c r="T895" s="51" t="s">
        <v>22</v>
      </c>
      <c r="U895" s="50" t="s">
        <v>52</v>
      </c>
      <c r="V895" s="52" t="s">
        <v>99</v>
      </c>
      <c r="W895" s="53">
        <v>1</v>
      </c>
      <c r="X895" s="54">
        <v>79</v>
      </c>
      <c r="Y895" s="54">
        <v>0</v>
      </c>
      <c r="Z895" s="55">
        <f t="shared" si="89"/>
        <v>79</v>
      </c>
      <c r="AA895" s="56" t="s">
        <v>69</v>
      </c>
      <c r="AB895"/>
    </row>
    <row r="896" spans="1:28" x14ac:dyDescent="0.25">
      <c r="A896" s="26" t="s">
        <v>1308</v>
      </c>
      <c r="B896" s="26" t="s">
        <v>101</v>
      </c>
      <c r="C896" s="26" t="str">
        <f t="shared" si="84"/>
        <v>Ana Souza</v>
      </c>
      <c r="D896" s="37" t="s">
        <v>246</v>
      </c>
      <c r="E896" s="27">
        <f t="shared" si="85"/>
        <v>46049</v>
      </c>
      <c r="F896" s="26" t="s">
        <v>15</v>
      </c>
      <c r="G896" s="26" t="str">
        <f t="shared" si="86"/>
        <v>Larissa Dias</v>
      </c>
      <c r="H896" s="26" t="s">
        <v>30</v>
      </c>
      <c r="I896" s="26" t="s">
        <v>106</v>
      </c>
      <c r="J896" s="28">
        <v>1</v>
      </c>
      <c r="K896" s="29">
        <v>299</v>
      </c>
      <c r="L896" s="29">
        <v>0</v>
      </c>
      <c r="M896" s="30">
        <f t="shared" si="88"/>
        <v>299</v>
      </c>
      <c r="N896" s="26" t="s">
        <v>32</v>
      </c>
      <c r="Q896" s="42" t="s">
        <v>1308</v>
      </c>
      <c r="R896" s="42" t="s">
        <v>101</v>
      </c>
      <c r="S896" s="57">
        <f t="shared" si="87"/>
        <v>46049</v>
      </c>
      <c r="T896" s="44" t="s">
        <v>15</v>
      </c>
      <c r="U896" s="43" t="s">
        <v>30</v>
      </c>
      <c r="V896" s="42" t="s">
        <v>106</v>
      </c>
      <c r="W896" s="45">
        <v>1</v>
      </c>
      <c r="X896" s="46">
        <v>299</v>
      </c>
      <c r="Y896" s="46">
        <v>0</v>
      </c>
      <c r="Z896" s="47">
        <f t="shared" si="89"/>
        <v>299</v>
      </c>
      <c r="AA896" s="48" t="s">
        <v>32</v>
      </c>
      <c r="AB896"/>
    </row>
    <row r="897" spans="1:28" x14ac:dyDescent="0.25">
      <c r="A897" s="31" t="s">
        <v>1309</v>
      </c>
      <c r="B897" s="31" t="s">
        <v>37</v>
      </c>
      <c r="C897" s="32" t="str">
        <f t="shared" si="84"/>
        <v>Patricia Gomes</v>
      </c>
      <c r="D897" s="38" t="s">
        <v>1691</v>
      </c>
      <c r="E897" s="33">
        <f t="shared" si="85"/>
        <v>46023</v>
      </c>
      <c r="F897" s="32" t="s">
        <v>22</v>
      </c>
      <c r="G897" s="32" t="str">
        <f t="shared" si="86"/>
        <v>Amanda Costa</v>
      </c>
      <c r="H897" s="32" t="s">
        <v>30</v>
      </c>
      <c r="I897" s="32" t="s">
        <v>106</v>
      </c>
      <c r="J897" s="34">
        <v>2</v>
      </c>
      <c r="K897" s="35">
        <v>299</v>
      </c>
      <c r="L897" s="35">
        <v>0</v>
      </c>
      <c r="M897" s="36">
        <f t="shared" si="88"/>
        <v>598</v>
      </c>
      <c r="N897" s="32" t="s">
        <v>25</v>
      </c>
      <c r="Q897" s="49" t="s">
        <v>1309</v>
      </c>
      <c r="R897" s="49" t="s">
        <v>37</v>
      </c>
      <c r="S897" s="58">
        <f t="shared" si="87"/>
        <v>46023</v>
      </c>
      <c r="T897" s="51" t="s">
        <v>22</v>
      </c>
      <c r="U897" s="50" t="s">
        <v>30</v>
      </c>
      <c r="V897" s="52" t="s">
        <v>106</v>
      </c>
      <c r="W897" s="53">
        <v>2</v>
      </c>
      <c r="X897" s="54">
        <v>299</v>
      </c>
      <c r="Y897" s="54">
        <v>0</v>
      </c>
      <c r="Z897" s="55">
        <f t="shared" si="89"/>
        <v>598</v>
      </c>
      <c r="AA897" s="56" t="s">
        <v>25</v>
      </c>
      <c r="AB897"/>
    </row>
    <row r="898" spans="1:28" x14ac:dyDescent="0.25">
      <c r="A898" s="26" t="s">
        <v>1310</v>
      </c>
      <c r="B898" s="26" t="s">
        <v>95</v>
      </c>
      <c r="C898" s="26" t="str">
        <f t="shared" si="84"/>
        <v>Maria Oliveira</v>
      </c>
      <c r="D898" s="37" t="s">
        <v>269</v>
      </c>
      <c r="E898" s="27">
        <f t="shared" si="85"/>
        <v>45871</v>
      </c>
      <c r="F898" s="26" t="s">
        <v>15</v>
      </c>
      <c r="G898" s="26" t="str">
        <f t="shared" si="86"/>
        <v>Larissa Dias</v>
      </c>
      <c r="H898" s="26" t="s">
        <v>16</v>
      </c>
      <c r="I898" s="26" t="s">
        <v>103</v>
      </c>
      <c r="J898" s="28">
        <v>3</v>
      </c>
      <c r="K898" s="29">
        <v>89</v>
      </c>
      <c r="L898" s="29">
        <v>0</v>
      </c>
      <c r="M898" s="30">
        <f t="shared" si="88"/>
        <v>267</v>
      </c>
      <c r="N898" s="26" t="s">
        <v>32</v>
      </c>
      <c r="Q898" s="42" t="s">
        <v>1310</v>
      </c>
      <c r="R898" s="42" t="s">
        <v>95</v>
      </c>
      <c r="S898" s="57">
        <f t="shared" si="87"/>
        <v>45871</v>
      </c>
      <c r="T898" s="44" t="s">
        <v>15</v>
      </c>
      <c r="U898" s="43" t="s">
        <v>16</v>
      </c>
      <c r="V898" s="42" t="s">
        <v>103</v>
      </c>
      <c r="W898" s="45">
        <v>3</v>
      </c>
      <c r="X898" s="46">
        <v>89</v>
      </c>
      <c r="Y898" s="46">
        <v>0</v>
      </c>
      <c r="Z898" s="47">
        <f t="shared" si="89"/>
        <v>267</v>
      </c>
      <c r="AA898" s="48" t="s">
        <v>32</v>
      </c>
      <c r="AB898"/>
    </row>
    <row r="899" spans="1:28" x14ac:dyDescent="0.25">
      <c r="A899" s="31" t="s">
        <v>1311</v>
      </c>
      <c r="B899" s="31" t="s">
        <v>63</v>
      </c>
      <c r="C899" s="32" t="str">
        <f t="shared" ref="C899:C962" si="90">SUBSTITUTE(SUBSTITUTE(SUBSTITUTE(SUBSTITUTE(PROPER(B899)," Da "," ")," De "," ")," Do "," ")," Dos "," ")</f>
        <v>Marcos Rodrigues</v>
      </c>
      <c r="D899" s="38" t="s">
        <v>85</v>
      </c>
      <c r="E899" s="33">
        <f t="shared" ref="E899:E962" si="91">DATEVALUE(D899)</f>
        <v>45715</v>
      </c>
      <c r="F899" s="32" t="s">
        <v>15</v>
      </c>
      <c r="G899" s="32" t="str">
        <f t="shared" ref="G899:G962" si="92">SUBSTITUTE(SUBSTITUTE(SUBSTITUTE(SUBSTITUTE(PROPER(F899)," Da "," ")," De "," ")," Do "," ")," Dos "," ")</f>
        <v>Larissa Dias</v>
      </c>
      <c r="H899" s="32" t="s">
        <v>30</v>
      </c>
      <c r="I899" s="32" t="s">
        <v>68</v>
      </c>
      <c r="J899" s="34">
        <v>1</v>
      </c>
      <c r="K899" s="35">
        <v>799</v>
      </c>
      <c r="L899" s="35">
        <v>0</v>
      </c>
      <c r="M899" s="36">
        <f t="shared" si="88"/>
        <v>799</v>
      </c>
      <c r="N899" s="32" t="s">
        <v>32</v>
      </c>
      <c r="Q899" s="49" t="s">
        <v>1311</v>
      </c>
      <c r="R899" s="49" t="s">
        <v>63</v>
      </c>
      <c r="S899" s="58">
        <f t="shared" si="87"/>
        <v>45715</v>
      </c>
      <c r="T899" s="51" t="s">
        <v>15</v>
      </c>
      <c r="U899" s="50" t="s">
        <v>30</v>
      </c>
      <c r="V899" s="52" t="s">
        <v>68</v>
      </c>
      <c r="W899" s="53">
        <v>1</v>
      </c>
      <c r="X899" s="54">
        <v>799</v>
      </c>
      <c r="Y899" s="54">
        <v>0</v>
      </c>
      <c r="Z899" s="55">
        <f t="shared" si="89"/>
        <v>799</v>
      </c>
      <c r="AA899" s="56" t="s">
        <v>32</v>
      </c>
      <c r="AB899"/>
    </row>
    <row r="900" spans="1:28" x14ac:dyDescent="0.25">
      <c r="A900" s="26" t="s">
        <v>1312</v>
      </c>
      <c r="B900" s="26" t="s">
        <v>95</v>
      </c>
      <c r="C900" s="26" t="str">
        <f t="shared" si="90"/>
        <v>Maria Oliveira</v>
      </c>
      <c r="D900" s="37" t="s">
        <v>473</v>
      </c>
      <c r="E900" s="27">
        <f t="shared" si="91"/>
        <v>45770</v>
      </c>
      <c r="F900" s="26" t="s">
        <v>29</v>
      </c>
      <c r="G900" s="26" t="str">
        <f t="shared" si="92"/>
        <v>Camila Rocha</v>
      </c>
      <c r="H900" s="26" t="s">
        <v>52</v>
      </c>
      <c r="I900" s="26" t="s">
        <v>61</v>
      </c>
      <c r="J900" s="28">
        <v>5</v>
      </c>
      <c r="K900" s="29">
        <v>199</v>
      </c>
      <c r="L900" s="29">
        <v>0</v>
      </c>
      <c r="M900" s="30">
        <f t="shared" si="88"/>
        <v>995</v>
      </c>
      <c r="N900" s="26" t="s">
        <v>32</v>
      </c>
      <c r="Q900" s="42" t="s">
        <v>1312</v>
      </c>
      <c r="R900" s="42" t="s">
        <v>95</v>
      </c>
      <c r="S900" s="57">
        <f t="shared" si="87"/>
        <v>45770</v>
      </c>
      <c r="T900" s="44" t="s">
        <v>29</v>
      </c>
      <c r="U900" s="43" t="s">
        <v>52</v>
      </c>
      <c r="V900" s="42" t="s">
        <v>61</v>
      </c>
      <c r="W900" s="45">
        <v>5</v>
      </c>
      <c r="X900" s="46">
        <v>199</v>
      </c>
      <c r="Y900" s="46">
        <v>0</v>
      </c>
      <c r="Z900" s="47">
        <f t="shared" si="89"/>
        <v>995</v>
      </c>
      <c r="AA900" s="48" t="s">
        <v>32</v>
      </c>
      <c r="AB900"/>
    </row>
    <row r="901" spans="1:28" x14ac:dyDescent="0.25">
      <c r="A901" s="31" t="s">
        <v>1313</v>
      </c>
      <c r="B901" s="31" t="s">
        <v>27</v>
      </c>
      <c r="C901" s="32" t="str">
        <f t="shared" si="90"/>
        <v>Roberto Santos</v>
      </c>
      <c r="D901" s="38" t="s">
        <v>809</v>
      </c>
      <c r="E901" s="33">
        <f t="shared" si="91"/>
        <v>45994</v>
      </c>
      <c r="F901" s="32" t="s">
        <v>29</v>
      </c>
      <c r="G901" s="32" t="str">
        <f t="shared" si="92"/>
        <v>Camila Rocha</v>
      </c>
      <c r="H901" s="32" t="s">
        <v>52</v>
      </c>
      <c r="I901" s="32" t="s">
        <v>61</v>
      </c>
      <c r="J901" s="34">
        <v>1</v>
      </c>
      <c r="K901" s="35">
        <v>199</v>
      </c>
      <c r="L901" s="35">
        <v>25.29</v>
      </c>
      <c r="M901" s="36">
        <f t="shared" si="88"/>
        <v>173.71</v>
      </c>
      <c r="N901" s="32" t="s">
        <v>32</v>
      </c>
      <c r="Q901" s="49" t="s">
        <v>1313</v>
      </c>
      <c r="R901" s="49" t="s">
        <v>27</v>
      </c>
      <c r="S901" s="58">
        <f t="shared" si="87"/>
        <v>45994</v>
      </c>
      <c r="T901" s="51" t="s">
        <v>29</v>
      </c>
      <c r="U901" s="50" t="s">
        <v>52</v>
      </c>
      <c r="V901" s="52" t="s">
        <v>61</v>
      </c>
      <c r="W901" s="53">
        <v>1</v>
      </c>
      <c r="X901" s="54">
        <v>199</v>
      </c>
      <c r="Y901" s="54">
        <v>25.29</v>
      </c>
      <c r="Z901" s="55">
        <f t="shared" si="89"/>
        <v>173.71</v>
      </c>
      <c r="AA901" s="56" t="s">
        <v>32</v>
      </c>
      <c r="AB901"/>
    </row>
    <row r="902" spans="1:28" x14ac:dyDescent="0.25">
      <c r="A902" s="26" t="s">
        <v>1314</v>
      </c>
      <c r="B902" s="26" t="s">
        <v>13</v>
      </c>
      <c r="C902" s="26" t="str">
        <f t="shared" si="90"/>
        <v>Lucas Almeida</v>
      </c>
      <c r="D902" s="37" t="s">
        <v>773</v>
      </c>
      <c r="E902" s="27">
        <f t="shared" si="91"/>
        <v>45815</v>
      </c>
      <c r="F902" s="26" t="s">
        <v>22</v>
      </c>
      <c r="G902" s="26" t="str">
        <f t="shared" si="92"/>
        <v>Amanda Costa</v>
      </c>
      <c r="H902" s="26" t="s">
        <v>30</v>
      </c>
      <c r="I902" s="26" t="s">
        <v>106</v>
      </c>
      <c r="J902" s="28">
        <v>4</v>
      </c>
      <c r="K902" s="29">
        <v>299</v>
      </c>
      <c r="L902" s="29">
        <v>154.54</v>
      </c>
      <c r="M902" s="30">
        <f t="shared" si="88"/>
        <v>1041.46</v>
      </c>
      <c r="N902" s="26" t="s">
        <v>32</v>
      </c>
      <c r="Q902" s="42" t="s">
        <v>1314</v>
      </c>
      <c r="R902" s="42" t="s">
        <v>13</v>
      </c>
      <c r="S902" s="57">
        <f t="shared" ref="S902:S965" si="93">DATEVALUE(D902)</f>
        <v>45815</v>
      </c>
      <c r="T902" s="44" t="s">
        <v>22</v>
      </c>
      <c r="U902" s="43" t="s">
        <v>30</v>
      </c>
      <c r="V902" s="42" t="s">
        <v>106</v>
      </c>
      <c r="W902" s="45">
        <v>4</v>
      </c>
      <c r="X902" s="46">
        <v>299</v>
      </c>
      <c r="Y902" s="46">
        <v>154.54</v>
      </c>
      <c r="Z902" s="47">
        <f t="shared" si="89"/>
        <v>1041.46</v>
      </c>
      <c r="AA902" s="48" t="s">
        <v>32</v>
      </c>
      <c r="AB902"/>
    </row>
    <row r="903" spans="1:28" x14ac:dyDescent="0.25">
      <c r="A903" s="31" t="s">
        <v>1315</v>
      </c>
      <c r="B903" s="31" t="s">
        <v>71</v>
      </c>
      <c r="C903" s="32" t="str">
        <f t="shared" si="90"/>
        <v>Juliana Costa</v>
      </c>
      <c r="D903" s="38" t="s">
        <v>288</v>
      </c>
      <c r="E903" s="33">
        <f t="shared" si="91"/>
        <v>45744</v>
      </c>
      <c r="F903" s="32" t="s">
        <v>29</v>
      </c>
      <c r="G903" s="32" t="str">
        <f t="shared" si="92"/>
        <v>Camila Rocha</v>
      </c>
      <c r="H903" s="32" t="s">
        <v>52</v>
      </c>
      <c r="I903" s="32" t="s">
        <v>61</v>
      </c>
      <c r="J903" s="34">
        <v>4</v>
      </c>
      <c r="K903" s="35">
        <v>199</v>
      </c>
      <c r="L903" s="35">
        <v>0</v>
      </c>
      <c r="M903" s="36">
        <f t="shared" si="88"/>
        <v>796</v>
      </c>
      <c r="N903" s="32" t="s">
        <v>25</v>
      </c>
      <c r="Q903" s="49" t="s">
        <v>1315</v>
      </c>
      <c r="R903" s="49" t="s">
        <v>71</v>
      </c>
      <c r="S903" s="58">
        <f t="shared" si="93"/>
        <v>45744</v>
      </c>
      <c r="T903" s="51" t="s">
        <v>29</v>
      </c>
      <c r="U903" s="50" t="s">
        <v>52</v>
      </c>
      <c r="V903" s="52" t="s">
        <v>61</v>
      </c>
      <c r="W903" s="53">
        <v>4</v>
      </c>
      <c r="X903" s="54">
        <v>199</v>
      </c>
      <c r="Y903" s="54">
        <v>0</v>
      </c>
      <c r="Z903" s="55">
        <f t="shared" si="89"/>
        <v>796</v>
      </c>
      <c r="AA903" s="56" t="s">
        <v>25</v>
      </c>
      <c r="AB903"/>
    </row>
    <row r="904" spans="1:28" x14ac:dyDescent="0.25">
      <c r="A904" s="26" t="s">
        <v>1316</v>
      </c>
      <c r="B904" s="26" t="s">
        <v>41</v>
      </c>
      <c r="C904" s="26" t="str">
        <f t="shared" si="90"/>
        <v>João Pereira</v>
      </c>
      <c r="D904" s="37" t="s">
        <v>155</v>
      </c>
      <c r="E904" s="27">
        <f t="shared" si="91"/>
        <v>45668</v>
      </c>
      <c r="F904" s="26" t="s">
        <v>15</v>
      </c>
      <c r="G904" s="26" t="str">
        <f t="shared" si="92"/>
        <v>Larissa Dias</v>
      </c>
      <c r="H904" s="26" t="s">
        <v>23</v>
      </c>
      <c r="I904" s="26" t="s">
        <v>43</v>
      </c>
      <c r="J904" s="28">
        <v>2</v>
      </c>
      <c r="K904" s="29">
        <v>350</v>
      </c>
      <c r="L904" s="29">
        <v>0</v>
      </c>
      <c r="M904" s="30">
        <f t="shared" si="88"/>
        <v>700</v>
      </c>
      <c r="N904" s="26" t="s">
        <v>89</v>
      </c>
      <c r="Q904" s="42" t="s">
        <v>1316</v>
      </c>
      <c r="R904" s="42" t="s">
        <v>41</v>
      </c>
      <c r="S904" s="57">
        <f t="shared" si="93"/>
        <v>45668</v>
      </c>
      <c r="T904" s="44" t="s">
        <v>15</v>
      </c>
      <c r="U904" s="43" t="s">
        <v>23</v>
      </c>
      <c r="V904" s="42" t="s">
        <v>43</v>
      </c>
      <c r="W904" s="45">
        <v>2</v>
      </c>
      <c r="X904" s="46">
        <v>350</v>
      </c>
      <c r="Y904" s="46">
        <v>0</v>
      </c>
      <c r="Z904" s="47">
        <f t="shared" si="89"/>
        <v>700</v>
      </c>
      <c r="AA904" s="48" t="s">
        <v>89</v>
      </c>
      <c r="AB904"/>
    </row>
    <row r="905" spans="1:28" x14ac:dyDescent="0.25">
      <c r="A905" s="31" t="s">
        <v>1317</v>
      </c>
      <c r="B905" s="31" t="s">
        <v>63</v>
      </c>
      <c r="C905" s="32" t="str">
        <f t="shared" si="90"/>
        <v>Marcos Rodrigues</v>
      </c>
      <c r="D905" s="38" t="s">
        <v>1318</v>
      </c>
      <c r="E905" s="33">
        <f t="shared" si="91"/>
        <v>45859</v>
      </c>
      <c r="F905" s="32" t="s">
        <v>29</v>
      </c>
      <c r="G905" s="32" t="str">
        <f t="shared" si="92"/>
        <v>Camila Rocha</v>
      </c>
      <c r="H905" s="32" t="s">
        <v>23</v>
      </c>
      <c r="I905" s="32" t="s">
        <v>24</v>
      </c>
      <c r="J905" s="34">
        <v>1</v>
      </c>
      <c r="K905" s="35">
        <v>180</v>
      </c>
      <c r="L905" s="35">
        <v>0</v>
      </c>
      <c r="M905" s="36">
        <f t="shared" si="88"/>
        <v>180</v>
      </c>
      <c r="N905" s="32" t="s">
        <v>25</v>
      </c>
      <c r="Q905" s="49" t="s">
        <v>1317</v>
      </c>
      <c r="R905" s="49" t="s">
        <v>63</v>
      </c>
      <c r="S905" s="58">
        <f t="shared" si="93"/>
        <v>45859</v>
      </c>
      <c r="T905" s="51" t="s">
        <v>29</v>
      </c>
      <c r="U905" s="50" t="s">
        <v>23</v>
      </c>
      <c r="V905" s="52" t="s">
        <v>24</v>
      </c>
      <c r="W905" s="53">
        <v>1</v>
      </c>
      <c r="X905" s="54">
        <v>180</v>
      </c>
      <c r="Y905" s="54">
        <v>0</v>
      </c>
      <c r="Z905" s="55">
        <f t="shared" si="89"/>
        <v>180</v>
      </c>
      <c r="AA905" s="56" t="s">
        <v>25</v>
      </c>
      <c r="AB905"/>
    </row>
    <row r="906" spans="1:28" x14ac:dyDescent="0.25">
      <c r="A906" s="26" t="s">
        <v>1319</v>
      </c>
      <c r="B906" s="26" t="s">
        <v>71</v>
      </c>
      <c r="C906" s="26" t="str">
        <f t="shared" si="90"/>
        <v>Juliana Costa</v>
      </c>
      <c r="D906" s="37" t="s">
        <v>255</v>
      </c>
      <c r="E906" s="27">
        <f t="shared" si="91"/>
        <v>46035</v>
      </c>
      <c r="F906" s="26" t="s">
        <v>22</v>
      </c>
      <c r="G906" s="26" t="str">
        <f t="shared" si="92"/>
        <v>Amanda Costa</v>
      </c>
      <c r="H906" s="26" t="s">
        <v>16</v>
      </c>
      <c r="I906" s="26" t="s">
        <v>78</v>
      </c>
      <c r="J906" s="28">
        <v>1</v>
      </c>
      <c r="K906" s="29">
        <v>59</v>
      </c>
      <c r="L906" s="29">
        <v>0</v>
      </c>
      <c r="M906" s="30">
        <f t="shared" si="88"/>
        <v>59</v>
      </c>
      <c r="N906" s="26" t="s">
        <v>44</v>
      </c>
      <c r="Q906" s="42" t="s">
        <v>1319</v>
      </c>
      <c r="R906" s="42" t="s">
        <v>71</v>
      </c>
      <c r="S906" s="57">
        <f t="shared" si="93"/>
        <v>46035</v>
      </c>
      <c r="T906" s="44" t="s">
        <v>22</v>
      </c>
      <c r="U906" s="43" t="s">
        <v>16</v>
      </c>
      <c r="V906" s="42" t="s">
        <v>78</v>
      </c>
      <c r="W906" s="45">
        <v>1</v>
      </c>
      <c r="X906" s="46">
        <v>59</v>
      </c>
      <c r="Y906" s="46">
        <v>0</v>
      </c>
      <c r="Z906" s="47">
        <f t="shared" si="89"/>
        <v>59</v>
      </c>
      <c r="AA906" s="48" t="s">
        <v>44</v>
      </c>
      <c r="AB906"/>
    </row>
    <row r="907" spans="1:28" x14ac:dyDescent="0.25">
      <c r="A907" s="31" t="s">
        <v>1320</v>
      </c>
      <c r="B907" s="31" t="s">
        <v>20</v>
      </c>
      <c r="C907" s="32" t="str">
        <f t="shared" si="90"/>
        <v>Beatriz Ribeiro</v>
      </c>
      <c r="D907" s="38" t="s">
        <v>1054</v>
      </c>
      <c r="E907" s="33">
        <f t="shared" si="91"/>
        <v>46040</v>
      </c>
      <c r="F907" s="32" t="s">
        <v>29</v>
      </c>
      <c r="G907" s="32" t="str">
        <f t="shared" si="92"/>
        <v>Camila Rocha</v>
      </c>
      <c r="H907" s="32" t="s">
        <v>52</v>
      </c>
      <c r="I907" s="32" t="s">
        <v>75</v>
      </c>
      <c r="J907" s="34">
        <v>3</v>
      </c>
      <c r="K907" s="35">
        <v>249</v>
      </c>
      <c r="L907" s="35">
        <v>0</v>
      </c>
      <c r="M907" s="36">
        <f t="shared" si="88"/>
        <v>747</v>
      </c>
      <c r="N907" s="32" t="s">
        <v>18</v>
      </c>
      <c r="Q907" s="49" t="s">
        <v>1320</v>
      </c>
      <c r="R907" s="49" t="s">
        <v>20</v>
      </c>
      <c r="S907" s="58">
        <f t="shared" si="93"/>
        <v>46040</v>
      </c>
      <c r="T907" s="51" t="s">
        <v>29</v>
      </c>
      <c r="U907" s="50" t="s">
        <v>52</v>
      </c>
      <c r="V907" s="52" t="s">
        <v>75</v>
      </c>
      <c r="W907" s="53">
        <v>3</v>
      </c>
      <c r="X907" s="54">
        <v>249</v>
      </c>
      <c r="Y907" s="54">
        <v>0</v>
      </c>
      <c r="Z907" s="55">
        <f t="shared" si="89"/>
        <v>747</v>
      </c>
      <c r="AA907" s="56" t="s">
        <v>18</v>
      </c>
      <c r="AB907"/>
    </row>
    <row r="908" spans="1:28" x14ac:dyDescent="0.25">
      <c r="A908" s="26" t="s">
        <v>1321</v>
      </c>
      <c r="B908" s="26" t="s">
        <v>55</v>
      </c>
      <c r="C908" s="26" t="str">
        <f t="shared" si="90"/>
        <v>Ricardo Carvalho</v>
      </c>
      <c r="D908" s="37" t="s">
        <v>1004</v>
      </c>
      <c r="E908" s="27">
        <f t="shared" si="91"/>
        <v>45725</v>
      </c>
      <c r="F908" s="26" t="s">
        <v>29</v>
      </c>
      <c r="G908" s="26" t="str">
        <f t="shared" si="92"/>
        <v>Camila Rocha</v>
      </c>
      <c r="H908" s="26" t="s">
        <v>30</v>
      </c>
      <c r="I908" s="26" t="s">
        <v>106</v>
      </c>
      <c r="J908" s="28">
        <v>4</v>
      </c>
      <c r="K908" s="29">
        <v>299</v>
      </c>
      <c r="L908" s="29">
        <v>98.6</v>
      </c>
      <c r="M908" s="30">
        <f t="shared" si="88"/>
        <v>1097.4000000000001</v>
      </c>
      <c r="N908" s="26" t="s">
        <v>18</v>
      </c>
      <c r="Q908" s="42" t="s">
        <v>1321</v>
      </c>
      <c r="R908" s="42" t="s">
        <v>55</v>
      </c>
      <c r="S908" s="57">
        <f t="shared" si="93"/>
        <v>45725</v>
      </c>
      <c r="T908" s="44" t="s">
        <v>29</v>
      </c>
      <c r="U908" s="43" t="s">
        <v>30</v>
      </c>
      <c r="V908" s="42" t="s">
        <v>106</v>
      </c>
      <c r="W908" s="45">
        <v>4</v>
      </c>
      <c r="X908" s="46">
        <v>299</v>
      </c>
      <c r="Y908" s="46">
        <v>98.6</v>
      </c>
      <c r="Z908" s="47">
        <f t="shared" si="89"/>
        <v>1097.4000000000001</v>
      </c>
      <c r="AA908" s="48" t="s">
        <v>18</v>
      </c>
      <c r="AB908"/>
    </row>
    <row r="909" spans="1:28" x14ac:dyDescent="0.25">
      <c r="A909" s="31" t="s">
        <v>1322</v>
      </c>
      <c r="B909" s="31" t="s">
        <v>41</v>
      </c>
      <c r="C909" s="32" t="str">
        <f t="shared" si="90"/>
        <v>João Pereira</v>
      </c>
      <c r="D909" s="38" t="s">
        <v>938</v>
      </c>
      <c r="E909" s="33">
        <f t="shared" si="91"/>
        <v>45845</v>
      </c>
      <c r="F909" s="32" t="s">
        <v>47</v>
      </c>
      <c r="G909" s="32" t="str">
        <f t="shared" si="92"/>
        <v>Bruno Martins</v>
      </c>
      <c r="H909" s="32" t="s">
        <v>23</v>
      </c>
      <c r="I909" s="32" t="s">
        <v>24</v>
      </c>
      <c r="J909" s="34">
        <v>2</v>
      </c>
      <c r="K909" s="35">
        <v>180</v>
      </c>
      <c r="L909" s="35">
        <v>35.619999999999997</v>
      </c>
      <c r="M909" s="36">
        <f>(J909*K909)-L909</f>
        <v>324.38</v>
      </c>
      <c r="N909" s="32" t="s">
        <v>25</v>
      </c>
      <c r="Q909" s="49" t="s">
        <v>1322</v>
      </c>
      <c r="R909" s="49" t="s">
        <v>41</v>
      </c>
      <c r="S909" s="58">
        <f t="shared" si="93"/>
        <v>45845</v>
      </c>
      <c r="T909" s="51" t="s">
        <v>47</v>
      </c>
      <c r="U909" s="50" t="s">
        <v>23</v>
      </c>
      <c r="V909" s="52" t="s">
        <v>24</v>
      </c>
      <c r="W909" s="53">
        <v>2</v>
      </c>
      <c r="X909" s="54">
        <v>180</v>
      </c>
      <c r="Y909" s="54">
        <v>35.619999999999997</v>
      </c>
      <c r="Z909" s="55">
        <f>(W909*X909)-Y909</f>
        <v>324.38</v>
      </c>
      <c r="AA909" s="56" t="s">
        <v>25</v>
      </c>
      <c r="AB909"/>
    </row>
    <row r="910" spans="1:28" x14ac:dyDescent="0.25">
      <c r="A910" s="26" t="s">
        <v>1323</v>
      </c>
      <c r="B910" s="26" t="s">
        <v>63</v>
      </c>
      <c r="C910" s="26" t="str">
        <f t="shared" si="90"/>
        <v>Marcos Rodrigues</v>
      </c>
      <c r="D910" s="37" t="s">
        <v>243</v>
      </c>
      <c r="E910" s="27">
        <f t="shared" si="91"/>
        <v>45880</v>
      </c>
      <c r="F910" s="26" t="s">
        <v>29</v>
      </c>
      <c r="G910" s="26" t="str">
        <f t="shared" si="92"/>
        <v>Camila Rocha</v>
      </c>
      <c r="H910" s="26" t="s">
        <v>23</v>
      </c>
      <c r="I910" s="26" t="s">
        <v>24</v>
      </c>
      <c r="J910" s="28">
        <v>1</v>
      </c>
      <c r="K910" s="29">
        <v>180</v>
      </c>
      <c r="L910" s="29">
        <v>0</v>
      </c>
      <c r="M910" s="30">
        <f t="shared" ref="M910:M939" si="94">(J910*K910)-L910</f>
        <v>180</v>
      </c>
      <c r="N910" s="26" t="s">
        <v>25</v>
      </c>
      <c r="Q910" s="42" t="s">
        <v>1323</v>
      </c>
      <c r="R910" s="42" t="s">
        <v>63</v>
      </c>
      <c r="S910" s="57">
        <f t="shared" si="93"/>
        <v>45880</v>
      </c>
      <c r="T910" s="44" t="s">
        <v>29</v>
      </c>
      <c r="U910" s="43" t="s">
        <v>23</v>
      </c>
      <c r="V910" s="42" t="s">
        <v>24</v>
      </c>
      <c r="W910" s="45">
        <v>1</v>
      </c>
      <c r="X910" s="46">
        <v>180</v>
      </c>
      <c r="Y910" s="46">
        <v>0</v>
      </c>
      <c r="Z910" s="47">
        <f t="shared" ref="Z910:Z939" si="95">(W910*X910)-Y910</f>
        <v>180</v>
      </c>
      <c r="AA910" s="48" t="s">
        <v>25</v>
      </c>
      <c r="AB910"/>
    </row>
    <row r="911" spans="1:28" x14ac:dyDescent="0.25">
      <c r="A911" s="31" t="s">
        <v>1324</v>
      </c>
      <c r="B911" s="31" t="s">
        <v>37</v>
      </c>
      <c r="C911" s="32" t="str">
        <f t="shared" si="90"/>
        <v>Patricia Gomes</v>
      </c>
      <c r="D911" s="38" t="s">
        <v>954</v>
      </c>
      <c r="E911" s="33">
        <f t="shared" si="91"/>
        <v>45953</v>
      </c>
      <c r="F911" s="32" t="s">
        <v>15</v>
      </c>
      <c r="G911" s="32" t="str">
        <f t="shared" si="92"/>
        <v>Larissa Dias</v>
      </c>
      <c r="H911" s="32" t="s">
        <v>30</v>
      </c>
      <c r="I911" s="32" t="s">
        <v>31</v>
      </c>
      <c r="J911" s="34">
        <v>5</v>
      </c>
      <c r="K911" s="35">
        <v>2500</v>
      </c>
      <c r="L911" s="35">
        <v>0</v>
      </c>
      <c r="M911" s="36">
        <f t="shared" si="94"/>
        <v>12500</v>
      </c>
      <c r="N911" s="32" t="s">
        <v>49</v>
      </c>
      <c r="Q911" s="49" t="s">
        <v>1324</v>
      </c>
      <c r="R911" s="49" t="s">
        <v>37</v>
      </c>
      <c r="S911" s="58">
        <f t="shared" si="93"/>
        <v>45953</v>
      </c>
      <c r="T911" s="51" t="s">
        <v>15</v>
      </c>
      <c r="U911" s="50" t="s">
        <v>30</v>
      </c>
      <c r="V911" s="52" t="s">
        <v>31</v>
      </c>
      <c r="W911" s="53">
        <v>5</v>
      </c>
      <c r="X911" s="54">
        <v>2500</v>
      </c>
      <c r="Y911" s="54">
        <v>0</v>
      </c>
      <c r="Z911" s="55">
        <f t="shared" si="95"/>
        <v>12500</v>
      </c>
      <c r="AA911" s="56" t="s">
        <v>49</v>
      </c>
      <c r="AB911"/>
    </row>
    <row r="912" spans="1:28" x14ac:dyDescent="0.25">
      <c r="A912" s="26" t="s">
        <v>1325</v>
      </c>
      <c r="B912" s="26" t="s">
        <v>95</v>
      </c>
      <c r="C912" s="26" t="str">
        <f t="shared" si="90"/>
        <v>Maria Oliveira</v>
      </c>
      <c r="D912" s="37" t="s">
        <v>684</v>
      </c>
      <c r="E912" s="27">
        <f t="shared" si="91"/>
        <v>45756</v>
      </c>
      <c r="F912" s="26" t="s">
        <v>15</v>
      </c>
      <c r="G912" s="26" t="str">
        <f t="shared" si="92"/>
        <v>Larissa Dias</v>
      </c>
      <c r="H912" s="26" t="s">
        <v>30</v>
      </c>
      <c r="I912" s="26" t="s">
        <v>31</v>
      </c>
      <c r="J912" s="28">
        <v>5</v>
      </c>
      <c r="K912" s="29">
        <v>2500</v>
      </c>
      <c r="L912" s="29">
        <v>0</v>
      </c>
      <c r="M912" s="30">
        <f t="shared" si="94"/>
        <v>12500</v>
      </c>
      <c r="N912" s="26" t="s">
        <v>65</v>
      </c>
      <c r="Q912" s="42" t="s">
        <v>1325</v>
      </c>
      <c r="R912" s="42" t="s">
        <v>95</v>
      </c>
      <c r="S912" s="57">
        <f t="shared" si="93"/>
        <v>45756</v>
      </c>
      <c r="T912" s="44" t="s">
        <v>15</v>
      </c>
      <c r="U912" s="43" t="s">
        <v>30</v>
      </c>
      <c r="V912" s="42" t="s">
        <v>31</v>
      </c>
      <c r="W912" s="45">
        <v>5</v>
      </c>
      <c r="X912" s="46">
        <v>2500</v>
      </c>
      <c r="Y912" s="46">
        <v>0</v>
      </c>
      <c r="Z912" s="47">
        <f t="shared" si="95"/>
        <v>12500</v>
      </c>
      <c r="AA912" s="48" t="s">
        <v>65</v>
      </c>
      <c r="AB912"/>
    </row>
    <row r="913" spans="1:28" x14ac:dyDescent="0.25">
      <c r="A913" s="31" t="s">
        <v>1326</v>
      </c>
      <c r="B913" s="31" t="s">
        <v>71</v>
      </c>
      <c r="C913" s="32" t="str">
        <f t="shared" si="90"/>
        <v>Juliana Costa</v>
      </c>
      <c r="D913" s="38" t="s">
        <v>435</v>
      </c>
      <c r="E913" s="33">
        <f t="shared" si="91"/>
        <v>46047</v>
      </c>
      <c r="F913" s="32" t="s">
        <v>15</v>
      </c>
      <c r="G913" s="32" t="str">
        <f t="shared" si="92"/>
        <v>Larissa Dias</v>
      </c>
      <c r="H913" s="32" t="s">
        <v>30</v>
      </c>
      <c r="I913" s="32" t="s">
        <v>152</v>
      </c>
      <c r="J913" s="34">
        <v>3</v>
      </c>
      <c r="K913" s="35">
        <v>4500</v>
      </c>
      <c r="L913" s="35">
        <v>45.28</v>
      </c>
      <c r="M913" s="36">
        <f t="shared" si="94"/>
        <v>13454.72</v>
      </c>
      <c r="N913" s="32" t="s">
        <v>89</v>
      </c>
      <c r="Q913" s="49" t="s">
        <v>1326</v>
      </c>
      <c r="R913" s="49" t="s">
        <v>71</v>
      </c>
      <c r="S913" s="58">
        <f t="shared" si="93"/>
        <v>46047</v>
      </c>
      <c r="T913" s="51" t="s">
        <v>15</v>
      </c>
      <c r="U913" s="50" t="s">
        <v>30</v>
      </c>
      <c r="V913" s="52" t="s">
        <v>152</v>
      </c>
      <c r="W913" s="53">
        <v>3</v>
      </c>
      <c r="X913" s="54">
        <v>4500</v>
      </c>
      <c r="Y913" s="54">
        <v>45.28</v>
      </c>
      <c r="Z913" s="55">
        <f t="shared" si="95"/>
        <v>13454.72</v>
      </c>
      <c r="AA913" s="56" t="s">
        <v>89</v>
      </c>
      <c r="AB913"/>
    </row>
    <row r="914" spans="1:28" x14ac:dyDescent="0.25">
      <c r="A914" s="26" t="s">
        <v>1327</v>
      </c>
      <c r="B914" s="26" t="s">
        <v>63</v>
      </c>
      <c r="C914" s="26" t="str">
        <f t="shared" si="90"/>
        <v>Marcos Rodrigues</v>
      </c>
      <c r="D914" s="37" t="s">
        <v>401</v>
      </c>
      <c r="E914" s="27">
        <f t="shared" si="91"/>
        <v>45772</v>
      </c>
      <c r="F914" s="26" t="s">
        <v>47</v>
      </c>
      <c r="G914" s="26" t="str">
        <f t="shared" si="92"/>
        <v>Bruno Martins</v>
      </c>
      <c r="H914" s="26" t="s">
        <v>52</v>
      </c>
      <c r="I914" s="26" t="s">
        <v>75</v>
      </c>
      <c r="J914" s="28">
        <v>4</v>
      </c>
      <c r="K914" s="29">
        <v>249</v>
      </c>
      <c r="L914" s="29">
        <v>148.77000000000001</v>
      </c>
      <c r="M914" s="30">
        <f t="shared" si="94"/>
        <v>847.23</v>
      </c>
      <c r="N914" s="26" t="s">
        <v>18</v>
      </c>
      <c r="Q914" s="42" t="s">
        <v>1327</v>
      </c>
      <c r="R914" s="42" t="s">
        <v>63</v>
      </c>
      <c r="S914" s="57">
        <f t="shared" si="93"/>
        <v>45772</v>
      </c>
      <c r="T914" s="44" t="s">
        <v>47</v>
      </c>
      <c r="U914" s="43" t="s">
        <v>52</v>
      </c>
      <c r="V914" s="42" t="s">
        <v>75</v>
      </c>
      <c r="W914" s="45">
        <v>4</v>
      </c>
      <c r="X914" s="46">
        <v>249</v>
      </c>
      <c r="Y914" s="46">
        <v>148.77000000000001</v>
      </c>
      <c r="Z914" s="47">
        <f t="shared" si="95"/>
        <v>847.23</v>
      </c>
      <c r="AA914" s="48" t="s">
        <v>18</v>
      </c>
      <c r="AB914"/>
    </row>
    <row r="915" spans="1:28" x14ac:dyDescent="0.25">
      <c r="A915" s="31" t="s">
        <v>1328</v>
      </c>
      <c r="B915" s="31" t="s">
        <v>55</v>
      </c>
      <c r="C915" s="32" t="str">
        <f t="shared" si="90"/>
        <v>Ricardo Carvalho</v>
      </c>
      <c r="D915" s="38" t="s">
        <v>401</v>
      </c>
      <c r="E915" s="33">
        <f t="shared" si="91"/>
        <v>45772</v>
      </c>
      <c r="F915" s="32" t="s">
        <v>47</v>
      </c>
      <c r="G915" s="32" t="str">
        <f t="shared" si="92"/>
        <v>Bruno Martins</v>
      </c>
      <c r="H915" s="32" t="s">
        <v>16</v>
      </c>
      <c r="I915" s="32" t="s">
        <v>17</v>
      </c>
      <c r="J915" s="34">
        <v>4</v>
      </c>
      <c r="K915" s="35">
        <v>39</v>
      </c>
      <c r="L915" s="35">
        <v>0</v>
      </c>
      <c r="M915" s="36">
        <f t="shared" si="94"/>
        <v>156</v>
      </c>
      <c r="N915" s="32" t="s">
        <v>32</v>
      </c>
      <c r="Q915" s="49" t="s">
        <v>1328</v>
      </c>
      <c r="R915" s="49" t="s">
        <v>55</v>
      </c>
      <c r="S915" s="58">
        <f t="shared" si="93"/>
        <v>45772</v>
      </c>
      <c r="T915" s="51" t="s">
        <v>47</v>
      </c>
      <c r="U915" s="50" t="s">
        <v>16</v>
      </c>
      <c r="V915" s="52" t="s">
        <v>17</v>
      </c>
      <c r="W915" s="53">
        <v>4</v>
      </c>
      <c r="X915" s="54">
        <v>39</v>
      </c>
      <c r="Y915" s="54">
        <v>0</v>
      </c>
      <c r="Z915" s="55">
        <f t="shared" si="95"/>
        <v>156</v>
      </c>
      <c r="AA915" s="56" t="s">
        <v>32</v>
      </c>
      <c r="AB915"/>
    </row>
    <row r="916" spans="1:28" x14ac:dyDescent="0.25">
      <c r="A916" s="26" t="s">
        <v>1329</v>
      </c>
      <c r="B916" s="26" t="s">
        <v>34</v>
      </c>
      <c r="C916" s="26" t="str">
        <f t="shared" si="90"/>
        <v>Carlos Silva</v>
      </c>
      <c r="D916" s="37" t="s">
        <v>828</v>
      </c>
      <c r="E916" s="27">
        <f t="shared" si="91"/>
        <v>45878</v>
      </c>
      <c r="F916" s="26" t="s">
        <v>29</v>
      </c>
      <c r="G916" s="26" t="str">
        <f t="shared" si="92"/>
        <v>Camila Rocha</v>
      </c>
      <c r="H916" s="26" t="s">
        <v>23</v>
      </c>
      <c r="I916" s="26" t="s">
        <v>88</v>
      </c>
      <c r="J916" s="28">
        <v>5</v>
      </c>
      <c r="K916" s="29">
        <v>650</v>
      </c>
      <c r="L916" s="29">
        <v>0</v>
      </c>
      <c r="M916" s="30">
        <f t="shared" si="94"/>
        <v>3250</v>
      </c>
      <c r="N916" s="26" t="s">
        <v>25</v>
      </c>
      <c r="Q916" s="42" t="s">
        <v>1329</v>
      </c>
      <c r="R916" s="42" t="s">
        <v>34</v>
      </c>
      <c r="S916" s="57">
        <f t="shared" si="93"/>
        <v>45878</v>
      </c>
      <c r="T916" s="44" t="s">
        <v>29</v>
      </c>
      <c r="U916" s="43" t="s">
        <v>23</v>
      </c>
      <c r="V916" s="42" t="s">
        <v>88</v>
      </c>
      <c r="W916" s="45">
        <v>5</v>
      </c>
      <c r="X916" s="46">
        <v>650</v>
      </c>
      <c r="Y916" s="46">
        <v>0</v>
      </c>
      <c r="Z916" s="47">
        <f t="shared" si="95"/>
        <v>3250</v>
      </c>
      <c r="AA916" s="48" t="s">
        <v>25</v>
      </c>
      <c r="AB916"/>
    </row>
    <row r="917" spans="1:28" x14ac:dyDescent="0.25">
      <c r="A917" s="31" t="s">
        <v>1330</v>
      </c>
      <c r="B917" s="31" t="s">
        <v>41</v>
      </c>
      <c r="C917" s="32" t="str">
        <f t="shared" si="90"/>
        <v>João Pereira</v>
      </c>
      <c r="D917" s="38" t="s">
        <v>1331</v>
      </c>
      <c r="E917" s="33">
        <f t="shared" si="91"/>
        <v>45698</v>
      </c>
      <c r="F917" s="32" t="s">
        <v>29</v>
      </c>
      <c r="G917" s="32" t="str">
        <f t="shared" si="92"/>
        <v>Camila Rocha</v>
      </c>
      <c r="H917" s="32" t="s">
        <v>23</v>
      </c>
      <c r="I917" s="32" t="s">
        <v>43</v>
      </c>
      <c r="J917" s="34">
        <v>3</v>
      </c>
      <c r="K917" s="35">
        <v>350</v>
      </c>
      <c r="L917" s="35">
        <v>0</v>
      </c>
      <c r="M917" s="36">
        <f t="shared" si="94"/>
        <v>1050</v>
      </c>
      <c r="N917" s="32" t="s">
        <v>18</v>
      </c>
      <c r="Q917" s="49" t="s">
        <v>1330</v>
      </c>
      <c r="R917" s="49" t="s">
        <v>41</v>
      </c>
      <c r="S917" s="58">
        <f t="shared" si="93"/>
        <v>45698</v>
      </c>
      <c r="T917" s="51" t="s">
        <v>29</v>
      </c>
      <c r="U917" s="50" t="s">
        <v>23</v>
      </c>
      <c r="V917" s="52" t="s">
        <v>43</v>
      </c>
      <c r="W917" s="53">
        <v>3</v>
      </c>
      <c r="X917" s="54">
        <v>350</v>
      </c>
      <c r="Y917" s="54">
        <v>0</v>
      </c>
      <c r="Z917" s="55">
        <f t="shared" si="95"/>
        <v>1050</v>
      </c>
      <c r="AA917" s="56" t="s">
        <v>18</v>
      </c>
      <c r="AB917"/>
    </row>
    <row r="918" spans="1:28" x14ac:dyDescent="0.25">
      <c r="A918" s="26" t="s">
        <v>1332</v>
      </c>
      <c r="B918" s="26" t="s">
        <v>13</v>
      </c>
      <c r="C918" s="26" t="str">
        <f t="shared" si="90"/>
        <v>Lucas Almeida</v>
      </c>
      <c r="D918" s="37" t="s">
        <v>148</v>
      </c>
      <c r="E918" s="27">
        <f t="shared" si="91"/>
        <v>45798</v>
      </c>
      <c r="F918" s="26" t="s">
        <v>39</v>
      </c>
      <c r="G918" s="26" t="str">
        <f t="shared" si="92"/>
        <v>Rodrigo Mello</v>
      </c>
      <c r="H918" s="26" t="s">
        <v>16</v>
      </c>
      <c r="I918" s="26" t="s">
        <v>78</v>
      </c>
      <c r="J918" s="28">
        <v>3</v>
      </c>
      <c r="K918" s="29">
        <v>59</v>
      </c>
      <c r="L918" s="29">
        <v>0</v>
      </c>
      <c r="M918" s="30">
        <f t="shared" si="94"/>
        <v>177</v>
      </c>
      <c r="N918" s="26" t="s">
        <v>25</v>
      </c>
      <c r="Q918" s="42" t="s">
        <v>1332</v>
      </c>
      <c r="R918" s="42" t="s">
        <v>13</v>
      </c>
      <c r="S918" s="57">
        <f t="shared" si="93"/>
        <v>45798</v>
      </c>
      <c r="T918" s="44" t="s">
        <v>39</v>
      </c>
      <c r="U918" s="43" t="s">
        <v>16</v>
      </c>
      <c r="V918" s="42" t="s">
        <v>78</v>
      </c>
      <c r="W918" s="45">
        <v>3</v>
      </c>
      <c r="X918" s="46">
        <v>59</v>
      </c>
      <c r="Y918" s="46">
        <v>0</v>
      </c>
      <c r="Z918" s="47">
        <f t="shared" si="95"/>
        <v>177</v>
      </c>
      <c r="AA918" s="48" t="s">
        <v>25</v>
      </c>
      <c r="AB918"/>
    </row>
    <row r="919" spans="1:28" x14ac:dyDescent="0.25">
      <c r="A919" s="31" t="s">
        <v>1333</v>
      </c>
      <c r="B919" s="31" t="s">
        <v>13</v>
      </c>
      <c r="C919" s="32" t="str">
        <f t="shared" si="90"/>
        <v>Lucas Almeida</v>
      </c>
      <c r="D919" s="38" t="s">
        <v>523</v>
      </c>
      <c r="E919" s="33">
        <f t="shared" si="91"/>
        <v>45979</v>
      </c>
      <c r="F919" s="32" t="s">
        <v>15</v>
      </c>
      <c r="G919" s="32" t="str">
        <f t="shared" si="92"/>
        <v>Larissa Dias</v>
      </c>
      <c r="H919" s="32" t="s">
        <v>30</v>
      </c>
      <c r="I919" s="32" t="s">
        <v>152</v>
      </c>
      <c r="J919" s="34">
        <v>2</v>
      </c>
      <c r="K919" s="35">
        <v>4500</v>
      </c>
      <c r="L919" s="35">
        <v>659.98</v>
      </c>
      <c r="M919" s="36">
        <f t="shared" si="94"/>
        <v>8340.02</v>
      </c>
      <c r="N919" s="32" t="s">
        <v>49</v>
      </c>
      <c r="Q919" s="49" t="s">
        <v>1333</v>
      </c>
      <c r="R919" s="49" t="s">
        <v>13</v>
      </c>
      <c r="S919" s="58">
        <f t="shared" si="93"/>
        <v>45979</v>
      </c>
      <c r="T919" s="51" t="s">
        <v>15</v>
      </c>
      <c r="U919" s="50" t="s">
        <v>30</v>
      </c>
      <c r="V919" s="52" t="s">
        <v>152</v>
      </c>
      <c r="W919" s="53">
        <v>2</v>
      </c>
      <c r="X919" s="54">
        <v>4500</v>
      </c>
      <c r="Y919" s="54">
        <v>659.98</v>
      </c>
      <c r="Z919" s="55">
        <f t="shared" si="95"/>
        <v>8340.02</v>
      </c>
      <c r="AA919" s="56" t="s">
        <v>49</v>
      </c>
      <c r="AB919"/>
    </row>
    <row r="920" spans="1:28" x14ac:dyDescent="0.25">
      <c r="A920" s="26" t="s">
        <v>1334</v>
      </c>
      <c r="B920" s="26" t="s">
        <v>95</v>
      </c>
      <c r="C920" s="26" t="str">
        <f t="shared" si="90"/>
        <v>Maria Oliveira</v>
      </c>
      <c r="D920" s="37" t="s">
        <v>388</v>
      </c>
      <c r="E920" s="27">
        <f t="shared" si="91"/>
        <v>45790</v>
      </c>
      <c r="F920" s="26" t="s">
        <v>47</v>
      </c>
      <c r="G920" s="26" t="str">
        <f t="shared" si="92"/>
        <v>Bruno Martins</v>
      </c>
      <c r="H920" s="26" t="s">
        <v>30</v>
      </c>
      <c r="I920" s="26" t="s">
        <v>152</v>
      </c>
      <c r="J920" s="28">
        <v>1</v>
      </c>
      <c r="K920" s="29">
        <v>4500</v>
      </c>
      <c r="L920" s="29">
        <v>484.93</v>
      </c>
      <c r="M920" s="30">
        <f t="shared" si="94"/>
        <v>4015.07</v>
      </c>
      <c r="N920" s="26" t="s">
        <v>49</v>
      </c>
      <c r="Q920" s="42" t="s">
        <v>1334</v>
      </c>
      <c r="R920" s="42" t="s">
        <v>95</v>
      </c>
      <c r="S920" s="57">
        <f t="shared" si="93"/>
        <v>45790</v>
      </c>
      <c r="T920" s="44" t="s">
        <v>47</v>
      </c>
      <c r="U920" s="43" t="s">
        <v>30</v>
      </c>
      <c r="V920" s="42" t="s">
        <v>152</v>
      </c>
      <c r="W920" s="45">
        <v>1</v>
      </c>
      <c r="X920" s="46">
        <v>4500</v>
      </c>
      <c r="Y920" s="46">
        <v>484.93</v>
      </c>
      <c r="Z920" s="47">
        <f t="shared" si="95"/>
        <v>4015.07</v>
      </c>
      <c r="AA920" s="48" t="s">
        <v>49</v>
      </c>
      <c r="AB920"/>
    </row>
    <row r="921" spans="1:28" x14ac:dyDescent="0.25">
      <c r="A921" s="31" t="s">
        <v>1335</v>
      </c>
      <c r="B921" s="31" t="s">
        <v>55</v>
      </c>
      <c r="C921" s="32" t="str">
        <f t="shared" si="90"/>
        <v>Ricardo Carvalho</v>
      </c>
      <c r="D921" s="38" t="s">
        <v>726</v>
      </c>
      <c r="E921" s="33">
        <f t="shared" si="91"/>
        <v>45690</v>
      </c>
      <c r="F921" s="32" t="s">
        <v>15</v>
      </c>
      <c r="G921" s="32" t="str">
        <f t="shared" si="92"/>
        <v>Larissa Dias</v>
      </c>
      <c r="H921" s="32" t="s">
        <v>23</v>
      </c>
      <c r="I921" s="32" t="s">
        <v>43</v>
      </c>
      <c r="J921" s="34">
        <v>2</v>
      </c>
      <c r="K921" s="35">
        <v>350</v>
      </c>
      <c r="L921" s="35">
        <v>0</v>
      </c>
      <c r="M921" s="36">
        <f t="shared" si="94"/>
        <v>700</v>
      </c>
      <c r="N921" s="32" t="s">
        <v>25</v>
      </c>
      <c r="Q921" s="49" t="s">
        <v>1335</v>
      </c>
      <c r="R921" s="49" t="s">
        <v>55</v>
      </c>
      <c r="S921" s="58">
        <f t="shared" si="93"/>
        <v>45690</v>
      </c>
      <c r="T921" s="51" t="s">
        <v>15</v>
      </c>
      <c r="U921" s="50" t="s">
        <v>23</v>
      </c>
      <c r="V921" s="52" t="s">
        <v>43</v>
      </c>
      <c r="W921" s="53">
        <v>2</v>
      </c>
      <c r="X921" s="54">
        <v>350</v>
      </c>
      <c r="Y921" s="54">
        <v>0</v>
      </c>
      <c r="Z921" s="55">
        <f t="shared" si="95"/>
        <v>700</v>
      </c>
      <c r="AA921" s="56" t="s">
        <v>25</v>
      </c>
      <c r="AB921"/>
    </row>
    <row r="922" spans="1:28" x14ac:dyDescent="0.25">
      <c r="A922" s="26" t="s">
        <v>1336</v>
      </c>
      <c r="B922" s="26" t="s">
        <v>13</v>
      </c>
      <c r="C922" s="26" t="str">
        <f t="shared" si="90"/>
        <v>Lucas Almeida</v>
      </c>
      <c r="D922" s="37" t="s">
        <v>473</v>
      </c>
      <c r="E922" s="27">
        <f t="shared" si="91"/>
        <v>45770</v>
      </c>
      <c r="F922" s="26" t="s">
        <v>29</v>
      </c>
      <c r="G922" s="26" t="str">
        <f t="shared" si="92"/>
        <v>Camila Rocha</v>
      </c>
      <c r="H922" s="26" t="s">
        <v>52</v>
      </c>
      <c r="I922" s="26" t="s">
        <v>75</v>
      </c>
      <c r="J922" s="28">
        <v>3</v>
      </c>
      <c r="K922" s="29">
        <v>249</v>
      </c>
      <c r="L922" s="29">
        <v>0</v>
      </c>
      <c r="M922" s="30">
        <f t="shared" si="94"/>
        <v>747</v>
      </c>
      <c r="N922" s="26" t="s">
        <v>32</v>
      </c>
      <c r="Q922" s="42" t="s">
        <v>1336</v>
      </c>
      <c r="R922" s="42" t="s">
        <v>13</v>
      </c>
      <c r="S922" s="57">
        <f t="shared" si="93"/>
        <v>45770</v>
      </c>
      <c r="T922" s="44" t="s">
        <v>29</v>
      </c>
      <c r="U922" s="43" t="s">
        <v>52</v>
      </c>
      <c r="V922" s="42" t="s">
        <v>75</v>
      </c>
      <c r="W922" s="45">
        <v>3</v>
      </c>
      <c r="X922" s="46">
        <v>249</v>
      </c>
      <c r="Y922" s="46">
        <v>0</v>
      </c>
      <c r="Z922" s="47">
        <f t="shared" si="95"/>
        <v>747</v>
      </c>
      <c r="AA922" s="48" t="s">
        <v>32</v>
      </c>
      <c r="AB922"/>
    </row>
    <row r="923" spans="1:28" x14ac:dyDescent="0.25">
      <c r="A923" s="31" t="s">
        <v>1337</v>
      </c>
      <c r="B923" s="31" t="s">
        <v>101</v>
      </c>
      <c r="C923" s="32" t="str">
        <f t="shared" si="90"/>
        <v>Ana Souza</v>
      </c>
      <c r="D923" s="38" t="s">
        <v>443</v>
      </c>
      <c r="E923" s="33">
        <f t="shared" si="91"/>
        <v>45934</v>
      </c>
      <c r="F923" s="32" t="s">
        <v>15</v>
      </c>
      <c r="G923" s="32" t="str">
        <f t="shared" si="92"/>
        <v>Larissa Dias</v>
      </c>
      <c r="H923" s="32" t="s">
        <v>23</v>
      </c>
      <c r="I923" s="32" t="s">
        <v>48</v>
      </c>
      <c r="J923" s="34">
        <v>4</v>
      </c>
      <c r="K923" s="35">
        <v>450</v>
      </c>
      <c r="L923" s="35">
        <v>0</v>
      </c>
      <c r="M923" s="36">
        <f t="shared" si="94"/>
        <v>1800</v>
      </c>
      <c r="N923" s="32" t="s">
        <v>49</v>
      </c>
      <c r="Q923" s="49" t="s">
        <v>1337</v>
      </c>
      <c r="R923" s="49" t="s">
        <v>101</v>
      </c>
      <c r="S923" s="58">
        <f t="shared" si="93"/>
        <v>45934</v>
      </c>
      <c r="T923" s="51" t="s">
        <v>15</v>
      </c>
      <c r="U923" s="50" t="s">
        <v>23</v>
      </c>
      <c r="V923" s="52" t="s">
        <v>48</v>
      </c>
      <c r="W923" s="53">
        <v>4</v>
      </c>
      <c r="X923" s="54">
        <v>450</v>
      </c>
      <c r="Y923" s="54">
        <v>0</v>
      </c>
      <c r="Z923" s="55">
        <f t="shared" si="95"/>
        <v>1800</v>
      </c>
      <c r="AA923" s="56" t="s">
        <v>49</v>
      </c>
      <c r="AB923"/>
    </row>
    <row r="924" spans="1:28" x14ac:dyDescent="0.25">
      <c r="A924" s="26" t="s">
        <v>1338</v>
      </c>
      <c r="B924" s="26" t="s">
        <v>20</v>
      </c>
      <c r="C924" s="26" t="str">
        <f t="shared" si="90"/>
        <v>Beatriz Ribeiro</v>
      </c>
      <c r="D924" s="37" t="s">
        <v>409</v>
      </c>
      <c r="E924" s="27">
        <f t="shared" si="91"/>
        <v>45885</v>
      </c>
      <c r="F924" s="26" t="s">
        <v>15</v>
      </c>
      <c r="G924" s="26" t="str">
        <f t="shared" si="92"/>
        <v>Larissa Dias</v>
      </c>
      <c r="H924" s="26" t="s">
        <v>52</v>
      </c>
      <c r="I924" s="26" t="s">
        <v>75</v>
      </c>
      <c r="J924" s="28">
        <v>4</v>
      </c>
      <c r="K924" s="29">
        <v>249</v>
      </c>
      <c r="L924" s="29">
        <v>0</v>
      </c>
      <c r="M924" s="30">
        <f t="shared" si="94"/>
        <v>996</v>
      </c>
      <c r="N924" s="26" t="s">
        <v>49</v>
      </c>
      <c r="Q924" s="42" t="s">
        <v>1338</v>
      </c>
      <c r="R924" s="42" t="s">
        <v>20</v>
      </c>
      <c r="S924" s="57">
        <f t="shared" si="93"/>
        <v>45885</v>
      </c>
      <c r="T924" s="44" t="s">
        <v>15</v>
      </c>
      <c r="U924" s="43" t="s">
        <v>52</v>
      </c>
      <c r="V924" s="42" t="s">
        <v>75</v>
      </c>
      <c r="W924" s="45">
        <v>4</v>
      </c>
      <c r="X924" s="46">
        <v>249</v>
      </c>
      <c r="Y924" s="46">
        <v>0</v>
      </c>
      <c r="Z924" s="47">
        <f t="shared" si="95"/>
        <v>996</v>
      </c>
      <c r="AA924" s="48" t="s">
        <v>49</v>
      </c>
      <c r="AB924"/>
    </row>
    <row r="925" spans="1:28" x14ac:dyDescent="0.25">
      <c r="A925" s="31" t="s">
        <v>1339</v>
      </c>
      <c r="B925" s="31" t="s">
        <v>63</v>
      </c>
      <c r="C925" s="32" t="str">
        <f t="shared" si="90"/>
        <v>Marcos Rodrigues</v>
      </c>
      <c r="D925" s="38" t="s">
        <v>1340</v>
      </c>
      <c r="E925" s="33">
        <f t="shared" si="91"/>
        <v>45680</v>
      </c>
      <c r="F925" s="32" t="s">
        <v>39</v>
      </c>
      <c r="G925" s="32" t="str">
        <f t="shared" si="92"/>
        <v>Rodrigo Mello</v>
      </c>
      <c r="H925" s="32" t="s">
        <v>16</v>
      </c>
      <c r="I925" s="32" t="s">
        <v>78</v>
      </c>
      <c r="J925" s="34">
        <v>5</v>
      </c>
      <c r="K925" s="35">
        <v>59</v>
      </c>
      <c r="L925" s="35">
        <v>0</v>
      </c>
      <c r="M925" s="36">
        <f t="shared" si="94"/>
        <v>295</v>
      </c>
      <c r="N925" s="32" t="s">
        <v>18</v>
      </c>
      <c r="Q925" s="49" t="s">
        <v>1339</v>
      </c>
      <c r="R925" s="49" t="s">
        <v>63</v>
      </c>
      <c r="S925" s="58">
        <f t="shared" si="93"/>
        <v>45680</v>
      </c>
      <c r="T925" s="51" t="s">
        <v>39</v>
      </c>
      <c r="U925" s="50" t="s">
        <v>16</v>
      </c>
      <c r="V925" s="52" t="s">
        <v>78</v>
      </c>
      <c r="W925" s="53">
        <v>5</v>
      </c>
      <c r="X925" s="54">
        <v>59</v>
      </c>
      <c r="Y925" s="54">
        <v>0</v>
      </c>
      <c r="Z925" s="55">
        <f t="shared" si="95"/>
        <v>295</v>
      </c>
      <c r="AA925" s="56" t="s">
        <v>18</v>
      </c>
      <c r="AB925"/>
    </row>
    <row r="926" spans="1:28" x14ac:dyDescent="0.25">
      <c r="A926" s="26" t="s">
        <v>1341</v>
      </c>
      <c r="B926" s="26" t="s">
        <v>37</v>
      </c>
      <c r="C926" s="26" t="str">
        <f t="shared" si="90"/>
        <v>Patricia Gomes</v>
      </c>
      <c r="D926" s="37" t="s">
        <v>792</v>
      </c>
      <c r="E926" s="27">
        <f t="shared" si="91"/>
        <v>45739</v>
      </c>
      <c r="F926" s="26" t="s">
        <v>39</v>
      </c>
      <c r="G926" s="26" t="str">
        <f t="shared" si="92"/>
        <v>Rodrigo Mello</v>
      </c>
      <c r="H926" s="26" t="s">
        <v>52</v>
      </c>
      <c r="I926" s="26" t="s">
        <v>61</v>
      </c>
      <c r="J926" s="28">
        <v>3</v>
      </c>
      <c r="K926" s="29">
        <v>199</v>
      </c>
      <c r="L926" s="29">
        <v>42.86</v>
      </c>
      <c r="M926" s="30">
        <f t="shared" si="94"/>
        <v>554.14</v>
      </c>
      <c r="N926" s="26" t="s">
        <v>44</v>
      </c>
      <c r="Q926" s="42" t="s">
        <v>1341</v>
      </c>
      <c r="R926" s="42" t="s">
        <v>37</v>
      </c>
      <c r="S926" s="57">
        <f t="shared" si="93"/>
        <v>45739</v>
      </c>
      <c r="T926" s="44" t="s">
        <v>39</v>
      </c>
      <c r="U926" s="43" t="s">
        <v>52</v>
      </c>
      <c r="V926" s="42" t="s">
        <v>61</v>
      </c>
      <c r="W926" s="45">
        <v>3</v>
      </c>
      <c r="X926" s="46">
        <v>199</v>
      </c>
      <c r="Y926" s="46">
        <v>42.86</v>
      </c>
      <c r="Z926" s="47">
        <f t="shared" si="95"/>
        <v>554.14</v>
      </c>
      <c r="AA926" s="48" t="s">
        <v>44</v>
      </c>
      <c r="AB926"/>
    </row>
    <row r="927" spans="1:28" x14ac:dyDescent="0.25">
      <c r="A927" s="31" t="s">
        <v>1342</v>
      </c>
      <c r="B927" s="31" t="s">
        <v>20</v>
      </c>
      <c r="C927" s="32" t="str">
        <f t="shared" si="90"/>
        <v>Beatriz Ribeiro</v>
      </c>
      <c r="D927" s="38" t="s">
        <v>144</v>
      </c>
      <c r="E927" s="33">
        <f t="shared" si="91"/>
        <v>45923</v>
      </c>
      <c r="F927" s="32" t="s">
        <v>47</v>
      </c>
      <c r="G927" s="32" t="str">
        <f t="shared" si="92"/>
        <v>Bruno Martins</v>
      </c>
      <c r="H927" s="32" t="s">
        <v>30</v>
      </c>
      <c r="I927" s="32" t="s">
        <v>31</v>
      </c>
      <c r="J927" s="34">
        <v>1</v>
      </c>
      <c r="K927" s="35">
        <v>2500</v>
      </c>
      <c r="L927" s="35">
        <v>34.57</v>
      </c>
      <c r="M927" s="36">
        <f t="shared" si="94"/>
        <v>2465.4299999999998</v>
      </c>
      <c r="N927" s="32" t="s">
        <v>32</v>
      </c>
      <c r="Q927" s="49" t="s">
        <v>1342</v>
      </c>
      <c r="R927" s="49" t="s">
        <v>20</v>
      </c>
      <c r="S927" s="58">
        <f t="shared" si="93"/>
        <v>45923</v>
      </c>
      <c r="T927" s="51" t="s">
        <v>47</v>
      </c>
      <c r="U927" s="50" t="s">
        <v>30</v>
      </c>
      <c r="V927" s="52" t="s">
        <v>31</v>
      </c>
      <c r="W927" s="53">
        <v>1</v>
      </c>
      <c r="X927" s="54">
        <v>2500</v>
      </c>
      <c r="Y927" s="54">
        <v>34.57</v>
      </c>
      <c r="Z927" s="55">
        <f t="shared" si="95"/>
        <v>2465.4299999999998</v>
      </c>
      <c r="AA927" s="56" t="s">
        <v>32</v>
      </c>
      <c r="AB927"/>
    </row>
    <row r="928" spans="1:28" x14ac:dyDescent="0.25">
      <c r="A928" s="26" t="s">
        <v>1343</v>
      </c>
      <c r="B928" s="26" t="s">
        <v>55</v>
      </c>
      <c r="C928" s="26" t="str">
        <f t="shared" si="90"/>
        <v>Ricardo Carvalho</v>
      </c>
      <c r="D928" s="37" t="s">
        <v>601</v>
      </c>
      <c r="E928" s="27">
        <f t="shared" si="91"/>
        <v>45831</v>
      </c>
      <c r="F928" s="26" t="s">
        <v>29</v>
      </c>
      <c r="G928" s="26" t="str">
        <f t="shared" si="92"/>
        <v>Camila Rocha</v>
      </c>
      <c r="H928" s="26" t="s">
        <v>23</v>
      </c>
      <c r="I928" s="26" t="s">
        <v>43</v>
      </c>
      <c r="J928" s="28">
        <v>4</v>
      </c>
      <c r="K928" s="29">
        <v>350</v>
      </c>
      <c r="L928" s="29">
        <v>114.27</v>
      </c>
      <c r="M928" s="30">
        <f t="shared" si="94"/>
        <v>1285.73</v>
      </c>
      <c r="N928" s="26" t="s">
        <v>32</v>
      </c>
      <c r="Q928" s="42" t="s">
        <v>1343</v>
      </c>
      <c r="R928" s="42" t="s">
        <v>55</v>
      </c>
      <c r="S928" s="57">
        <f t="shared" si="93"/>
        <v>45831</v>
      </c>
      <c r="T928" s="44" t="s">
        <v>29</v>
      </c>
      <c r="U928" s="43" t="s">
        <v>23</v>
      </c>
      <c r="V928" s="42" t="s">
        <v>43</v>
      </c>
      <c r="W928" s="45">
        <v>4</v>
      </c>
      <c r="X928" s="46">
        <v>350</v>
      </c>
      <c r="Y928" s="46">
        <v>114.27</v>
      </c>
      <c r="Z928" s="47">
        <f t="shared" si="95"/>
        <v>1285.73</v>
      </c>
      <c r="AA928" s="48" t="s">
        <v>32</v>
      </c>
      <c r="AB928"/>
    </row>
    <row r="929" spans="1:28" x14ac:dyDescent="0.25">
      <c r="A929" s="31" t="s">
        <v>1344</v>
      </c>
      <c r="B929" s="31" t="s">
        <v>34</v>
      </c>
      <c r="C929" s="32" t="str">
        <f t="shared" si="90"/>
        <v>Carlos Silva</v>
      </c>
      <c r="D929" s="38" t="s">
        <v>280</v>
      </c>
      <c r="E929" s="33">
        <f t="shared" si="91"/>
        <v>45893</v>
      </c>
      <c r="F929" s="32" t="s">
        <v>47</v>
      </c>
      <c r="G929" s="32" t="str">
        <f t="shared" si="92"/>
        <v>Bruno Martins</v>
      </c>
      <c r="H929" s="32" t="s">
        <v>16</v>
      </c>
      <c r="I929" s="32" t="s">
        <v>17</v>
      </c>
      <c r="J929" s="34">
        <v>5</v>
      </c>
      <c r="K929" s="35">
        <v>39</v>
      </c>
      <c r="L929" s="35">
        <v>21.47</v>
      </c>
      <c r="M929" s="36">
        <f t="shared" si="94"/>
        <v>173.53</v>
      </c>
      <c r="N929" s="32" t="s">
        <v>69</v>
      </c>
      <c r="Q929" s="49" t="s">
        <v>1344</v>
      </c>
      <c r="R929" s="49" t="s">
        <v>34</v>
      </c>
      <c r="S929" s="58">
        <f t="shared" si="93"/>
        <v>45893</v>
      </c>
      <c r="T929" s="51" t="s">
        <v>47</v>
      </c>
      <c r="U929" s="50" t="s">
        <v>16</v>
      </c>
      <c r="V929" s="52" t="s">
        <v>17</v>
      </c>
      <c r="W929" s="53">
        <v>5</v>
      </c>
      <c r="X929" s="54">
        <v>39</v>
      </c>
      <c r="Y929" s="54">
        <v>21.47</v>
      </c>
      <c r="Z929" s="55">
        <f t="shared" si="95"/>
        <v>173.53</v>
      </c>
      <c r="AA929" s="56" t="s">
        <v>69</v>
      </c>
      <c r="AB929"/>
    </row>
    <row r="930" spans="1:28" x14ac:dyDescent="0.25">
      <c r="A930" s="26" t="s">
        <v>1345</v>
      </c>
      <c r="B930" s="26" t="s">
        <v>55</v>
      </c>
      <c r="C930" s="26" t="str">
        <f t="shared" si="90"/>
        <v>Ricardo Carvalho</v>
      </c>
      <c r="D930" s="37" t="s">
        <v>1238</v>
      </c>
      <c r="E930" s="27">
        <f t="shared" si="91"/>
        <v>45667</v>
      </c>
      <c r="F930" s="26" t="s">
        <v>39</v>
      </c>
      <c r="G930" s="26" t="str">
        <f t="shared" si="92"/>
        <v>Rodrigo Mello</v>
      </c>
      <c r="H930" s="26" t="s">
        <v>52</v>
      </c>
      <c r="I930" s="26" t="s">
        <v>61</v>
      </c>
      <c r="J930" s="28">
        <v>3</v>
      </c>
      <c r="K930" s="29">
        <v>199</v>
      </c>
      <c r="L930" s="29">
        <v>0</v>
      </c>
      <c r="M930" s="30">
        <f t="shared" si="94"/>
        <v>597</v>
      </c>
      <c r="N930" s="26" t="s">
        <v>32</v>
      </c>
      <c r="Q930" s="42" t="s">
        <v>1345</v>
      </c>
      <c r="R930" s="42" t="s">
        <v>55</v>
      </c>
      <c r="S930" s="57">
        <f t="shared" si="93"/>
        <v>45667</v>
      </c>
      <c r="T930" s="44" t="s">
        <v>39</v>
      </c>
      <c r="U930" s="43" t="s">
        <v>52</v>
      </c>
      <c r="V930" s="42" t="s">
        <v>61</v>
      </c>
      <c r="W930" s="45">
        <v>3</v>
      </c>
      <c r="X930" s="46">
        <v>199</v>
      </c>
      <c r="Y930" s="46">
        <v>0</v>
      </c>
      <c r="Z930" s="47">
        <f t="shared" si="95"/>
        <v>597</v>
      </c>
      <c r="AA930" s="48" t="s">
        <v>32</v>
      </c>
      <c r="AB930"/>
    </row>
    <row r="931" spans="1:28" x14ac:dyDescent="0.25">
      <c r="A931" s="31" t="s">
        <v>1346</v>
      </c>
      <c r="B931" s="31" t="s">
        <v>101</v>
      </c>
      <c r="C931" s="32" t="str">
        <f t="shared" si="90"/>
        <v>Ana Souza</v>
      </c>
      <c r="D931" s="38" t="s">
        <v>14</v>
      </c>
      <c r="E931" s="33">
        <f t="shared" si="91"/>
        <v>45918</v>
      </c>
      <c r="F931" s="32" t="s">
        <v>22</v>
      </c>
      <c r="G931" s="32" t="str">
        <f t="shared" si="92"/>
        <v>Amanda Costa</v>
      </c>
      <c r="H931" s="32" t="s">
        <v>23</v>
      </c>
      <c r="I931" s="32" t="s">
        <v>24</v>
      </c>
      <c r="J931" s="34">
        <v>4</v>
      </c>
      <c r="K931" s="35">
        <v>180</v>
      </c>
      <c r="L931" s="35">
        <v>0</v>
      </c>
      <c r="M931" s="36">
        <f t="shared" si="94"/>
        <v>720</v>
      </c>
      <c r="N931" s="32" t="s">
        <v>25</v>
      </c>
      <c r="Q931" s="49" t="s">
        <v>1346</v>
      </c>
      <c r="R931" s="49" t="s">
        <v>101</v>
      </c>
      <c r="S931" s="58">
        <f t="shared" si="93"/>
        <v>45918</v>
      </c>
      <c r="T931" s="51" t="s">
        <v>22</v>
      </c>
      <c r="U931" s="50" t="s">
        <v>23</v>
      </c>
      <c r="V931" s="52" t="s">
        <v>24</v>
      </c>
      <c r="W931" s="53">
        <v>4</v>
      </c>
      <c r="X931" s="54">
        <v>180</v>
      </c>
      <c r="Y931" s="54">
        <v>0</v>
      </c>
      <c r="Z931" s="55">
        <f t="shared" si="95"/>
        <v>720</v>
      </c>
      <c r="AA931" s="56" t="s">
        <v>25</v>
      </c>
      <c r="AB931"/>
    </row>
    <row r="932" spans="1:28" x14ac:dyDescent="0.25">
      <c r="A932" s="26" t="s">
        <v>1347</v>
      </c>
      <c r="B932" s="26" t="s">
        <v>71</v>
      </c>
      <c r="C932" s="26" t="str">
        <f t="shared" si="90"/>
        <v>Juliana Costa</v>
      </c>
      <c r="D932" s="37" t="s">
        <v>998</v>
      </c>
      <c r="E932" s="27">
        <f t="shared" si="91"/>
        <v>45881</v>
      </c>
      <c r="F932" s="26" t="s">
        <v>39</v>
      </c>
      <c r="G932" s="26" t="str">
        <f t="shared" si="92"/>
        <v>Rodrigo Mello</v>
      </c>
      <c r="H932" s="26" t="s">
        <v>52</v>
      </c>
      <c r="I932" s="26" t="s">
        <v>99</v>
      </c>
      <c r="J932" s="28">
        <v>2</v>
      </c>
      <c r="K932" s="29">
        <v>79</v>
      </c>
      <c r="L932" s="29">
        <v>0</v>
      </c>
      <c r="M932" s="30">
        <f t="shared" si="94"/>
        <v>158</v>
      </c>
      <c r="N932" s="26" t="s">
        <v>69</v>
      </c>
      <c r="Q932" s="42" t="s">
        <v>1347</v>
      </c>
      <c r="R932" s="42" t="s">
        <v>71</v>
      </c>
      <c r="S932" s="57">
        <f t="shared" si="93"/>
        <v>45881</v>
      </c>
      <c r="T932" s="44" t="s">
        <v>39</v>
      </c>
      <c r="U932" s="43" t="s">
        <v>52</v>
      </c>
      <c r="V932" s="42" t="s">
        <v>99</v>
      </c>
      <c r="W932" s="45">
        <v>2</v>
      </c>
      <c r="X932" s="46">
        <v>79</v>
      </c>
      <c r="Y932" s="46">
        <v>0</v>
      </c>
      <c r="Z932" s="47">
        <f t="shared" si="95"/>
        <v>158</v>
      </c>
      <c r="AA932" s="48" t="s">
        <v>69</v>
      </c>
      <c r="AB932"/>
    </row>
    <row r="933" spans="1:28" x14ac:dyDescent="0.25">
      <c r="A933" s="31" t="s">
        <v>1348</v>
      </c>
      <c r="B933" s="31" t="s">
        <v>34</v>
      </c>
      <c r="C933" s="32" t="str">
        <f t="shared" si="90"/>
        <v>Carlos Silva</v>
      </c>
      <c r="D933" s="38" t="s">
        <v>768</v>
      </c>
      <c r="E933" s="33">
        <f t="shared" si="91"/>
        <v>45855</v>
      </c>
      <c r="F933" s="32" t="s">
        <v>15</v>
      </c>
      <c r="G933" s="32" t="str">
        <f t="shared" si="92"/>
        <v>Larissa Dias</v>
      </c>
      <c r="H933" s="32" t="s">
        <v>52</v>
      </c>
      <c r="I933" s="32" t="s">
        <v>53</v>
      </c>
      <c r="J933" s="34">
        <v>2</v>
      </c>
      <c r="K933" s="35">
        <v>149</v>
      </c>
      <c r="L933" s="35">
        <v>0</v>
      </c>
      <c r="M933" s="36">
        <f t="shared" si="94"/>
        <v>298</v>
      </c>
      <c r="N933" s="32" t="s">
        <v>65</v>
      </c>
      <c r="Q933" s="49" t="s">
        <v>1348</v>
      </c>
      <c r="R933" s="49" t="s">
        <v>34</v>
      </c>
      <c r="S933" s="58">
        <f t="shared" si="93"/>
        <v>45855</v>
      </c>
      <c r="T933" s="51" t="s">
        <v>15</v>
      </c>
      <c r="U933" s="50" t="s">
        <v>52</v>
      </c>
      <c r="V933" s="52" t="s">
        <v>53</v>
      </c>
      <c r="W933" s="53">
        <v>2</v>
      </c>
      <c r="X933" s="54">
        <v>149</v>
      </c>
      <c r="Y933" s="54">
        <v>0</v>
      </c>
      <c r="Z933" s="55">
        <f t="shared" si="95"/>
        <v>298</v>
      </c>
      <c r="AA933" s="56" t="s">
        <v>65</v>
      </c>
      <c r="AB933"/>
    </row>
    <row r="934" spans="1:28" x14ac:dyDescent="0.25">
      <c r="A934" s="26" t="s">
        <v>1349</v>
      </c>
      <c r="B934" s="26" t="s">
        <v>55</v>
      </c>
      <c r="C934" s="26" t="str">
        <f t="shared" si="90"/>
        <v>Ricardo Carvalho</v>
      </c>
      <c r="D934" s="37" t="s">
        <v>1350</v>
      </c>
      <c r="E934" s="27">
        <f t="shared" si="91"/>
        <v>45835</v>
      </c>
      <c r="F934" s="26" t="s">
        <v>22</v>
      </c>
      <c r="G934" s="26" t="str">
        <f t="shared" si="92"/>
        <v>Amanda Costa</v>
      </c>
      <c r="H934" s="26" t="s">
        <v>16</v>
      </c>
      <c r="I934" s="26" t="s">
        <v>17</v>
      </c>
      <c r="J934" s="28">
        <v>4</v>
      </c>
      <c r="K934" s="29">
        <v>39</v>
      </c>
      <c r="L934" s="29">
        <v>6.95</v>
      </c>
      <c r="M934" s="30">
        <f t="shared" si="94"/>
        <v>149.05000000000001</v>
      </c>
      <c r="N934" s="26" t="s">
        <v>25</v>
      </c>
      <c r="Q934" s="42" t="s">
        <v>1349</v>
      </c>
      <c r="R934" s="42" t="s">
        <v>55</v>
      </c>
      <c r="S934" s="57">
        <f t="shared" si="93"/>
        <v>45835</v>
      </c>
      <c r="T934" s="44" t="s">
        <v>22</v>
      </c>
      <c r="U934" s="43" t="s">
        <v>16</v>
      </c>
      <c r="V934" s="42" t="s">
        <v>17</v>
      </c>
      <c r="W934" s="45">
        <v>4</v>
      </c>
      <c r="X934" s="46">
        <v>39</v>
      </c>
      <c r="Y934" s="46">
        <v>6.95</v>
      </c>
      <c r="Z934" s="47">
        <f t="shared" si="95"/>
        <v>149.05000000000001</v>
      </c>
      <c r="AA934" s="48" t="s">
        <v>25</v>
      </c>
      <c r="AB934"/>
    </row>
    <row r="935" spans="1:28" x14ac:dyDescent="0.25">
      <c r="A935" s="31" t="s">
        <v>1351</v>
      </c>
      <c r="B935" s="31" t="s">
        <v>20</v>
      </c>
      <c r="C935" s="32" t="str">
        <f t="shared" si="90"/>
        <v>Beatriz Ribeiro</v>
      </c>
      <c r="D935" s="38" t="s">
        <v>1352</v>
      </c>
      <c r="E935" s="33">
        <f t="shared" si="91"/>
        <v>45786</v>
      </c>
      <c r="F935" s="32" t="s">
        <v>47</v>
      </c>
      <c r="G935" s="32" t="str">
        <f t="shared" si="92"/>
        <v>Bruno Martins</v>
      </c>
      <c r="H935" s="32" t="s">
        <v>23</v>
      </c>
      <c r="I935" s="32" t="s">
        <v>24</v>
      </c>
      <c r="J935" s="34">
        <v>5</v>
      </c>
      <c r="K935" s="35">
        <v>180</v>
      </c>
      <c r="L935" s="35">
        <v>72.58</v>
      </c>
      <c r="M935" s="36">
        <f t="shared" si="94"/>
        <v>827.42</v>
      </c>
      <c r="N935" s="32" t="s">
        <v>49</v>
      </c>
      <c r="Q935" s="49" t="s">
        <v>1351</v>
      </c>
      <c r="R935" s="49" t="s">
        <v>20</v>
      </c>
      <c r="S935" s="58">
        <f t="shared" si="93"/>
        <v>45786</v>
      </c>
      <c r="T935" s="51" t="s">
        <v>47</v>
      </c>
      <c r="U935" s="50" t="s">
        <v>23</v>
      </c>
      <c r="V935" s="52" t="s">
        <v>24</v>
      </c>
      <c r="W935" s="53">
        <v>5</v>
      </c>
      <c r="X935" s="54">
        <v>180</v>
      </c>
      <c r="Y935" s="54">
        <v>72.58</v>
      </c>
      <c r="Z935" s="55">
        <f t="shared" si="95"/>
        <v>827.42</v>
      </c>
      <c r="AA935" s="56" t="s">
        <v>49</v>
      </c>
      <c r="AB935"/>
    </row>
    <row r="936" spans="1:28" x14ac:dyDescent="0.25">
      <c r="A936" s="26" t="s">
        <v>1353</v>
      </c>
      <c r="B936" s="26" t="s">
        <v>110</v>
      </c>
      <c r="C936" s="26" t="str">
        <f t="shared" si="90"/>
        <v>Fernanda Lima</v>
      </c>
      <c r="D936" s="37" t="s">
        <v>342</v>
      </c>
      <c r="E936" s="27">
        <f t="shared" si="91"/>
        <v>45973</v>
      </c>
      <c r="F936" s="26" t="s">
        <v>47</v>
      </c>
      <c r="G936" s="26" t="str">
        <f t="shared" si="92"/>
        <v>Bruno Martins</v>
      </c>
      <c r="H936" s="26" t="s">
        <v>23</v>
      </c>
      <c r="I936" s="26" t="s">
        <v>24</v>
      </c>
      <c r="J936" s="28">
        <v>3</v>
      </c>
      <c r="K936" s="29">
        <v>180</v>
      </c>
      <c r="L936" s="29">
        <v>45.3</v>
      </c>
      <c r="M936" s="30">
        <f t="shared" si="94"/>
        <v>494.7</v>
      </c>
      <c r="N936" s="26" t="s">
        <v>65</v>
      </c>
      <c r="Q936" s="42" t="s">
        <v>1353</v>
      </c>
      <c r="R936" s="42" t="s">
        <v>110</v>
      </c>
      <c r="S936" s="57">
        <f t="shared" si="93"/>
        <v>45973</v>
      </c>
      <c r="T936" s="44" t="s">
        <v>47</v>
      </c>
      <c r="U936" s="43" t="s">
        <v>23</v>
      </c>
      <c r="V936" s="42" t="s">
        <v>24</v>
      </c>
      <c r="W936" s="45">
        <v>3</v>
      </c>
      <c r="X936" s="46">
        <v>180</v>
      </c>
      <c r="Y936" s="46">
        <v>45.3</v>
      </c>
      <c r="Z936" s="47">
        <f t="shared" si="95"/>
        <v>494.7</v>
      </c>
      <c r="AA936" s="48" t="s">
        <v>65</v>
      </c>
      <c r="AB936"/>
    </row>
    <row r="937" spans="1:28" x14ac:dyDescent="0.25">
      <c r="A937" s="31" t="s">
        <v>1354</v>
      </c>
      <c r="B937" s="31" t="s">
        <v>37</v>
      </c>
      <c r="C937" s="32" t="str">
        <f t="shared" si="90"/>
        <v>Patricia Gomes</v>
      </c>
      <c r="D937" s="38" t="s">
        <v>527</v>
      </c>
      <c r="E937" s="33">
        <f t="shared" si="91"/>
        <v>45767</v>
      </c>
      <c r="F937" s="32" t="s">
        <v>29</v>
      </c>
      <c r="G937" s="32" t="str">
        <f t="shared" si="92"/>
        <v>Camila Rocha</v>
      </c>
      <c r="H937" s="32" t="s">
        <v>52</v>
      </c>
      <c r="I937" s="32" t="s">
        <v>53</v>
      </c>
      <c r="J937" s="34">
        <v>3</v>
      </c>
      <c r="K937" s="35">
        <v>149</v>
      </c>
      <c r="L937" s="35">
        <v>2.79</v>
      </c>
      <c r="M937" s="36">
        <f t="shared" si="94"/>
        <v>444.21</v>
      </c>
      <c r="N937" s="32" t="s">
        <v>49</v>
      </c>
      <c r="Q937" s="49" t="s">
        <v>1354</v>
      </c>
      <c r="R937" s="49" t="s">
        <v>37</v>
      </c>
      <c r="S937" s="58">
        <f t="shared" si="93"/>
        <v>45767</v>
      </c>
      <c r="T937" s="51" t="s">
        <v>29</v>
      </c>
      <c r="U937" s="50" t="s">
        <v>52</v>
      </c>
      <c r="V937" s="52" t="s">
        <v>53</v>
      </c>
      <c r="W937" s="53">
        <v>3</v>
      </c>
      <c r="X937" s="54">
        <v>149</v>
      </c>
      <c r="Y937" s="54">
        <v>2.79</v>
      </c>
      <c r="Z937" s="55">
        <f t="shared" si="95"/>
        <v>444.21</v>
      </c>
      <c r="AA937" s="56" t="s">
        <v>49</v>
      </c>
      <c r="AB937"/>
    </row>
    <row r="938" spans="1:28" x14ac:dyDescent="0.25">
      <c r="A938" s="26" t="s">
        <v>1355</v>
      </c>
      <c r="B938" s="26" t="s">
        <v>134</v>
      </c>
      <c r="C938" s="26" t="str">
        <f t="shared" si="90"/>
        <v>Ana Souza</v>
      </c>
      <c r="D938" s="37" t="s">
        <v>280</v>
      </c>
      <c r="E938" s="27">
        <f t="shared" si="91"/>
        <v>45893</v>
      </c>
      <c r="F938" s="26" t="s">
        <v>47</v>
      </c>
      <c r="G938" s="26" t="str">
        <f t="shared" si="92"/>
        <v>Bruno Martins</v>
      </c>
      <c r="H938" s="26" t="s">
        <v>52</v>
      </c>
      <c r="I938" s="26" t="s">
        <v>53</v>
      </c>
      <c r="J938" s="28">
        <v>2</v>
      </c>
      <c r="K938" s="29">
        <v>149</v>
      </c>
      <c r="L938" s="29">
        <v>0</v>
      </c>
      <c r="M938" s="30">
        <f t="shared" si="94"/>
        <v>298</v>
      </c>
      <c r="N938" s="26" t="s">
        <v>18</v>
      </c>
      <c r="Q938" s="42" t="s">
        <v>1355</v>
      </c>
      <c r="R938" s="42" t="s">
        <v>101</v>
      </c>
      <c r="S938" s="57">
        <f t="shared" si="93"/>
        <v>45893</v>
      </c>
      <c r="T938" s="44" t="s">
        <v>47</v>
      </c>
      <c r="U938" s="43" t="s">
        <v>52</v>
      </c>
      <c r="V938" s="42" t="s">
        <v>53</v>
      </c>
      <c r="W938" s="45">
        <v>2</v>
      </c>
      <c r="X938" s="46">
        <v>149</v>
      </c>
      <c r="Y938" s="46">
        <v>0</v>
      </c>
      <c r="Z938" s="47">
        <f t="shared" si="95"/>
        <v>298</v>
      </c>
      <c r="AA938" s="48" t="s">
        <v>18</v>
      </c>
      <c r="AB938"/>
    </row>
    <row r="939" spans="1:28" x14ac:dyDescent="0.25">
      <c r="A939" s="31" t="s">
        <v>1356</v>
      </c>
      <c r="B939" s="31" t="s">
        <v>101</v>
      </c>
      <c r="C939" s="32" t="str">
        <f t="shared" si="90"/>
        <v>Ana Souza</v>
      </c>
      <c r="D939" s="38" t="s">
        <v>697</v>
      </c>
      <c r="E939" s="33">
        <f t="shared" si="91"/>
        <v>45927</v>
      </c>
      <c r="F939" s="32" t="s">
        <v>29</v>
      </c>
      <c r="G939" s="32" t="str">
        <f t="shared" si="92"/>
        <v>Camila Rocha</v>
      </c>
      <c r="H939" s="32" t="s">
        <v>16</v>
      </c>
      <c r="I939" s="32" t="s">
        <v>116</v>
      </c>
      <c r="J939" s="34">
        <v>2</v>
      </c>
      <c r="K939" s="35">
        <v>45</v>
      </c>
      <c r="L939" s="35">
        <v>7.96</v>
      </c>
      <c r="M939" s="36">
        <f t="shared" si="94"/>
        <v>82.04</v>
      </c>
      <c r="N939" s="32" t="s">
        <v>65</v>
      </c>
      <c r="Q939" s="49" t="s">
        <v>1356</v>
      </c>
      <c r="R939" s="49" t="s">
        <v>101</v>
      </c>
      <c r="S939" s="58">
        <f t="shared" si="93"/>
        <v>45927</v>
      </c>
      <c r="T939" s="51" t="s">
        <v>29</v>
      </c>
      <c r="U939" s="50" t="s">
        <v>16</v>
      </c>
      <c r="V939" s="52" t="s">
        <v>116</v>
      </c>
      <c r="W939" s="53">
        <v>2</v>
      </c>
      <c r="X939" s="54">
        <v>45</v>
      </c>
      <c r="Y939" s="54">
        <v>7.96</v>
      </c>
      <c r="Z939" s="55">
        <f t="shared" si="95"/>
        <v>82.04</v>
      </c>
      <c r="AA939" s="56" t="s">
        <v>65</v>
      </c>
      <c r="AB939"/>
    </row>
    <row r="940" spans="1:28" x14ac:dyDescent="0.25">
      <c r="A940" s="26" t="s">
        <v>1357</v>
      </c>
      <c r="B940" s="26" t="s">
        <v>95</v>
      </c>
      <c r="C940" s="26" t="str">
        <f t="shared" si="90"/>
        <v>Maria Oliveira</v>
      </c>
      <c r="D940" s="37" t="s">
        <v>531</v>
      </c>
      <c r="E940" s="27">
        <f t="shared" si="91"/>
        <v>45754</v>
      </c>
      <c r="F940" s="26" t="s">
        <v>39</v>
      </c>
      <c r="G940" s="26" t="str">
        <f t="shared" si="92"/>
        <v>Rodrigo Mello</v>
      </c>
      <c r="H940" s="26" t="s">
        <v>23</v>
      </c>
      <c r="I940" s="26" t="s">
        <v>24</v>
      </c>
      <c r="J940" s="28">
        <v>1</v>
      </c>
      <c r="K940" s="29">
        <v>180</v>
      </c>
      <c r="L940" s="29">
        <v>10</v>
      </c>
      <c r="M940" s="30">
        <f>J940*K940-L940</f>
        <v>170</v>
      </c>
      <c r="N940" s="26" t="s">
        <v>44</v>
      </c>
      <c r="Q940" s="42" t="s">
        <v>1357</v>
      </c>
      <c r="R940" s="42" t="s">
        <v>95</v>
      </c>
      <c r="S940" s="57">
        <f t="shared" si="93"/>
        <v>45754</v>
      </c>
      <c r="T940" s="44" t="s">
        <v>39</v>
      </c>
      <c r="U940" s="43" t="s">
        <v>23</v>
      </c>
      <c r="V940" s="42" t="s">
        <v>24</v>
      </c>
      <c r="W940" s="45">
        <v>1</v>
      </c>
      <c r="X940" s="46">
        <v>180</v>
      </c>
      <c r="Y940" s="46">
        <v>10</v>
      </c>
      <c r="Z940" s="47">
        <f>W940*X940-Y940</f>
        <v>170</v>
      </c>
      <c r="AA940" s="48" t="s">
        <v>44</v>
      </c>
      <c r="AB940"/>
    </row>
    <row r="941" spans="1:28" x14ac:dyDescent="0.25">
      <c r="A941" s="31" t="s">
        <v>1358</v>
      </c>
      <c r="B941" s="31" t="s">
        <v>277</v>
      </c>
      <c r="C941" s="32" t="str">
        <f t="shared" si="90"/>
        <v>Carlos Silva</v>
      </c>
      <c r="D941" s="38" t="s">
        <v>74</v>
      </c>
      <c r="E941" s="33">
        <f t="shared" si="91"/>
        <v>45942</v>
      </c>
      <c r="F941" s="32" t="s">
        <v>47</v>
      </c>
      <c r="G941" s="32" t="str">
        <f t="shared" si="92"/>
        <v>Bruno Martins</v>
      </c>
      <c r="H941" s="32" t="s">
        <v>16</v>
      </c>
      <c r="I941" s="32" t="s">
        <v>78</v>
      </c>
      <c r="J941" s="34">
        <v>1</v>
      </c>
      <c r="K941" s="35">
        <v>59</v>
      </c>
      <c r="L941" s="35">
        <v>6.01</v>
      </c>
      <c r="M941" s="36">
        <f t="shared" ref="M941:M952" si="96">(J941*K941)-L941</f>
        <v>52.99</v>
      </c>
      <c r="N941" s="32" t="s">
        <v>49</v>
      </c>
      <c r="Q941" s="49" t="s">
        <v>1358</v>
      </c>
      <c r="R941" s="49" t="s">
        <v>34</v>
      </c>
      <c r="S941" s="58">
        <f t="shared" si="93"/>
        <v>45942</v>
      </c>
      <c r="T941" s="51" t="s">
        <v>47</v>
      </c>
      <c r="U941" s="50" t="s">
        <v>16</v>
      </c>
      <c r="V941" s="52" t="s">
        <v>78</v>
      </c>
      <c r="W941" s="53">
        <v>1</v>
      </c>
      <c r="X941" s="54">
        <v>59</v>
      </c>
      <c r="Y941" s="54">
        <v>6.01</v>
      </c>
      <c r="Z941" s="55">
        <f t="shared" ref="Z941:Z952" si="97">(W941*X941)-Y941</f>
        <v>52.99</v>
      </c>
      <c r="AA941" s="56" t="s">
        <v>49</v>
      </c>
      <c r="AB941"/>
    </row>
    <row r="942" spans="1:28" x14ac:dyDescent="0.25">
      <c r="A942" s="26" t="s">
        <v>1359</v>
      </c>
      <c r="B942" s="26" t="s">
        <v>41</v>
      </c>
      <c r="C942" s="26" t="str">
        <f t="shared" si="90"/>
        <v>João Pereira</v>
      </c>
      <c r="D942" s="37" t="s">
        <v>186</v>
      </c>
      <c r="E942" s="27">
        <f t="shared" si="91"/>
        <v>45792</v>
      </c>
      <c r="F942" s="26" t="s">
        <v>29</v>
      </c>
      <c r="G942" s="26" t="str">
        <f t="shared" si="92"/>
        <v>Camila Rocha</v>
      </c>
      <c r="H942" s="26" t="s">
        <v>23</v>
      </c>
      <c r="I942" s="26" t="s">
        <v>43</v>
      </c>
      <c r="J942" s="28">
        <v>5</v>
      </c>
      <c r="K942" s="29">
        <v>350</v>
      </c>
      <c r="L942" s="29">
        <v>0</v>
      </c>
      <c r="M942" s="30">
        <f t="shared" si="96"/>
        <v>1750</v>
      </c>
      <c r="N942" s="26" t="s">
        <v>65</v>
      </c>
      <c r="Q942" s="42" t="s">
        <v>1359</v>
      </c>
      <c r="R942" s="42" t="s">
        <v>41</v>
      </c>
      <c r="S942" s="57">
        <f t="shared" si="93"/>
        <v>45792</v>
      </c>
      <c r="T942" s="44" t="s">
        <v>29</v>
      </c>
      <c r="U942" s="43" t="s">
        <v>23</v>
      </c>
      <c r="V942" s="42" t="s">
        <v>43</v>
      </c>
      <c r="W942" s="45">
        <v>5</v>
      </c>
      <c r="X942" s="46">
        <v>350</v>
      </c>
      <c r="Y942" s="46">
        <v>0</v>
      </c>
      <c r="Z942" s="47">
        <f t="shared" si="97"/>
        <v>1750</v>
      </c>
      <c r="AA942" s="48" t="s">
        <v>65</v>
      </c>
      <c r="AB942"/>
    </row>
    <row r="943" spans="1:28" x14ac:dyDescent="0.25">
      <c r="A943" s="31" t="s">
        <v>1360</v>
      </c>
      <c r="B943" s="31" t="s">
        <v>41</v>
      </c>
      <c r="C943" s="32" t="str">
        <f t="shared" si="90"/>
        <v>João Pereira</v>
      </c>
      <c r="D943" s="38" t="s">
        <v>246</v>
      </c>
      <c r="E943" s="33">
        <f t="shared" si="91"/>
        <v>46049</v>
      </c>
      <c r="F943" s="32" t="s">
        <v>22</v>
      </c>
      <c r="G943" s="32" t="str">
        <f t="shared" si="92"/>
        <v>Amanda Costa</v>
      </c>
      <c r="H943" s="32" t="s">
        <v>23</v>
      </c>
      <c r="I943" s="32" t="s">
        <v>43</v>
      </c>
      <c r="J943" s="34">
        <v>3</v>
      </c>
      <c r="K943" s="35">
        <v>350</v>
      </c>
      <c r="L943" s="35">
        <v>0</v>
      </c>
      <c r="M943" s="36">
        <f t="shared" si="96"/>
        <v>1050</v>
      </c>
      <c r="N943" s="32" t="s">
        <v>25</v>
      </c>
      <c r="Q943" s="49" t="s">
        <v>1360</v>
      </c>
      <c r="R943" s="49" t="s">
        <v>41</v>
      </c>
      <c r="S943" s="58">
        <f t="shared" si="93"/>
        <v>46049</v>
      </c>
      <c r="T943" s="51" t="s">
        <v>22</v>
      </c>
      <c r="U943" s="50" t="s">
        <v>23</v>
      </c>
      <c r="V943" s="52" t="s">
        <v>43</v>
      </c>
      <c r="W943" s="53">
        <v>3</v>
      </c>
      <c r="X943" s="54">
        <v>350</v>
      </c>
      <c r="Y943" s="54">
        <v>0</v>
      </c>
      <c r="Z943" s="55">
        <f t="shared" si="97"/>
        <v>1050</v>
      </c>
      <c r="AA943" s="56" t="s">
        <v>25</v>
      </c>
      <c r="AB943"/>
    </row>
    <row r="944" spans="1:28" x14ac:dyDescent="0.25">
      <c r="A944" s="26" t="s">
        <v>1361</v>
      </c>
      <c r="B944" s="26" t="s">
        <v>41</v>
      </c>
      <c r="C944" s="26" t="str">
        <f t="shared" si="90"/>
        <v>João Pereira</v>
      </c>
      <c r="D944" s="37" t="s">
        <v>325</v>
      </c>
      <c r="E944" s="27">
        <f t="shared" si="91"/>
        <v>46034</v>
      </c>
      <c r="F944" s="26" t="s">
        <v>29</v>
      </c>
      <c r="G944" s="26" t="str">
        <f t="shared" si="92"/>
        <v>Camila Rocha</v>
      </c>
      <c r="H944" s="26" t="s">
        <v>52</v>
      </c>
      <c r="I944" s="26" t="s">
        <v>53</v>
      </c>
      <c r="J944" s="28">
        <v>4</v>
      </c>
      <c r="K944" s="29">
        <v>149</v>
      </c>
      <c r="L944" s="29">
        <v>22.76</v>
      </c>
      <c r="M944" s="30">
        <f t="shared" si="96"/>
        <v>573.24</v>
      </c>
      <c r="N944" s="26" t="s">
        <v>49</v>
      </c>
      <c r="Q944" s="42" t="s">
        <v>1361</v>
      </c>
      <c r="R944" s="42" t="s">
        <v>41</v>
      </c>
      <c r="S944" s="57">
        <f t="shared" si="93"/>
        <v>46034</v>
      </c>
      <c r="T944" s="44" t="s">
        <v>29</v>
      </c>
      <c r="U944" s="43" t="s">
        <v>52</v>
      </c>
      <c r="V944" s="42" t="s">
        <v>53</v>
      </c>
      <c r="W944" s="45">
        <v>4</v>
      </c>
      <c r="X944" s="46">
        <v>149</v>
      </c>
      <c r="Y944" s="46">
        <v>22.76</v>
      </c>
      <c r="Z944" s="47">
        <f t="shared" si="97"/>
        <v>573.24</v>
      </c>
      <c r="AA944" s="48" t="s">
        <v>49</v>
      </c>
      <c r="AB944"/>
    </row>
    <row r="945" spans="1:28" x14ac:dyDescent="0.25">
      <c r="A945" s="31" t="s">
        <v>1362</v>
      </c>
      <c r="B945" s="31" t="s">
        <v>110</v>
      </c>
      <c r="C945" s="32" t="str">
        <f t="shared" si="90"/>
        <v>Fernanda Lima</v>
      </c>
      <c r="D945" s="38" t="s">
        <v>260</v>
      </c>
      <c r="E945" s="33">
        <f t="shared" si="91"/>
        <v>45722</v>
      </c>
      <c r="F945" s="32" t="s">
        <v>22</v>
      </c>
      <c r="G945" s="32" t="str">
        <f t="shared" si="92"/>
        <v>Amanda Costa</v>
      </c>
      <c r="H945" s="32" t="s">
        <v>52</v>
      </c>
      <c r="I945" s="32" t="s">
        <v>61</v>
      </c>
      <c r="J945" s="34">
        <v>4</v>
      </c>
      <c r="K945" s="35">
        <v>199</v>
      </c>
      <c r="L945" s="35">
        <v>103.79</v>
      </c>
      <c r="M945" s="36">
        <f t="shared" si="96"/>
        <v>692.21</v>
      </c>
      <c r="N945" s="32" t="s">
        <v>65</v>
      </c>
      <c r="Q945" s="49" t="s">
        <v>1362</v>
      </c>
      <c r="R945" s="49" t="s">
        <v>110</v>
      </c>
      <c r="S945" s="58">
        <f t="shared" si="93"/>
        <v>45722</v>
      </c>
      <c r="T945" s="51" t="s">
        <v>22</v>
      </c>
      <c r="U945" s="50" t="s">
        <v>52</v>
      </c>
      <c r="V945" s="52" t="s">
        <v>61</v>
      </c>
      <c r="W945" s="53">
        <v>4</v>
      </c>
      <c r="X945" s="54">
        <v>199</v>
      </c>
      <c r="Y945" s="54">
        <v>103.79</v>
      </c>
      <c r="Z945" s="55">
        <f t="shared" si="97"/>
        <v>692.21</v>
      </c>
      <c r="AA945" s="56" t="s">
        <v>65</v>
      </c>
      <c r="AB945"/>
    </row>
    <row r="946" spans="1:28" x14ac:dyDescent="0.25">
      <c r="A946" s="26" t="s">
        <v>1363</v>
      </c>
      <c r="B946" s="26" t="s">
        <v>55</v>
      </c>
      <c r="C946" s="26" t="str">
        <f t="shared" si="90"/>
        <v>Ricardo Carvalho</v>
      </c>
      <c r="D946" s="37" t="s">
        <v>371</v>
      </c>
      <c r="E946" s="27">
        <f t="shared" si="91"/>
        <v>46007</v>
      </c>
      <c r="F946" s="26" t="s">
        <v>47</v>
      </c>
      <c r="G946" s="26" t="str">
        <f t="shared" si="92"/>
        <v>Bruno Martins</v>
      </c>
      <c r="H946" s="26" t="s">
        <v>30</v>
      </c>
      <c r="I946" s="26" t="s">
        <v>31</v>
      </c>
      <c r="J946" s="28">
        <v>1</v>
      </c>
      <c r="K946" s="29">
        <v>2500</v>
      </c>
      <c r="L946" s="29">
        <v>9.85</v>
      </c>
      <c r="M946" s="30">
        <f t="shared" si="96"/>
        <v>2490.15</v>
      </c>
      <c r="N946" s="26" t="s">
        <v>69</v>
      </c>
      <c r="Q946" s="42" t="s">
        <v>1363</v>
      </c>
      <c r="R946" s="42" t="s">
        <v>55</v>
      </c>
      <c r="S946" s="57">
        <f t="shared" si="93"/>
        <v>46007</v>
      </c>
      <c r="T946" s="44" t="s">
        <v>47</v>
      </c>
      <c r="U946" s="43" t="s">
        <v>30</v>
      </c>
      <c r="V946" s="42" t="s">
        <v>31</v>
      </c>
      <c r="W946" s="45">
        <v>1</v>
      </c>
      <c r="X946" s="46">
        <v>2500</v>
      </c>
      <c r="Y946" s="46">
        <v>9.85</v>
      </c>
      <c r="Z946" s="47">
        <f t="shared" si="97"/>
        <v>2490.15</v>
      </c>
      <c r="AA946" s="48" t="s">
        <v>69</v>
      </c>
      <c r="AB946"/>
    </row>
    <row r="947" spans="1:28" x14ac:dyDescent="0.25">
      <c r="A947" s="31" t="s">
        <v>1364</v>
      </c>
      <c r="B947" s="31" t="s">
        <v>13</v>
      </c>
      <c r="C947" s="32" t="str">
        <f t="shared" si="90"/>
        <v>Lucas Almeida</v>
      </c>
      <c r="D947" s="38" t="s">
        <v>1365</v>
      </c>
      <c r="E947" s="33">
        <f t="shared" si="91"/>
        <v>45856</v>
      </c>
      <c r="F947" s="32" t="s">
        <v>22</v>
      </c>
      <c r="G947" s="32" t="str">
        <f t="shared" si="92"/>
        <v>Amanda Costa</v>
      </c>
      <c r="H947" s="32" t="s">
        <v>30</v>
      </c>
      <c r="I947" s="32" t="s">
        <v>152</v>
      </c>
      <c r="J947" s="34">
        <v>4</v>
      </c>
      <c r="K947" s="35">
        <v>4500</v>
      </c>
      <c r="L947" s="35">
        <v>0</v>
      </c>
      <c r="M947" s="36">
        <f t="shared" si="96"/>
        <v>18000</v>
      </c>
      <c r="N947" s="32" t="s">
        <v>32</v>
      </c>
      <c r="Q947" s="49" t="s">
        <v>1364</v>
      </c>
      <c r="R947" s="49" t="s">
        <v>13</v>
      </c>
      <c r="S947" s="58">
        <f t="shared" si="93"/>
        <v>45856</v>
      </c>
      <c r="T947" s="51" t="s">
        <v>22</v>
      </c>
      <c r="U947" s="50" t="s">
        <v>30</v>
      </c>
      <c r="V947" s="52" t="s">
        <v>152</v>
      </c>
      <c r="W947" s="53">
        <v>4</v>
      </c>
      <c r="X947" s="54">
        <v>4500</v>
      </c>
      <c r="Y947" s="54">
        <v>0</v>
      </c>
      <c r="Z947" s="55">
        <f t="shared" si="97"/>
        <v>18000</v>
      </c>
      <c r="AA947" s="56" t="s">
        <v>32</v>
      </c>
      <c r="AB947"/>
    </row>
    <row r="948" spans="1:28" x14ac:dyDescent="0.25">
      <c r="A948" s="26" t="s">
        <v>1366</v>
      </c>
      <c r="B948" s="26" t="s">
        <v>37</v>
      </c>
      <c r="C948" s="26" t="str">
        <f t="shared" si="90"/>
        <v>Patricia Gomes</v>
      </c>
      <c r="D948" s="37" t="s">
        <v>136</v>
      </c>
      <c r="E948" s="27">
        <f t="shared" si="91"/>
        <v>45695</v>
      </c>
      <c r="F948" s="26" t="s">
        <v>22</v>
      </c>
      <c r="G948" s="26" t="str">
        <f t="shared" si="92"/>
        <v>Amanda Costa</v>
      </c>
      <c r="H948" s="26" t="s">
        <v>16</v>
      </c>
      <c r="I948" s="26" t="s">
        <v>78</v>
      </c>
      <c r="J948" s="28">
        <v>2</v>
      </c>
      <c r="K948" s="29">
        <v>59</v>
      </c>
      <c r="L948" s="29">
        <v>9.93</v>
      </c>
      <c r="M948" s="30">
        <f t="shared" si="96"/>
        <v>108.07</v>
      </c>
      <c r="N948" s="26" t="s">
        <v>44</v>
      </c>
      <c r="Q948" s="42" t="s">
        <v>1366</v>
      </c>
      <c r="R948" s="42" t="s">
        <v>37</v>
      </c>
      <c r="S948" s="57">
        <f t="shared" si="93"/>
        <v>45695</v>
      </c>
      <c r="T948" s="44" t="s">
        <v>22</v>
      </c>
      <c r="U948" s="43" t="s">
        <v>16</v>
      </c>
      <c r="V948" s="42" t="s">
        <v>78</v>
      </c>
      <c r="W948" s="45">
        <v>2</v>
      </c>
      <c r="X948" s="46">
        <v>59</v>
      </c>
      <c r="Y948" s="46">
        <v>9.93</v>
      </c>
      <c r="Z948" s="47">
        <f t="shared" si="97"/>
        <v>108.07</v>
      </c>
      <c r="AA948" s="48" t="s">
        <v>44</v>
      </c>
      <c r="AB948"/>
    </row>
    <row r="949" spans="1:28" x14ac:dyDescent="0.25">
      <c r="A949" s="31" t="s">
        <v>1367</v>
      </c>
      <c r="B949" s="31" t="s">
        <v>110</v>
      </c>
      <c r="C949" s="32" t="str">
        <f t="shared" si="90"/>
        <v>Fernanda Lima</v>
      </c>
      <c r="D949" s="38" t="s">
        <v>405</v>
      </c>
      <c r="E949" s="33">
        <f t="shared" si="91"/>
        <v>46019</v>
      </c>
      <c r="F949" s="32" t="s">
        <v>29</v>
      </c>
      <c r="G949" s="32" t="str">
        <f t="shared" si="92"/>
        <v>Camila Rocha</v>
      </c>
      <c r="H949" s="32" t="s">
        <v>52</v>
      </c>
      <c r="I949" s="32" t="s">
        <v>99</v>
      </c>
      <c r="J949" s="34">
        <v>5</v>
      </c>
      <c r="K949" s="35">
        <v>79</v>
      </c>
      <c r="L949" s="35">
        <v>0</v>
      </c>
      <c r="M949" s="36">
        <f t="shared" si="96"/>
        <v>395</v>
      </c>
      <c r="N949" s="32" t="s">
        <v>25</v>
      </c>
      <c r="Q949" s="49" t="s">
        <v>1367</v>
      </c>
      <c r="R949" s="49" t="s">
        <v>110</v>
      </c>
      <c r="S949" s="58">
        <f t="shared" si="93"/>
        <v>46019</v>
      </c>
      <c r="T949" s="51" t="s">
        <v>29</v>
      </c>
      <c r="U949" s="50" t="s">
        <v>52</v>
      </c>
      <c r="V949" s="52" t="s">
        <v>99</v>
      </c>
      <c r="W949" s="53">
        <v>5</v>
      </c>
      <c r="X949" s="54">
        <v>79</v>
      </c>
      <c r="Y949" s="54">
        <v>0</v>
      </c>
      <c r="Z949" s="55">
        <f t="shared" si="97"/>
        <v>395</v>
      </c>
      <c r="AA949" s="56" t="s">
        <v>25</v>
      </c>
      <c r="AB949"/>
    </row>
    <row r="950" spans="1:28" x14ac:dyDescent="0.25">
      <c r="A950" s="26" t="s">
        <v>1368</v>
      </c>
      <c r="B950" s="26" t="s">
        <v>37</v>
      </c>
      <c r="C950" s="26" t="str">
        <f t="shared" si="90"/>
        <v>Patricia Gomes</v>
      </c>
      <c r="D950" s="37" t="s">
        <v>1369</v>
      </c>
      <c r="E950" s="27">
        <f t="shared" si="91"/>
        <v>45964</v>
      </c>
      <c r="F950" s="26" t="s">
        <v>22</v>
      </c>
      <c r="G950" s="26" t="str">
        <f t="shared" si="92"/>
        <v>Amanda Costa</v>
      </c>
      <c r="H950" s="26" t="s">
        <v>30</v>
      </c>
      <c r="I950" s="26" t="s">
        <v>106</v>
      </c>
      <c r="J950" s="28">
        <v>2</v>
      </c>
      <c r="K950" s="29">
        <v>299</v>
      </c>
      <c r="L950" s="29">
        <v>66.64</v>
      </c>
      <c r="M950" s="30">
        <f t="shared" si="96"/>
        <v>531.36</v>
      </c>
      <c r="N950" s="26" t="s">
        <v>89</v>
      </c>
      <c r="Q950" s="42" t="s">
        <v>1368</v>
      </c>
      <c r="R950" s="42" t="s">
        <v>37</v>
      </c>
      <c r="S950" s="57">
        <f t="shared" si="93"/>
        <v>45964</v>
      </c>
      <c r="T950" s="44" t="s">
        <v>22</v>
      </c>
      <c r="U950" s="43" t="s">
        <v>30</v>
      </c>
      <c r="V950" s="42" t="s">
        <v>106</v>
      </c>
      <c r="W950" s="45">
        <v>2</v>
      </c>
      <c r="X950" s="46">
        <v>299</v>
      </c>
      <c r="Y950" s="46">
        <v>66.64</v>
      </c>
      <c r="Z950" s="47">
        <f t="shared" si="97"/>
        <v>531.36</v>
      </c>
      <c r="AA950" s="48" t="s">
        <v>89</v>
      </c>
      <c r="AB950"/>
    </row>
    <row r="951" spans="1:28" x14ac:dyDescent="0.25">
      <c r="A951" s="31" t="s">
        <v>1370</v>
      </c>
      <c r="B951" s="31" t="s">
        <v>101</v>
      </c>
      <c r="C951" s="32" t="str">
        <f t="shared" si="90"/>
        <v>Ana Souza</v>
      </c>
      <c r="D951" s="38" t="s">
        <v>1371</v>
      </c>
      <c r="E951" s="33">
        <f t="shared" si="91"/>
        <v>45718</v>
      </c>
      <c r="F951" s="32" t="s">
        <v>15</v>
      </c>
      <c r="G951" s="32" t="str">
        <f t="shared" si="92"/>
        <v>Larissa Dias</v>
      </c>
      <c r="H951" s="32" t="s">
        <v>52</v>
      </c>
      <c r="I951" s="32" t="s">
        <v>99</v>
      </c>
      <c r="J951" s="34">
        <v>3</v>
      </c>
      <c r="K951" s="35">
        <v>79</v>
      </c>
      <c r="L951" s="35">
        <v>31.25</v>
      </c>
      <c r="M951" s="36">
        <f t="shared" si="96"/>
        <v>205.75</v>
      </c>
      <c r="N951" s="32" t="s">
        <v>18</v>
      </c>
      <c r="Q951" s="49" t="s">
        <v>1370</v>
      </c>
      <c r="R951" s="49" t="s">
        <v>101</v>
      </c>
      <c r="S951" s="58">
        <f t="shared" si="93"/>
        <v>45718</v>
      </c>
      <c r="T951" s="51" t="s">
        <v>15</v>
      </c>
      <c r="U951" s="50" t="s">
        <v>52</v>
      </c>
      <c r="V951" s="52" t="s">
        <v>99</v>
      </c>
      <c r="W951" s="53">
        <v>3</v>
      </c>
      <c r="X951" s="54">
        <v>79</v>
      </c>
      <c r="Y951" s="54">
        <v>31.25</v>
      </c>
      <c r="Z951" s="55">
        <f t="shared" si="97"/>
        <v>205.75</v>
      </c>
      <c r="AA951" s="56" t="s">
        <v>18</v>
      </c>
      <c r="AB951"/>
    </row>
    <row r="952" spans="1:28" x14ac:dyDescent="0.25">
      <c r="A952" s="26" t="s">
        <v>1372</v>
      </c>
      <c r="B952" s="26" t="s">
        <v>55</v>
      </c>
      <c r="C952" s="26" t="str">
        <f t="shared" si="90"/>
        <v>Ricardo Carvalho</v>
      </c>
      <c r="D952" s="37" t="s">
        <v>813</v>
      </c>
      <c r="E952" s="27">
        <f t="shared" si="91"/>
        <v>45660</v>
      </c>
      <c r="F952" s="26" t="s">
        <v>15</v>
      </c>
      <c r="G952" s="26" t="str">
        <f t="shared" si="92"/>
        <v>Larissa Dias</v>
      </c>
      <c r="H952" s="26" t="s">
        <v>23</v>
      </c>
      <c r="I952" s="26" t="s">
        <v>43</v>
      </c>
      <c r="J952" s="28">
        <v>3</v>
      </c>
      <c r="K952" s="29">
        <v>350</v>
      </c>
      <c r="L952" s="29">
        <v>0</v>
      </c>
      <c r="M952" s="30">
        <f t="shared" si="96"/>
        <v>1050</v>
      </c>
      <c r="N952" s="26" t="s">
        <v>25</v>
      </c>
      <c r="Q952" s="42" t="s">
        <v>1372</v>
      </c>
      <c r="R952" s="42" t="s">
        <v>55</v>
      </c>
      <c r="S952" s="57">
        <f t="shared" si="93"/>
        <v>45660</v>
      </c>
      <c r="T952" s="44" t="s">
        <v>15</v>
      </c>
      <c r="U952" s="43" t="s">
        <v>23</v>
      </c>
      <c r="V952" s="42" t="s">
        <v>43</v>
      </c>
      <c r="W952" s="45">
        <v>3</v>
      </c>
      <c r="X952" s="46">
        <v>350</v>
      </c>
      <c r="Y952" s="46">
        <v>0</v>
      </c>
      <c r="Z952" s="47">
        <f t="shared" si="97"/>
        <v>1050</v>
      </c>
      <c r="AA952" s="48" t="s">
        <v>25</v>
      </c>
      <c r="AB952"/>
    </row>
    <row r="953" spans="1:28" x14ac:dyDescent="0.25">
      <c r="A953" s="31" t="s">
        <v>1373</v>
      </c>
      <c r="B953" s="31" t="s">
        <v>20</v>
      </c>
      <c r="C953" s="32" t="str">
        <f t="shared" si="90"/>
        <v>Beatriz Ribeiro</v>
      </c>
      <c r="D953" s="38" t="s">
        <v>1010</v>
      </c>
      <c r="E953" s="33">
        <f t="shared" si="91"/>
        <v>45766</v>
      </c>
      <c r="F953" s="32" t="s">
        <v>47</v>
      </c>
      <c r="G953" s="32" t="str">
        <f t="shared" si="92"/>
        <v>Bruno Martins</v>
      </c>
      <c r="H953" s="32" t="s">
        <v>23</v>
      </c>
      <c r="I953" s="32" t="s">
        <v>48</v>
      </c>
      <c r="J953" s="34">
        <v>1</v>
      </c>
      <c r="K953" s="35">
        <v>450</v>
      </c>
      <c r="L953" s="35">
        <v>0</v>
      </c>
      <c r="M953" s="36">
        <f>(J953*K953)-L953</f>
        <v>450</v>
      </c>
      <c r="N953" s="32" t="s">
        <v>18</v>
      </c>
      <c r="Q953" s="49" t="s">
        <v>1373</v>
      </c>
      <c r="R953" s="49" t="s">
        <v>20</v>
      </c>
      <c r="S953" s="58">
        <f t="shared" si="93"/>
        <v>45766</v>
      </c>
      <c r="T953" s="51" t="s">
        <v>47</v>
      </c>
      <c r="U953" s="50" t="s">
        <v>23</v>
      </c>
      <c r="V953" s="52" t="s">
        <v>48</v>
      </c>
      <c r="W953" s="53">
        <v>1</v>
      </c>
      <c r="X953" s="54">
        <v>450</v>
      </c>
      <c r="Y953" s="54">
        <v>0</v>
      </c>
      <c r="Z953" s="55">
        <f>(W953*X953)-Y953</f>
        <v>450</v>
      </c>
      <c r="AA953" s="56" t="s">
        <v>18</v>
      </c>
      <c r="AB953"/>
    </row>
    <row r="954" spans="1:28" x14ac:dyDescent="0.25">
      <c r="A954" s="26" t="s">
        <v>1374</v>
      </c>
      <c r="B954" s="26" t="s">
        <v>55</v>
      </c>
      <c r="C954" s="26" t="str">
        <f t="shared" si="90"/>
        <v>Ricardo Carvalho</v>
      </c>
      <c r="D954" s="37" t="s">
        <v>1066</v>
      </c>
      <c r="E954" s="27">
        <f t="shared" si="91"/>
        <v>45687</v>
      </c>
      <c r="F954" s="26" t="s">
        <v>39</v>
      </c>
      <c r="G954" s="26" t="str">
        <f t="shared" si="92"/>
        <v>Rodrigo Mello</v>
      </c>
      <c r="H954" s="26" t="s">
        <v>30</v>
      </c>
      <c r="I954" s="26" t="s">
        <v>68</v>
      </c>
      <c r="J954" s="28">
        <v>5</v>
      </c>
      <c r="K954" s="29">
        <v>799</v>
      </c>
      <c r="L954" s="29">
        <v>455.51</v>
      </c>
      <c r="M954" s="30">
        <f t="shared" ref="M954:M1017" si="98">(J954*K954)-L954</f>
        <v>3539.49</v>
      </c>
      <c r="N954" s="26" t="s">
        <v>69</v>
      </c>
      <c r="Q954" s="42" t="s">
        <v>1374</v>
      </c>
      <c r="R954" s="42" t="s">
        <v>55</v>
      </c>
      <c r="S954" s="57">
        <f t="shared" si="93"/>
        <v>45687</v>
      </c>
      <c r="T954" s="44" t="s">
        <v>39</v>
      </c>
      <c r="U954" s="43" t="s">
        <v>30</v>
      </c>
      <c r="V954" s="42" t="s">
        <v>68</v>
      </c>
      <c r="W954" s="45">
        <v>5</v>
      </c>
      <c r="X954" s="46">
        <v>799</v>
      </c>
      <c r="Y954" s="46">
        <v>455.51</v>
      </c>
      <c r="Z954" s="47">
        <f t="shared" ref="Z954:Z1017" si="99">(W954*X954)-Y954</f>
        <v>3539.49</v>
      </c>
      <c r="AA954" s="48" t="s">
        <v>69</v>
      </c>
      <c r="AB954"/>
    </row>
    <row r="955" spans="1:28" x14ac:dyDescent="0.25">
      <c r="A955" s="31" t="s">
        <v>1375</v>
      </c>
      <c r="B955" s="31" t="s">
        <v>13</v>
      </c>
      <c r="C955" s="32" t="str">
        <f t="shared" si="90"/>
        <v>Lucas Almeida</v>
      </c>
      <c r="D955" s="38" t="s">
        <v>720</v>
      </c>
      <c r="E955" s="33">
        <f t="shared" si="91"/>
        <v>45903</v>
      </c>
      <c r="F955" s="32" t="s">
        <v>15</v>
      </c>
      <c r="G955" s="32" t="str">
        <f t="shared" si="92"/>
        <v>Larissa Dias</v>
      </c>
      <c r="H955" s="32" t="s">
        <v>23</v>
      </c>
      <c r="I955" s="32" t="s">
        <v>88</v>
      </c>
      <c r="J955" s="34">
        <v>3</v>
      </c>
      <c r="K955" s="35">
        <v>650</v>
      </c>
      <c r="L955" s="35">
        <v>158.62</v>
      </c>
      <c r="M955" s="36">
        <f t="shared" si="98"/>
        <v>1791.38</v>
      </c>
      <c r="N955" s="32" t="s">
        <v>25</v>
      </c>
      <c r="Q955" s="49" t="s">
        <v>1375</v>
      </c>
      <c r="R955" s="49" t="s">
        <v>13</v>
      </c>
      <c r="S955" s="58">
        <f t="shared" si="93"/>
        <v>45903</v>
      </c>
      <c r="T955" s="51" t="s">
        <v>15</v>
      </c>
      <c r="U955" s="50" t="s">
        <v>23</v>
      </c>
      <c r="V955" s="52" t="s">
        <v>88</v>
      </c>
      <c r="W955" s="53">
        <v>3</v>
      </c>
      <c r="X955" s="54">
        <v>650</v>
      </c>
      <c r="Y955" s="54">
        <v>158.62</v>
      </c>
      <c r="Z955" s="55">
        <f t="shared" si="99"/>
        <v>1791.38</v>
      </c>
      <c r="AA955" s="56" t="s">
        <v>25</v>
      </c>
      <c r="AB955"/>
    </row>
    <row r="956" spans="1:28" x14ac:dyDescent="0.25">
      <c r="A956" s="26" t="s">
        <v>1376</v>
      </c>
      <c r="B956" s="26" t="s">
        <v>34</v>
      </c>
      <c r="C956" s="26" t="str">
        <f t="shared" si="90"/>
        <v>Carlos Silva</v>
      </c>
      <c r="D956" s="37" t="s">
        <v>415</v>
      </c>
      <c r="E956" s="27">
        <f t="shared" si="91"/>
        <v>45842</v>
      </c>
      <c r="F956" s="26" t="s">
        <v>15</v>
      </c>
      <c r="G956" s="26" t="str">
        <f t="shared" si="92"/>
        <v>Larissa Dias</v>
      </c>
      <c r="H956" s="26" t="s">
        <v>16</v>
      </c>
      <c r="I956" s="26" t="s">
        <v>116</v>
      </c>
      <c r="J956" s="28">
        <v>3</v>
      </c>
      <c r="K956" s="29">
        <v>45</v>
      </c>
      <c r="L956" s="29">
        <v>15.98</v>
      </c>
      <c r="M956" s="30">
        <f t="shared" si="98"/>
        <v>119.02</v>
      </c>
      <c r="N956" s="26" t="s">
        <v>32</v>
      </c>
      <c r="Q956" s="42" t="s">
        <v>1376</v>
      </c>
      <c r="R956" s="42" t="s">
        <v>34</v>
      </c>
      <c r="S956" s="57">
        <f t="shared" si="93"/>
        <v>45842</v>
      </c>
      <c r="T956" s="44" t="s">
        <v>15</v>
      </c>
      <c r="U956" s="43" t="s">
        <v>16</v>
      </c>
      <c r="V956" s="42" t="s">
        <v>116</v>
      </c>
      <c r="W956" s="45">
        <v>3</v>
      </c>
      <c r="X956" s="46">
        <v>45</v>
      </c>
      <c r="Y956" s="46">
        <v>15.98</v>
      </c>
      <c r="Z956" s="47">
        <f t="shared" si="99"/>
        <v>119.02</v>
      </c>
      <c r="AA956" s="48" t="s">
        <v>32</v>
      </c>
      <c r="AB956"/>
    </row>
    <row r="957" spans="1:28" x14ac:dyDescent="0.25">
      <c r="A957" s="31" t="s">
        <v>1377</v>
      </c>
      <c r="B957" s="31" t="s">
        <v>110</v>
      </c>
      <c r="C957" s="32" t="str">
        <f t="shared" si="90"/>
        <v>Fernanda Lima</v>
      </c>
      <c r="D957" s="38" t="s">
        <v>471</v>
      </c>
      <c r="E957" s="33">
        <f t="shared" si="91"/>
        <v>46001</v>
      </c>
      <c r="F957" s="32" t="s">
        <v>39</v>
      </c>
      <c r="G957" s="32" t="str">
        <f t="shared" si="92"/>
        <v>Rodrigo Mello</v>
      </c>
      <c r="H957" s="32" t="s">
        <v>16</v>
      </c>
      <c r="I957" s="32" t="s">
        <v>78</v>
      </c>
      <c r="J957" s="34">
        <v>4</v>
      </c>
      <c r="K957" s="35">
        <v>59</v>
      </c>
      <c r="L957" s="35">
        <v>18.37</v>
      </c>
      <c r="M957" s="36">
        <f t="shared" si="98"/>
        <v>217.63</v>
      </c>
      <c r="N957" s="32" t="s">
        <v>32</v>
      </c>
      <c r="Q957" s="49" t="s">
        <v>1377</v>
      </c>
      <c r="R957" s="49" t="s">
        <v>110</v>
      </c>
      <c r="S957" s="58">
        <f t="shared" si="93"/>
        <v>46001</v>
      </c>
      <c r="T957" s="51" t="s">
        <v>39</v>
      </c>
      <c r="U957" s="50" t="s">
        <v>16</v>
      </c>
      <c r="V957" s="52" t="s">
        <v>78</v>
      </c>
      <c r="W957" s="53">
        <v>4</v>
      </c>
      <c r="X957" s="54">
        <v>59</v>
      </c>
      <c r="Y957" s="54">
        <v>18.37</v>
      </c>
      <c r="Z957" s="55">
        <f t="shared" si="99"/>
        <v>217.63</v>
      </c>
      <c r="AA957" s="56" t="s">
        <v>32</v>
      </c>
      <c r="AB957"/>
    </row>
    <row r="958" spans="1:28" x14ac:dyDescent="0.25">
      <c r="A958" s="26" t="s">
        <v>1378</v>
      </c>
      <c r="B958" s="26" t="s">
        <v>110</v>
      </c>
      <c r="C958" s="26" t="str">
        <f t="shared" si="90"/>
        <v>Fernanda Lima</v>
      </c>
      <c r="D958" s="37" t="s">
        <v>488</v>
      </c>
      <c r="E958" s="27">
        <f t="shared" si="91"/>
        <v>45896</v>
      </c>
      <c r="F958" s="26" t="s">
        <v>22</v>
      </c>
      <c r="G958" s="26" t="str">
        <f t="shared" si="92"/>
        <v>Amanda Costa</v>
      </c>
      <c r="H958" s="26" t="s">
        <v>16</v>
      </c>
      <c r="I958" s="26" t="s">
        <v>116</v>
      </c>
      <c r="J958" s="28">
        <v>3</v>
      </c>
      <c r="K958" s="29">
        <v>45</v>
      </c>
      <c r="L958" s="29">
        <v>0</v>
      </c>
      <c r="M958" s="30">
        <f t="shared" si="98"/>
        <v>135</v>
      </c>
      <c r="N958" s="26" t="s">
        <v>65</v>
      </c>
      <c r="Q958" s="42" t="s">
        <v>1378</v>
      </c>
      <c r="R958" s="42" t="s">
        <v>110</v>
      </c>
      <c r="S958" s="57">
        <f t="shared" si="93"/>
        <v>45896</v>
      </c>
      <c r="T958" s="44" t="s">
        <v>22</v>
      </c>
      <c r="U958" s="43" t="s">
        <v>16</v>
      </c>
      <c r="V958" s="42" t="s">
        <v>116</v>
      </c>
      <c r="W958" s="45">
        <v>3</v>
      </c>
      <c r="X958" s="46">
        <v>45</v>
      </c>
      <c r="Y958" s="46">
        <v>0</v>
      </c>
      <c r="Z958" s="47">
        <f t="shared" si="99"/>
        <v>135</v>
      </c>
      <c r="AA958" s="48" t="s">
        <v>65</v>
      </c>
      <c r="AB958"/>
    </row>
    <row r="959" spans="1:28" x14ac:dyDescent="0.25">
      <c r="A959" s="31" t="s">
        <v>1379</v>
      </c>
      <c r="B959" s="31" t="s">
        <v>37</v>
      </c>
      <c r="C959" s="32" t="str">
        <f t="shared" si="90"/>
        <v>Patricia Gomes</v>
      </c>
      <c r="D959" s="38" t="s">
        <v>705</v>
      </c>
      <c r="E959" s="33">
        <f t="shared" si="91"/>
        <v>45886</v>
      </c>
      <c r="F959" s="32" t="s">
        <v>39</v>
      </c>
      <c r="G959" s="32" t="str">
        <f t="shared" si="92"/>
        <v>Rodrigo Mello</v>
      </c>
      <c r="H959" s="32" t="s">
        <v>16</v>
      </c>
      <c r="I959" s="32" t="s">
        <v>103</v>
      </c>
      <c r="J959" s="34">
        <v>1</v>
      </c>
      <c r="K959" s="35">
        <v>89</v>
      </c>
      <c r="L959" s="35">
        <v>0</v>
      </c>
      <c r="M959" s="36">
        <f t="shared" si="98"/>
        <v>89</v>
      </c>
      <c r="N959" s="32" t="s">
        <v>89</v>
      </c>
      <c r="Q959" s="49" t="s">
        <v>1379</v>
      </c>
      <c r="R959" s="49" t="s">
        <v>37</v>
      </c>
      <c r="S959" s="58">
        <f t="shared" si="93"/>
        <v>45886</v>
      </c>
      <c r="T959" s="51" t="s">
        <v>39</v>
      </c>
      <c r="U959" s="50" t="s">
        <v>16</v>
      </c>
      <c r="V959" s="52" t="s">
        <v>103</v>
      </c>
      <c r="W959" s="53">
        <v>1</v>
      </c>
      <c r="X959" s="54">
        <v>89</v>
      </c>
      <c r="Y959" s="54">
        <v>0</v>
      </c>
      <c r="Z959" s="55">
        <f t="shared" si="99"/>
        <v>89</v>
      </c>
      <c r="AA959" s="56" t="s">
        <v>89</v>
      </c>
      <c r="AB959"/>
    </row>
    <row r="960" spans="1:28" x14ac:dyDescent="0.25">
      <c r="A960" s="26" t="s">
        <v>1380</v>
      </c>
      <c r="B960" s="26" t="s">
        <v>110</v>
      </c>
      <c r="C960" s="26" t="str">
        <f t="shared" si="90"/>
        <v>Fernanda Lima</v>
      </c>
      <c r="D960" s="37" t="s">
        <v>1141</v>
      </c>
      <c r="E960" s="27">
        <f t="shared" si="91"/>
        <v>46045</v>
      </c>
      <c r="F960" s="26" t="s">
        <v>47</v>
      </c>
      <c r="G960" s="26" t="str">
        <f t="shared" si="92"/>
        <v>Bruno Martins</v>
      </c>
      <c r="H960" s="26" t="s">
        <v>30</v>
      </c>
      <c r="I960" s="26" t="s">
        <v>106</v>
      </c>
      <c r="J960" s="28">
        <v>1</v>
      </c>
      <c r="K960" s="29">
        <v>299</v>
      </c>
      <c r="L960" s="29">
        <v>29.58</v>
      </c>
      <c r="M960" s="30">
        <f t="shared" si="98"/>
        <v>269.42</v>
      </c>
      <c r="N960" s="26" t="s">
        <v>44</v>
      </c>
      <c r="Q960" s="42" t="s">
        <v>1380</v>
      </c>
      <c r="R960" s="42" t="s">
        <v>110</v>
      </c>
      <c r="S960" s="57">
        <f t="shared" si="93"/>
        <v>46045</v>
      </c>
      <c r="T960" s="44" t="s">
        <v>47</v>
      </c>
      <c r="U960" s="43" t="s">
        <v>30</v>
      </c>
      <c r="V960" s="42" t="s">
        <v>106</v>
      </c>
      <c r="W960" s="45">
        <v>1</v>
      </c>
      <c r="X960" s="46">
        <v>299</v>
      </c>
      <c r="Y960" s="46">
        <v>29.58</v>
      </c>
      <c r="Z960" s="47">
        <f t="shared" si="99"/>
        <v>269.42</v>
      </c>
      <c r="AA960" s="48" t="s">
        <v>44</v>
      </c>
      <c r="AB960"/>
    </row>
    <row r="961" spans="1:28" x14ac:dyDescent="0.25">
      <c r="A961" s="31" t="s">
        <v>1381</v>
      </c>
      <c r="B961" s="31" t="s">
        <v>95</v>
      </c>
      <c r="C961" s="32" t="str">
        <f t="shared" si="90"/>
        <v>Maria Oliveira</v>
      </c>
      <c r="D961" s="38" t="s">
        <v>435</v>
      </c>
      <c r="E961" s="33">
        <f t="shared" si="91"/>
        <v>46047</v>
      </c>
      <c r="F961" s="32" t="s">
        <v>15</v>
      </c>
      <c r="G961" s="32" t="str">
        <f t="shared" si="92"/>
        <v>Larissa Dias</v>
      </c>
      <c r="H961" s="32" t="s">
        <v>30</v>
      </c>
      <c r="I961" s="32" t="s">
        <v>31</v>
      </c>
      <c r="J961" s="34">
        <v>3</v>
      </c>
      <c r="K961" s="35">
        <v>2500</v>
      </c>
      <c r="L961" s="35">
        <v>66.239999999999995</v>
      </c>
      <c r="M961" s="36">
        <f t="shared" si="98"/>
        <v>7433.76</v>
      </c>
      <c r="N961" s="32" t="s">
        <v>69</v>
      </c>
      <c r="Q961" s="49" t="s">
        <v>1381</v>
      </c>
      <c r="R961" s="49" t="s">
        <v>95</v>
      </c>
      <c r="S961" s="58">
        <f t="shared" si="93"/>
        <v>46047</v>
      </c>
      <c r="T961" s="51" t="s">
        <v>15</v>
      </c>
      <c r="U961" s="50" t="s">
        <v>30</v>
      </c>
      <c r="V961" s="52" t="s">
        <v>31</v>
      </c>
      <c r="W961" s="53">
        <v>3</v>
      </c>
      <c r="X961" s="54">
        <v>2500</v>
      </c>
      <c r="Y961" s="54">
        <v>66.239999999999995</v>
      </c>
      <c r="Z961" s="55">
        <f t="shared" si="99"/>
        <v>7433.76</v>
      </c>
      <c r="AA961" s="56" t="s">
        <v>69</v>
      </c>
      <c r="AB961"/>
    </row>
    <row r="962" spans="1:28" x14ac:dyDescent="0.25">
      <c r="A962" s="26" t="s">
        <v>1382</v>
      </c>
      <c r="B962" s="26" t="s">
        <v>27</v>
      </c>
      <c r="C962" s="26" t="str">
        <f t="shared" si="90"/>
        <v>Roberto Santos</v>
      </c>
      <c r="D962" s="37" t="s">
        <v>51</v>
      </c>
      <c r="E962" s="27">
        <f t="shared" si="91"/>
        <v>45659</v>
      </c>
      <c r="F962" s="26" t="s">
        <v>47</v>
      </c>
      <c r="G962" s="26" t="str">
        <f t="shared" si="92"/>
        <v>Bruno Martins</v>
      </c>
      <c r="H962" s="26" t="s">
        <v>16</v>
      </c>
      <c r="I962" s="26" t="s">
        <v>17</v>
      </c>
      <c r="J962" s="28">
        <v>3</v>
      </c>
      <c r="K962" s="29">
        <v>39</v>
      </c>
      <c r="L962" s="29">
        <v>0</v>
      </c>
      <c r="M962" s="30">
        <f t="shared" si="98"/>
        <v>117</v>
      </c>
      <c r="N962" s="26" t="s">
        <v>44</v>
      </c>
      <c r="Q962" s="42" t="s">
        <v>1382</v>
      </c>
      <c r="R962" s="42" t="s">
        <v>27</v>
      </c>
      <c r="S962" s="57">
        <f t="shared" si="93"/>
        <v>45659</v>
      </c>
      <c r="T962" s="44" t="s">
        <v>47</v>
      </c>
      <c r="U962" s="43" t="s">
        <v>16</v>
      </c>
      <c r="V962" s="42" t="s">
        <v>17</v>
      </c>
      <c r="W962" s="45">
        <v>3</v>
      </c>
      <c r="X962" s="46">
        <v>39</v>
      </c>
      <c r="Y962" s="46">
        <v>0</v>
      </c>
      <c r="Z962" s="47">
        <f t="shared" si="99"/>
        <v>117</v>
      </c>
      <c r="AA962" s="48" t="s">
        <v>44</v>
      </c>
      <c r="AB962"/>
    </row>
    <row r="963" spans="1:28" x14ac:dyDescent="0.25">
      <c r="A963" s="31" t="s">
        <v>1383</v>
      </c>
      <c r="B963" s="31" t="s">
        <v>20</v>
      </c>
      <c r="C963" s="32" t="str">
        <f t="shared" ref="C963:C1026" si="100">SUBSTITUTE(SUBSTITUTE(SUBSTITUTE(SUBSTITUTE(PROPER(B963)," Da "," ")," De "," ")," Do "," ")," Dos "," ")</f>
        <v>Beatriz Ribeiro</v>
      </c>
      <c r="D963" s="38" t="s">
        <v>85</v>
      </c>
      <c r="E963" s="33">
        <f t="shared" ref="E963:E1026" si="101">DATEVALUE(D963)</f>
        <v>45715</v>
      </c>
      <c r="F963" s="32" t="s">
        <v>29</v>
      </c>
      <c r="G963" s="32" t="str">
        <f t="shared" ref="G963:G1026" si="102">SUBSTITUTE(SUBSTITUTE(SUBSTITUTE(SUBSTITUTE(PROPER(F963)," Da "," ")," De "," ")," Do "," ")," Dos "," ")</f>
        <v>Camila Rocha</v>
      </c>
      <c r="H963" s="32" t="s">
        <v>23</v>
      </c>
      <c r="I963" s="32" t="s">
        <v>43</v>
      </c>
      <c r="J963" s="34">
        <v>3</v>
      </c>
      <c r="K963" s="35">
        <v>350</v>
      </c>
      <c r="L963" s="35">
        <v>0</v>
      </c>
      <c r="M963" s="36">
        <f t="shared" si="98"/>
        <v>1050</v>
      </c>
      <c r="N963" s="32" t="s">
        <v>44</v>
      </c>
      <c r="Q963" s="49" t="s">
        <v>1383</v>
      </c>
      <c r="R963" s="49" t="s">
        <v>20</v>
      </c>
      <c r="S963" s="58">
        <f t="shared" si="93"/>
        <v>45715</v>
      </c>
      <c r="T963" s="51" t="s">
        <v>29</v>
      </c>
      <c r="U963" s="50" t="s">
        <v>23</v>
      </c>
      <c r="V963" s="52" t="s">
        <v>43</v>
      </c>
      <c r="W963" s="53">
        <v>3</v>
      </c>
      <c r="X963" s="54">
        <v>350</v>
      </c>
      <c r="Y963" s="54">
        <v>0</v>
      </c>
      <c r="Z963" s="55">
        <f t="shared" si="99"/>
        <v>1050</v>
      </c>
      <c r="AA963" s="56" t="s">
        <v>44</v>
      </c>
      <c r="AB963"/>
    </row>
    <row r="964" spans="1:28" x14ac:dyDescent="0.25">
      <c r="A964" s="26" t="s">
        <v>1384</v>
      </c>
      <c r="B964" s="26" t="s">
        <v>55</v>
      </c>
      <c r="C964" s="26" t="str">
        <f t="shared" si="100"/>
        <v>Ricardo Carvalho</v>
      </c>
      <c r="D964" s="37" t="s">
        <v>349</v>
      </c>
      <c r="E964" s="27">
        <f t="shared" si="101"/>
        <v>45939</v>
      </c>
      <c r="F964" s="26" t="s">
        <v>22</v>
      </c>
      <c r="G964" s="26" t="str">
        <f t="shared" si="102"/>
        <v>Amanda Costa</v>
      </c>
      <c r="H964" s="26" t="s">
        <v>52</v>
      </c>
      <c r="I964" s="26" t="s">
        <v>61</v>
      </c>
      <c r="J964" s="28">
        <v>3</v>
      </c>
      <c r="K964" s="29">
        <v>199</v>
      </c>
      <c r="L964" s="29">
        <v>0</v>
      </c>
      <c r="M964" s="30">
        <f t="shared" si="98"/>
        <v>597</v>
      </c>
      <c r="N964" s="26" t="s">
        <v>25</v>
      </c>
      <c r="Q964" s="42" t="s">
        <v>1384</v>
      </c>
      <c r="R964" s="42" t="s">
        <v>55</v>
      </c>
      <c r="S964" s="57">
        <f t="shared" si="93"/>
        <v>45939</v>
      </c>
      <c r="T964" s="44" t="s">
        <v>22</v>
      </c>
      <c r="U964" s="43" t="s">
        <v>52</v>
      </c>
      <c r="V964" s="42" t="s">
        <v>61</v>
      </c>
      <c r="W964" s="45">
        <v>3</v>
      </c>
      <c r="X964" s="46">
        <v>199</v>
      </c>
      <c r="Y964" s="46">
        <v>0</v>
      </c>
      <c r="Z964" s="47">
        <f t="shared" si="99"/>
        <v>597</v>
      </c>
      <c r="AA964" s="48" t="s">
        <v>25</v>
      </c>
      <c r="AB964"/>
    </row>
    <row r="965" spans="1:28" x14ac:dyDescent="0.25">
      <c r="A965" s="31" t="s">
        <v>1385</v>
      </c>
      <c r="B965" s="31" t="s">
        <v>34</v>
      </c>
      <c r="C965" s="32" t="str">
        <f t="shared" si="100"/>
        <v>Carlos Silva</v>
      </c>
      <c r="D965" s="38" t="s">
        <v>464</v>
      </c>
      <c r="E965" s="33">
        <f t="shared" si="101"/>
        <v>45694</v>
      </c>
      <c r="F965" s="32" t="s">
        <v>22</v>
      </c>
      <c r="G965" s="32" t="str">
        <f t="shared" si="102"/>
        <v>Amanda Costa</v>
      </c>
      <c r="H965" s="32" t="s">
        <v>23</v>
      </c>
      <c r="I965" s="32" t="s">
        <v>88</v>
      </c>
      <c r="J965" s="34">
        <v>3</v>
      </c>
      <c r="K965" s="35">
        <v>650</v>
      </c>
      <c r="L965" s="35">
        <v>163.33000000000001</v>
      </c>
      <c r="M965" s="36">
        <f t="shared" si="98"/>
        <v>1786.67</v>
      </c>
      <c r="N965" s="32" t="s">
        <v>25</v>
      </c>
      <c r="Q965" s="49" t="s">
        <v>1385</v>
      </c>
      <c r="R965" s="49" t="s">
        <v>34</v>
      </c>
      <c r="S965" s="58">
        <f t="shared" si="93"/>
        <v>45694</v>
      </c>
      <c r="T965" s="51" t="s">
        <v>22</v>
      </c>
      <c r="U965" s="50" t="s">
        <v>23</v>
      </c>
      <c r="V965" s="52" t="s">
        <v>88</v>
      </c>
      <c r="W965" s="53">
        <v>3</v>
      </c>
      <c r="X965" s="54">
        <v>650</v>
      </c>
      <c r="Y965" s="54">
        <v>163.33000000000001</v>
      </c>
      <c r="Z965" s="55">
        <f t="shared" si="99"/>
        <v>1786.67</v>
      </c>
      <c r="AA965" s="56" t="s">
        <v>25</v>
      </c>
      <c r="AB965"/>
    </row>
    <row r="966" spans="1:28" x14ac:dyDescent="0.25">
      <c r="A966" s="26" t="s">
        <v>1386</v>
      </c>
      <c r="B966" s="26" t="s">
        <v>95</v>
      </c>
      <c r="C966" s="26" t="str">
        <f t="shared" si="100"/>
        <v>Maria Oliveira</v>
      </c>
      <c r="D966" s="37" t="s">
        <v>835</v>
      </c>
      <c r="E966" s="27">
        <f t="shared" si="101"/>
        <v>45750</v>
      </c>
      <c r="F966" s="26" t="s">
        <v>29</v>
      </c>
      <c r="G966" s="26" t="str">
        <f t="shared" si="102"/>
        <v>Camila Rocha</v>
      </c>
      <c r="H966" s="26" t="s">
        <v>23</v>
      </c>
      <c r="I966" s="26" t="s">
        <v>88</v>
      </c>
      <c r="J966" s="28">
        <v>1</v>
      </c>
      <c r="K966" s="29">
        <v>650</v>
      </c>
      <c r="L966" s="29">
        <v>29.21</v>
      </c>
      <c r="M966" s="30">
        <f t="shared" si="98"/>
        <v>620.79</v>
      </c>
      <c r="N966" s="26" t="s">
        <v>65</v>
      </c>
      <c r="Q966" s="42" t="s">
        <v>1386</v>
      </c>
      <c r="R966" s="42" t="s">
        <v>95</v>
      </c>
      <c r="S966" s="57">
        <f t="shared" ref="S966:S1029" si="103">DATEVALUE(D966)</f>
        <v>45750</v>
      </c>
      <c r="T966" s="44" t="s">
        <v>29</v>
      </c>
      <c r="U966" s="43" t="s">
        <v>23</v>
      </c>
      <c r="V966" s="42" t="s">
        <v>88</v>
      </c>
      <c r="W966" s="45">
        <v>1</v>
      </c>
      <c r="X966" s="46">
        <v>650</v>
      </c>
      <c r="Y966" s="46">
        <v>29.21</v>
      </c>
      <c r="Z966" s="47">
        <f t="shared" si="99"/>
        <v>620.79</v>
      </c>
      <c r="AA966" s="48" t="s">
        <v>65</v>
      </c>
      <c r="AB966"/>
    </row>
    <row r="967" spans="1:28" x14ac:dyDescent="0.25">
      <c r="A967" s="31" t="s">
        <v>1387</v>
      </c>
      <c r="B967" s="31" t="s">
        <v>134</v>
      </c>
      <c r="C967" s="32" t="str">
        <f t="shared" si="100"/>
        <v>Ana Souza</v>
      </c>
      <c r="D967" s="38" t="s">
        <v>286</v>
      </c>
      <c r="E967" s="33">
        <f t="shared" si="101"/>
        <v>45712</v>
      </c>
      <c r="F967" s="32" t="s">
        <v>29</v>
      </c>
      <c r="G967" s="32" t="str">
        <f t="shared" si="102"/>
        <v>Camila Rocha</v>
      </c>
      <c r="H967" s="32" t="s">
        <v>52</v>
      </c>
      <c r="I967" s="32" t="s">
        <v>53</v>
      </c>
      <c r="J967" s="34">
        <v>2</v>
      </c>
      <c r="K967" s="35">
        <v>149</v>
      </c>
      <c r="L967" s="35">
        <v>15.05</v>
      </c>
      <c r="M967" s="36">
        <f t="shared" si="98"/>
        <v>282.95</v>
      </c>
      <c r="N967" s="32" t="s">
        <v>65</v>
      </c>
      <c r="Q967" s="49" t="s">
        <v>1387</v>
      </c>
      <c r="R967" s="49" t="s">
        <v>101</v>
      </c>
      <c r="S967" s="58">
        <f t="shared" si="103"/>
        <v>45712</v>
      </c>
      <c r="T967" s="51" t="s">
        <v>29</v>
      </c>
      <c r="U967" s="50" t="s">
        <v>52</v>
      </c>
      <c r="V967" s="52" t="s">
        <v>53</v>
      </c>
      <c r="W967" s="53">
        <v>2</v>
      </c>
      <c r="X967" s="54">
        <v>149</v>
      </c>
      <c r="Y967" s="54">
        <v>15.05</v>
      </c>
      <c r="Z967" s="55">
        <f t="shared" si="99"/>
        <v>282.95</v>
      </c>
      <c r="AA967" s="56" t="s">
        <v>65</v>
      </c>
      <c r="AB967"/>
    </row>
    <row r="968" spans="1:28" x14ac:dyDescent="0.25">
      <c r="A968" s="26" t="s">
        <v>1388</v>
      </c>
      <c r="B968" s="26" t="s">
        <v>63</v>
      </c>
      <c r="C968" s="26" t="str">
        <f t="shared" si="100"/>
        <v>Marcos Rodrigues</v>
      </c>
      <c r="D968" s="37" t="s">
        <v>742</v>
      </c>
      <c r="E968" s="27">
        <f t="shared" si="101"/>
        <v>45828</v>
      </c>
      <c r="F968" s="26" t="s">
        <v>22</v>
      </c>
      <c r="G968" s="26" t="str">
        <f t="shared" si="102"/>
        <v>Amanda Costa</v>
      </c>
      <c r="H968" s="26" t="s">
        <v>16</v>
      </c>
      <c r="I968" s="26" t="s">
        <v>116</v>
      </c>
      <c r="J968" s="28">
        <v>3</v>
      </c>
      <c r="K968" s="29">
        <v>45</v>
      </c>
      <c r="L968" s="29">
        <v>2.96</v>
      </c>
      <c r="M968" s="30">
        <f t="shared" si="98"/>
        <v>132.04</v>
      </c>
      <c r="N968" s="26" t="s">
        <v>25</v>
      </c>
      <c r="Q968" s="42" t="s">
        <v>1388</v>
      </c>
      <c r="R968" s="42" t="s">
        <v>63</v>
      </c>
      <c r="S968" s="57">
        <f t="shared" si="103"/>
        <v>45828</v>
      </c>
      <c r="T968" s="44" t="s">
        <v>22</v>
      </c>
      <c r="U968" s="43" t="s">
        <v>16</v>
      </c>
      <c r="V968" s="42" t="s">
        <v>116</v>
      </c>
      <c r="W968" s="45">
        <v>3</v>
      </c>
      <c r="X968" s="46">
        <v>45</v>
      </c>
      <c r="Y968" s="46">
        <v>2.96</v>
      </c>
      <c r="Z968" s="47">
        <f t="shared" si="99"/>
        <v>132.04</v>
      </c>
      <c r="AA968" s="48" t="s">
        <v>25</v>
      </c>
      <c r="AB968"/>
    </row>
    <row r="969" spans="1:28" x14ac:dyDescent="0.25">
      <c r="A969" s="31" t="s">
        <v>1389</v>
      </c>
      <c r="B969" s="31" t="s">
        <v>101</v>
      </c>
      <c r="C969" s="32" t="str">
        <f t="shared" si="100"/>
        <v>Ana Souza</v>
      </c>
      <c r="D969" s="38" t="s">
        <v>42</v>
      </c>
      <c r="E969" s="33">
        <f t="shared" si="101"/>
        <v>46004</v>
      </c>
      <c r="F969" s="32" t="s">
        <v>15</v>
      </c>
      <c r="G969" s="32" t="str">
        <f t="shared" si="102"/>
        <v>Larissa Dias</v>
      </c>
      <c r="H969" s="32" t="s">
        <v>30</v>
      </c>
      <c r="I969" s="32" t="s">
        <v>106</v>
      </c>
      <c r="J969" s="34">
        <v>1</v>
      </c>
      <c r="K969" s="35">
        <v>299</v>
      </c>
      <c r="L969" s="35">
        <v>32.53</v>
      </c>
      <c r="M969" s="36">
        <f t="shared" si="98"/>
        <v>266.47000000000003</v>
      </c>
      <c r="N969" s="32" t="s">
        <v>44</v>
      </c>
      <c r="Q969" s="49" t="s">
        <v>1389</v>
      </c>
      <c r="R969" s="49" t="s">
        <v>101</v>
      </c>
      <c r="S969" s="58">
        <f t="shared" si="103"/>
        <v>46004</v>
      </c>
      <c r="T969" s="51" t="s">
        <v>15</v>
      </c>
      <c r="U969" s="50" t="s">
        <v>30</v>
      </c>
      <c r="V969" s="52" t="s">
        <v>106</v>
      </c>
      <c r="W969" s="53">
        <v>1</v>
      </c>
      <c r="X969" s="54">
        <v>299</v>
      </c>
      <c r="Y969" s="54">
        <v>32.53</v>
      </c>
      <c r="Z969" s="55">
        <f t="shared" si="99"/>
        <v>266.47000000000003</v>
      </c>
      <c r="AA969" s="56" t="s">
        <v>44</v>
      </c>
      <c r="AB969"/>
    </row>
    <row r="970" spans="1:28" x14ac:dyDescent="0.25">
      <c r="A970" s="26" t="s">
        <v>1390</v>
      </c>
      <c r="B970" s="26" t="s">
        <v>95</v>
      </c>
      <c r="C970" s="26" t="str">
        <f t="shared" si="100"/>
        <v>Maria Oliveira</v>
      </c>
      <c r="D970" s="37" t="s">
        <v>503</v>
      </c>
      <c r="E970" s="27">
        <f t="shared" si="101"/>
        <v>45793</v>
      </c>
      <c r="F970" s="26" t="s">
        <v>39</v>
      </c>
      <c r="G970" s="26" t="str">
        <f t="shared" si="102"/>
        <v>Rodrigo Mello</v>
      </c>
      <c r="H970" s="26" t="s">
        <v>16</v>
      </c>
      <c r="I970" s="26" t="s">
        <v>103</v>
      </c>
      <c r="J970" s="28">
        <v>4</v>
      </c>
      <c r="K970" s="29">
        <v>89</v>
      </c>
      <c r="L970" s="29">
        <v>29.32</v>
      </c>
      <c r="M970" s="30">
        <f t="shared" si="98"/>
        <v>326.68</v>
      </c>
      <c r="N970" s="26" t="s">
        <v>65</v>
      </c>
      <c r="Q970" s="42" t="s">
        <v>1390</v>
      </c>
      <c r="R970" s="42" t="s">
        <v>95</v>
      </c>
      <c r="S970" s="57">
        <f t="shared" si="103"/>
        <v>45793</v>
      </c>
      <c r="T970" s="44" t="s">
        <v>39</v>
      </c>
      <c r="U970" s="43" t="s">
        <v>16</v>
      </c>
      <c r="V970" s="42" t="s">
        <v>103</v>
      </c>
      <c r="W970" s="45">
        <v>4</v>
      </c>
      <c r="X970" s="46">
        <v>89</v>
      </c>
      <c r="Y970" s="46">
        <v>29.32</v>
      </c>
      <c r="Z970" s="47">
        <f t="shared" si="99"/>
        <v>326.68</v>
      </c>
      <c r="AA970" s="48" t="s">
        <v>65</v>
      </c>
      <c r="AB970"/>
    </row>
    <row r="971" spans="1:28" x14ac:dyDescent="0.25">
      <c r="A971" s="31" t="s">
        <v>1391</v>
      </c>
      <c r="B971" s="31" t="s">
        <v>101</v>
      </c>
      <c r="C971" s="32" t="str">
        <f t="shared" si="100"/>
        <v>Ana Souza</v>
      </c>
      <c r="D971" s="38" t="s">
        <v>700</v>
      </c>
      <c r="E971" s="33">
        <f t="shared" si="101"/>
        <v>46013</v>
      </c>
      <c r="F971" s="32" t="s">
        <v>15</v>
      </c>
      <c r="G971" s="32" t="str">
        <f t="shared" si="102"/>
        <v>Larissa Dias</v>
      </c>
      <c r="H971" s="32" t="s">
        <v>30</v>
      </c>
      <c r="I971" s="32" t="s">
        <v>68</v>
      </c>
      <c r="J971" s="34">
        <v>1</v>
      </c>
      <c r="K971" s="35">
        <v>799</v>
      </c>
      <c r="L971" s="35">
        <v>84.27</v>
      </c>
      <c r="M971" s="36">
        <f t="shared" si="98"/>
        <v>714.73</v>
      </c>
      <c r="N971" s="32" t="s">
        <v>89</v>
      </c>
      <c r="Q971" s="49" t="s">
        <v>1391</v>
      </c>
      <c r="R971" s="49" t="s">
        <v>101</v>
      </c>
      <c r="S971" s="58">
        <f t="shared" si="103"/>
        <v>46013</v>
      </c>
      <c r="T971" s="51" t="s">
        <v>15</v>
      </c>
      <c r="U971" s="50" t="s">
        <v>30</v>
      </c>
      <c r="V971" s="52" t="s">
        <v>68</v>
      </c>
      <c r="W971" s="53">
        <v>1</v>
      </c>
      <c r="X971" s="54">
        <v>799</v>
      </c>
      <c r="Y971" s="54">
        <v>84.27</v>
      </c>
      <c r="Z971" s="55">
        <f t="shared" si="99"/>
        <v>714.73</v>
      </c>
      <c r="AA971" s="56" t="s">
        <v>89</v>
      </c>
      <c r="AB971"/>
    </row>
    <row r="972" spans="1:28" x14ac:dyDescent="0.25">
      <c r="A972" s="26" t="s">
        <v>1392</v>
      </c>
      <c r="B972" s="26" t="s">
        <v>95</v>
      </c>
      <c r="C972" s="26" t="str">
        <f t="shared" si="100"/>
        <v>Maria Oliveira</v>
      </c>
      <c r="D972" s="37" t="s">
        <v>1153</v>
      </c>
      <c r="E972" s="27">
        <f t="shared" si="101"/>
        <v>46012</v>
      </c>
      <c r="F972" s="26" t="s">
        <v>22</v>
      </c>
      <c r="G972" s="26" t="str">
        <f t="shared" si="102"/>
        <v>Amanda Costa</v>
      </c>
      <c r="H972" s="26" t="s">
        <v>52</v>
      </c>
      <c r="I972" s="26" t="s">
        <v>99</v>
      </c>
      <c r="J972" s="28">
        <v>1</v>
      </c>
      <c r="K972" s="29">
        <v>79</v>
      </c>
      <c r="L972" s="29">
        <v>0</v>
      </c>
      <c r="M972" s="30">
        <f t="shared" si="98"/>
        <v>79</v>
      </c>
      <c r="N972" s="26" t="s">
        <v>18</v>
      </c>
      <c r="Q972" s="42" t="s">
        <v>1392</v>
      </c>
      <c r="R972" s="42" t="s">
        <v>95</v>
      </c>
      <c r="S972" s="57">
        <f t="shared" si="103"/>
        <v>46012</v>
      </c>
      <c r="T972" s="44" t="s">
        <v>22</v>
      </c>
      <c r="U972" s="43" t="s">
        <v>52</v>
      </c>
      <c r="V972" s="42" t="s">
        <v>99</v>
      </c>
      <c r="W972" s="45">
        <v>1</v>
      </c>
      <c r="X972" s="46">
        <v>79</v>
      </c>
      <c r="Y972" s="46">
        <v>0</v>
      </c>
      <c r="Z972" s="47">
        <f t="shared" si="99"/>
        <v>79</v>
      </c>
      <c r="AA972" s="48" t="s">
        <v>18</v>
      </c>
      <c r="AB972"/>
    </row>
    <row r="973" spans="1:28" x14ac:dyDescent="0.25">
      <c r="A973" s="31" t="s">
        <v>1393</v>
      </c>
      <c r="B973" s="31" t="s">
        <v>71</v>
      </c>
      <c r="C973" s="32" t="str">
        <f t="shared" si="100"/>
        <v>Juliana Costa</v>
      </c>
      <c r="D973" s="38" t="s">
        <v>1690</v>
      </c>
      <c r="E973" s="33">
        <f t="shared" si="101"/>
        <v>46016</v>
      </c>
      <c r="F973" s="32" t="s">
        <v>39</v>
      </c>
      <c r="G973" s="32" t="str">
        <f t="shared" si="102"/>
        <v>Rodrigo Mello</v>
      </c>
      <c r="H973" s="32" t="s">
        <v>30</v>
      </c>
      <c r="I973" s="32" t="s">
        <v>31</v>
      </c>
      <c r="J973" s="34">
        <v>4</v>
      </c>
      <c r="K973" s="35">
        <v>2500</v>
      </c>
      <c r="L973" s="35">
        <v>0</v>
      </c>
      <c r="M973" s="36">
        <f t="shared" si="98"/>
        <v>10000</v>
      </c>
      <c r="N973" s="32" t="s">
        <v>25</v>
      </c>
      <c r="Q973" s="49" t="s">
        <v>1393</v>
      </c>
      <c r="R973" s="49" t="s">
        <v>71</v>
      </c>
      <c r="S973" s="58">
        <f t="shared" si="103"/>
        <v>46016</v>
      </c>
      <c r="T973" s="51" t="s">
        <v>39</v>
      </c>
      <c r="U973" s="50" t="s">
        <v>30</v>
      </c>
      <c r="V973" s="52" t="s">
        <v>31</v>
      </c>
      <c r="W973" s="53">
        <v>4</v>
      </c>
      <c r="X973" s="54">
        <v>2500</v>
      </c>
      <c r="Y973" s="54">
        <v>0</v>
      </c>
      <c r="Z973" s="55">
        <f t="shared" si="99"/>
        <v>10000</v>
      </c>
      <c r="AA973" s="56" t="s">
        <v>25</v>
      </c>
      <c r="AB973"/>
    </row>
    <row r="974" spans="1:28" x14ac:dyDescent="0.25">
      <c r="A974" s="26" t="s">
        <v>1394</v>
      </c>
      <c r="B974" s="26" t="s">
        <v>34</v>
      </c>
      <c r="C974" s="26" t="str">
        <f t="shared" si="100"/>
        <v>Carlos Silva</v>
      </c>
      <c r="D974" s="37" t="s">
        <v>384</v>
      </c>
      <c r="E974" s="27">
        <f t="shared" si="101"/>
        <v>46058</v>
      </c>
      <c r="F974" s="26" t="s">
        <v>22</v>
      </c>
      <c r="G974" s="26" t="str">
        <f t="shared" si="102"/>
        <v>Amanda Costa</v>
      </c>
      <c r="H974" s="26" t="s">
        <v>23</v>
      </c>
      <c r="I974" s="26" t="s">
        <v>48</v>
      </c>
      <c r="J974" s="28">
        <v>4</v>
      </c>
      <c r="K974" s="29">
        <v>450</v>
      </c>
      <c r="L974" s="29">
        <v>74.27</v>
      </c>
      <c r="M974" s="30">
        <f t="shared" si="98"/>
        <v>1725.73</v>
      </c>
      <c r="N974" s="26" t="s">
        <v>65</v>
      </c>
      <c r="Q974" s="42" t="s">
        <v>1394</v>
      </c>
      <c r="R974" s="42" t="s">
        <v>34</v>
      </c>
      <c r="S974" s="57">
        <f t="shared" si="103"/>
        <v>46058</v>
      </c>
      <c r="T974" s="44" t="s">
        <v>22</v>
      </c>
      <c r="U974" s="43" t="s">
        <v>23</v>
      </c>
      <c r="V974" s="42" t="s">
        <v>48</v>
      </c>
      <c r="W974" s="45">
        <v>4</v>
      </c>
      <c r="X974" s="46">
        <v>450</v>
      </c>
      <c r="Y974" s="46">
        <v>74.27</v>
      </c>
      <c r="Z974" s="47">
        <f t="shared" si="99"/>
        <v>1725.73</v>
      </c>
      <c r="AA974" s="48" t="s">
        <v>65</v>
      </c>
      <c r="AB974"/>
    </row>
    <row r="975" spans="1:28" x14ac:dyDescent="0.25">
      <c r="A975" s="31" t="s">
        <v>1395</v>
      </c>
      <c r="B975" s="31" t="s">
        <v>71</v>
      </c>
      <c r="C975" s="32" t="str">
        <f t="shared" si="100"/>
        <v>Juliana Costa</v>
      </c>
      <c r="D975" s="38" t="s">
        <v>1170</v>
      </c>
      <c r="E975" s="33">
        <f t="shared" si="101"/>
        <v>45833</v>
      </c>
      <c r="F975" s="32" t="s">
        <v>29</v>
      </c>
      <c r="G975" s="32" t="str">
        <f t="shared" si="102"/>
        <v>Camila Rocha</v>
      </c>
      <c r="H975" s="32" t="s">
        <v>16</v>
      </c>
      <c r="I975" s="32" t="s">
        <v>78</v>
      </c>
      <c r="J975" s="34">
        <v>2</v>
      </c>
      <c r="K975" s="35">
        <v>59</v>
      </c>
      <c r="L975" s="35">
        <v>11.89</v>
      </c>
      <c r="M975" s="36">
        <f t="shared" si="98"/>
        <v>106.11</v>
      </c>
      <c r="N975" s="32" t="s">
        <v>18</v>
      </c>
      <c r="Q975" s="49" t="s">
        <v>1395</v>
      </c>
      <c r="R975" s="49" t="s">
        <v>71</v>
      </c>
      <c r="S975" s="58">
        <f t="shared" si="103"/>
        <v>45833</v>
      </c>
      <c r="T975" s="51" t="s">
        <v>29</v>
      </c>
      <c r="U975" s="50" t="s">
        <v>16</v>
      </c>
      <c r="V975" s="52" t="s">
        <v>78</v>
      </c>
      <c r="W975" s="53">
        <v>2</v>
      </c>
      <c r="X975" s="54">
        <v>59</v>
      </c>
      <c r="Y975" s="54">
        <v>11.89</v>
      </c>
      <c r="Z975" s="55">
        <f t="shared" si="99"/>
        <v>106.11</v>
      </c>
      <c r="AA975" s="56" t="s">
        <v>18</v>
      </c>
      <c r="AB975"/>
    </row>
    <row r="976" spans="1:28" x14ac:dyDescent="0.25">
      <c r="A976" s="26" t="s">
        <v>1396</v>
      </c>
      <c r="B976" s="26" t="s">
        <v>63</v>
      </c>
      <c r="C976" s="26" t="str">
        <f t="shared" si="100"/>
        <v>Marcos Rodrigues</v>
      </c>
      <c r="D976" s="37" t="s">
        <v>1691</v>
      </c>
      <c r="E976" s="27">
        <f t="shared" si="101"/>
        <v>46023</v>
      </c>
      <c r="F976" s="26" t="s">
        <v>15</v>
      </c>
      <c r="G976" s="26" t="str">
        <f t="shared" si="102"/>
        <v>Larissa Dias</v>
      </c>
      <c r="H976" s="26" t="s">
        <v>30</v>
      </c>
      <c r="I976" s="26" t="s">
        <v>68</v>
      </c>
      <c r="J976" s="28">
        <v>2</v>
      </c>
      <c r="K976" s="29">
        <v>799</v>
      </c>
      <c r="L976" s="29">
        <v>0</v>
      </c>
      <c r="M976" s="30">
        <f t="shared" si="98"/>
        <v>1598</v>
      </c>
      <c r="N976" s="26" t="s">
        <v>89</v>
      </c>
      <c r="Q976" s="42" t="s">
        <v>1396</v>
      </c>
      <c r="R976" s="42" t="s">
        <v>63</v>
      </c>
      <c r="S976" s="57">
        <f t="shared" si="103"/>
        <v>46023</v>
      </c>
      <c r="T976" s="44" t="s">
        <v>15</v>
      </c>
      <c r="U976" s="43" t="s">
        <v>30</v>
      </c>
      <c r="V976" s="42" t="s">
        <v>68</v>
      </c>
      <c r="W976" s="45">
        <v>2</v>
      </c>
      <c r="X976" s="46">
        <v>799</v>
      </c>
      <c r="Y976" s="46">
        <v>0</v>
      </c>
      <c r="Z976" s="47">
        <f t="shared" si="99"/>
        <v>1598</v>
      </c>
      <c r="AA976" s="48" t="s">
        <v>89</v>
      </c>
      <c r="AB976"/>
    </row>
    <row r="977" spans="1:28" x14ac:dyDescent="0.25">
      <c r="A977" s="31" t="s">
        <v>1397</v>
      </c>
      <c r="B977" s="31" t="s">
        <v>101</v>
      </c>
      <c r="C977" s="32" t="str">
        <f t="shared" si="100"/>
        <v>Ana Souza</v>
      </c>
      <c r="D977" s="38" t="s">
        <v>399</v>
      </c>
      <c r="E977" s="33">
        <f t="shared" si="101"/>
        <v>45951</v>
      </c>
      <c r="F977" s="32" t="s">
        <v>47</v>
      </c>
      <c r="G977" s="32" t="str">
        <f t="shared" si="102"/>
        <v>Bruno Martins</v>
      </c>
      <c r="H977" s="32" t="s">
        <v>52</v>
      </c>
      <c r="I977" s="32" t="s">
        <v>53</v>
      </c>
      <c r="J977" s="34">
        <v>2</v>
      </c>
      <c r="K977" s="35">
        <v>149</v>
      </c>
      <c r="L977" s="35">
        <v>0</v>
      </c>
      <c r="M977" s="36">
        <f t="shared" si="98"/>
        <v>298</v>
      </c>
      <c r="N977" s="32" t="s">
        <v>32</v>
      </c>
      <c r="Q977" s="49" t="s">
        <v>1397</v>
      </c>
      <c r="R977" s="49" t="s">
        <v>101</v>
      </c>
      <c r="S977" s="58">
        <f t="shared" si="103"/>
        <v>45951</v>
      </c>
      <c r="T977" s="51" t="s">
        <v>47</v>
      </c>
      <c r="U977" s="50" t="s">
        <v>52</v>
      </c>
      <c r="V977" s="52" t="s">
        <v>53</v>
      </c>
      <c r="W977" s="53">
        <v>2</v>
      </c>
      <c r="X977" s="54">
        <v>149</v>
      </c>
      <c r="Y977" s="54">
        <v>0</v>
      </c>
      <c r="Z977" s="55">
        <f t="shared" si="99"/>
        <v>298</v>
      </c>
      <c r="AA977" s="56" t="s">
        <v>32</v>
      </c>
      <c r="AB977"/>
    </row>
    <row r="978" spans="1:28" x14ac:dyDescent="0.25">
      <c r="A978" s="26" t="s">
        <v>1398</v>
      </c>
      <c r="B978" s="26" t="s">
        <v>63</v>
      </c>
      <c r="C978" s="26" t="str">
        <f t="shared" si="100"/>
        <v>Marcos Rodrigues</v>
      </c>
      <c r="D978" s="37" t="s">
        <v>1066</v>
      </c>
      <c r="E978" s="27">
        <f t="shared" si="101"/>
        <v>45687</v>
      </c>
      <c r="F978" s="26" t="s">
        <v>15</v>
      </c>
      <c r="G978" s="26" t="str">
        <f t="shared" si="102"/>
        <v>Larissa Dias</v>
      </c>
      <c r="H978" s="26" t="s">
        <v>23</v>
      </c>
      <c r="I978" s="26" t="s">
        <v>88</v>
      </c>
      <c r="J978" s="28">
        <v>1</v>
      </c>
      <c r="K978" s="29">
        <v>650</v>
      </c>
      <c r="L978" s="29">
        <v>44.32</v>
      </c>
      <c r="M978" s="30">
        <f t="shared" si="98"/>
        <v>605.67999999999995</v>
      </c>
      <c r="N978" s="26" t="s">
        <v>89</v>
      </c>
      <c r="Q978" s="42" t="s">
        <v>1398</v>
      </c>
      <c r="R978" s="42" t="s">
        <v>63</v>
      </c>
      <c r="S978" s="57">
        <f t="shared" si="103"/>
        <v>45687</v>
      </c>
      <c r="T978" s="44" t="s">
        <v>15</v>
      </c>
      <c r="U978" s="43" t="s">
        <v>23</v>
      </c>
      <c r="V978" s="42" t="s">
        <v>88</v>
      </c>
      <c r="W978" s="45">
        <v>1</v>
      </c>
      <c r="X978" s="46">
        <v>650</v>
      </c>
      <c r="Y978" s="46">
        <v>44.32</v>
      </c>
      <c r="Z978" s="47">
        <f t="shared" si="99"/>
        <v>605.67999999999995</v>
      </c>
      <c r="AA978" s="48" t="s">
        <v>89</v>
      </c>
      <c r="AB978"/>
    </row>
    <row r="979" spans="1:28" x14ac:dyDescent="0.25">
      <c r="A979" s="31" t="s">
        <v>1399</v>
      </c>
      <c r="B979" s="31" t="s">
        <v>37</v>
      </c>
      <c r="C979" s="32" t="str">
        <f t="shared" si="100"/>
        <v>Patricia Gomes</v>
      </c>
      <c r="D979" s="38" t="s">
        <v>1400</v>
      </c>
      <c r="E979" s="33">
        <f t="shared" si="101"/>
        <v>45719</v>
      </c>
      <c r="F979" s="32" t="s">
        <v>29</v>
      </c>
      <c r="G979" s="32" t="str">
        <f t="shared" si="102"/>
        <v>Camila Rocha</v>
      </c>
      <c r="H979" s="32" t="s">
        <v>16</v>
      </c>
      <c r="I979" s="32" t="s">
        <v>17</v>
      </c>
      <c r="J979" s="34">
        <v>5</v>
      </c>
      <c r="K979" s="35">
        <v>39</v>
      </c>
      <c r="L979" s="35">
        <v>9.52</v>
      </c>
      <c r="M979" s="36">
        <f t="shared" si="98"/>
        <v>185.48</v>
      </c>
      <c r="N979" s="32" t="s">
        <v>25</v>
      </c>
      <c r="Q979" s="49" t="s">
        <v>1399</v>
      </c>
      <c r="R979" s="49" t="s">
        <v>37</v>
      </c>
      <c r="S979" s="58">
        <f t="shared" si="103"/>
        <v>45719</v>
      </c>
      <c r="T979" s="51" t="s">
        <v>29</v>
      </c>
      <c r="U979" s="50" t="s">
        <v>16</v>
      </c>
      <c r="V979" s="52" t="s">
        <v>17</v>
      </c>
      <c r="W979" s="53">
        <v>5</v>
      </c>
      <c r="X979" s="54">
        <v>39</v>
      </c>
      <c r="Y979" s="54">
        <v>9.52</v>
      </c>
      <c r="Z979" s="55">
        <f t="shared" si="99"/>
        <v>185.48</v>
      </c>
      <c r="AA979" s="56" t="s">
        <v>25</v>
      </c>
      <c r="AB979"/>
    </row>
    <row r="980" spans="1:28" x14ac:dyDescent="0.25">
      <c r="A980" s="26" t="s">
        <v>1401</v>
      </c>
      <c r="B980" s="26" t="s">
        <v>63</v>
      </c>
      <c r="C980" s="26" t="str">
        <f t="shared" si="100"/>
        <v>Marcos Rodrigues</v>
      </c>
      <c r="D980" s="37" t="s">
        <v>327</v>
      </c>
      <c r="E980" s="27">
        <f t="shared" si="101"/>
        <v>45955</v>
      </c>
      <c r="F980" s="26" t="s">
        <v>22</v>
      </c>
      <c r="G980" s="26" t="str">
        <f t="shared" si="102"/>
        <v>Amanda Costa</v>
      </c>
      <c r="H980" s="26" t="s">
        <v>52</v>
      </c>
      <c r="I980" s="26" t="s">
        <v>53</v>
      </c>
      <c r="J980" s="28">
        <v>1</v>
      </c>
      <c r="K980" s="29">
        <v>149</v>
      </c>
      <c r="L980" s="29">
        <v>0</v>
      </c>
      <c r="M980" s="30">
        <f t="shared" si="98"/>
        <v>149</v>
      </c>
      <c r="N980" s="26" t="s">
        <v>32</v>
      </c>
      <c r="Q980" s="42" t="s">
        <v>1401</v>
      </c>
      <c r="R980" s="42" t="s">
        <v>63</v>
      </c>
      <c r="S980" s="57">
        <f t="shared" si="103"/>
        <v>45955</v>
      </c>
      <c r="T980" s="44" t="s">
        <v>22</v>
      </c>
      <c r="U980" s="43" t="s">
        <v>52</v>
      </c>
      <c r="V980" s="42" t="s">
        <v>53</v>
      </c>
      <c r="W980" s="45">
        <v>1</v>
      </c>
      <c r="X980" s="46">
        <v>149</v>
      </c>
      <c r="Y980" s="46">
        <v>0</v>
      </c>
      <c r="Z980" s="47">
        <f t="shared" si="99"/>
        <v>149</v>
      </c>
      <c r="AA980" s="48" t="s">
        <v>32</v>
      </c>
      <c r="AB980"/>
    </row>
    <row r="981" spans="1:28" x14ac:dyDescent="0.25">
      <c r="A981" s="31" t="s">
        <v>1402</v>
      </c>
      <c r="B981" s="31" t="s">
        <v>20</v>
      </c>
      <c r="C981" s="32" t="str">
        <f t="shared" si="100"/>
        <v>Beatriz Ribeiro</v>
      </c>
      <c r="D981" s="38" t="s">
        <v>403</v>
      </c>
      <c r="E981" s="33">
        <f t="shared" si="101"/>
        <v>45949</v>
      </c>
      <c r="F981" s="32" t="s">
        <v>29</v>
      </c>
      <c r="G981" s="32" t="str">
        <f t="shared" si="102"/>
        <v>Camila Rocha</v>
      </c>
      <c r="H981" s="32" t="s">
        <v>23</v>
      </c>
      <c r="I981" s="32" t="s">
        <v>43</v>
      </c>
      <c r="J981" s="34">
        <v>5</v>
      </c>
      <c r="K981" s="35">
        <v>350</v>
      </c>
      <c r="L981" s="35">
        <v>117.16</v>
      </c>
      <c r="M981" s="36">
        <f t="shared" si="98"/>
        <v>1632.84</v>
      </c>
      <c r="N981" s="32" t="s">
        <v>89</v>
      </c>
      <c r="Q981" s="49" t="s">
        <v>1402</v>
      </c>
      <c r="R981" s="49" t="s">
        <v>20</v>
      </c>
      <c r="S981" s="58">
        <f t="shared" si="103"/>
        <v>45949</v>
      </c>
      <c r="T981" s="51" t="s">
        <v>29</v>
      </c>
      <c r="U981" s="50" t="s">
        <v>23</v>
      </c>
      <c r="V981" s="52" t="s">
        <v>43</v>
      </c>
      <c r="W981" s="53">
        <v>5</v>
      </c>
      <c r="X981" s="54">
        <v>350</v>
      </c>
      <c r="Y981" s="54">
        <v>117.16</v>
      </c>
      <c r="Z981" s="55">
        <f t="shared" si="99"/>
        <v>1632.84</v>
      </c>
      <c r="AA981" s="56" t="s">
        <v>89</v>
      </c>
      <c r="AB981"/>
    </row>
    <row r="982" spans="1:28" x14ac:dyDescent="0.25">
      <c r="A982" s="26" t="s">
        <v>1403</v>
      </c>
      <c r="B982" s="26" t="s">
        <v>27</v>
      </c>
      <c r="C982" s="26" t="str">
        <f t="shared" si="100"/>
        <v>Roberto Santos</v>
      </c>
      <c r="D982" s="37" t="s">
        <v>503</v>
      </c>
      <c r="E982" s="27">
        <f t="shared" si="101"/>
        <v>45793</v>
      </c>
      <c r="F982" s="26" t="s">
        <v>39</v>
      </c>
      <c r="G982" s="26" t="str">
        <f t="shared" si="102"/>
        <v>Rodrigo Mello</v>
      </c>
      <c r="H982" s="26" t="s">
        <v>52</v>
      </c>
      <c r="I982" s="26" t="s">
        <v>61</v>
      </c>
      <c r="J982" s="28">
        <v>5</v>
      </c>
      <c r="K982" s="29">
        <v>199</v>
      </c>
      <c r="L982" s="29">
        <v>0</v>
      </c>
      <c r="M982" s="30">
        <f t="shared" si="98"/>
        <v>995</v>
      </c>
      <c r="N982" s="26" t="s">
        <v>44</v>
      </c>
      <c r="Q982" s="42" t="s">
        <v>1403</v>
      </c>
      <c r="R982" s="42" t="s">
        <v>27</v>
      </c>
      <c r="S982" s="57">
        <f t="shared" si="103"/>
        <v>45793</v>
      </c>
      <c r="T982" s="44" t="s">
        <v>39</v>
      </c>
      <c r="U982" s="43" t="s">
        <v>52</v>
      </c>
      <c r="V982" s="42" t="s">
        <v>61</v>
      </c>
      <c r="W982" s="45">
        <v>5</v>
      </c>
      <c r="X982" s="46">
        <v>199</v>
      </c>
      <c r="Y982" s="46">
        <v>0</v>
      </c>
      <c r="Z982" s="47">
        <f t="shared" si="99"/>
        <v>995</v>
      </c>
      <c r="AA982" s="48" t="s">
        <v>44</v>
      </c>
      <c r="AB982"/>
    </row>
    <row r="983" spans="1:28" x14ac:dyDescent="0.25">
      <c r="A983" s="31" t="s">
        <v>1404</v>
      </c>
      <c r="B983" s="31" t="s">
        <v>27</v>
      </c>
      <c r="C983" s="32" t="str">
        <f t="shared" si="100"/>
        <v>Roberto Santos</v>
      </c>
      <c r="D983" s="38" t="s">
        <v>67</v>
      </c>
      <c r="E983" s="33">
        <f t="shared" si="101"/>
        <v>45905</v>
      </c>
      <c r="F983" s="32" t="s">
        <v>47</v>
      </c>
      <c r="G983" s="32" t="str">
        <f t="shared" si="102"/>
        <v>Bruno Martins</v>
      </c>
      <c r="H983" s="32" t="s">
        <v>52</v>
      </c>
      <c r="I983" s="32" t="s">
        <v>61</v>
      </c>
      <c r="J983" s="34">
        <v>1</v>
      </c>
      <c r="K983" s="35">
        <v>199</v>
      </c>
      <c r="L983" s="35">
        <v>0</v>
      </c>
      <c r="M983" s="36">
        <f t="shared" si="98"/>
        <v>199</v>
      </c>
      <c r="N983" s="32" t="s">
        <v>25</v>
      </c>
      <c r="Q983" s="49" t="s">
        <v>1404</v>
      </c>
      <c r="R983" s="49" t="s">
        <v>27</v>
      </c>
      <c r="S983" s="58">
        <f t="shared" si="103"/>
        <v>45905</v>
      </c>
      <c r="T983" s="51" t="s">
        <v>47</v>
      </c>
      <c r="U983" s="50" t="s">
        <v>52</v>
      </c>
      <c r="V983" s="52" t="s">
        <v>61</v>
      </c>
      <c r="W983" s="53">
        <v>1</v>
      </c>
      <c r="X983" s="54">
        <v>199</v>
      </c>
      <c r="Y983" s="54">
        <v>0</v>
      </c>
      <c r="Z983" s="55">
        <f t="shared" si="99"/>
        <v>199</v>
      </c>
      <c r="AA983" s="56" t="s">
        <v>25</v>
      </c>
      <c r="AB983"/>
    </row>
    <row r="984" spans="1:28" x14ac:dyDescent="0.25">
      <c r="A984" s="26" t="s">
        <v>1405</v>
      </c>
      <c r="B984" s="26" t="s">
        <v>13</v>
      </c>
      <c r="C984" s="26" t="str">
        <f t="shared" si="100"/>
        <v>Lucas Almeida</v>
      </c>
      <c r="D984" s="37" t="s">
        <v>379</v>
      </c>
      <c r="E984" s="27">
        <f t="shared" si="101"/>
        <v>45797</v>
      </c>
      <c r="F984" s="26" t="s">
        <v>22</v>
      </c>
      <c r="G984" s="26" t="str">
        <f t="shared" si="102"/>
        <v>Amanda Costa</v>
      </c>
      <c r="H984" s="26" t="s">
        <v>23</v>
      </c>
      <c r="I984" s="26" t="s">
        <v>88</v>
      </c>
      <c r="J984" s="28">
        <v>5</v>
      </c>
      <c r="K984" s="29">
        <v>650</v>
      </c>
      <c r="L984" s="29">
        <v>0</v>
      </c>
      <c r="M984" s="30">
        <f t="shared" si="98"/>
        <v>3250</v>
      </c>
      <c r="N984" s="26" t="s">
        <v>49</v>
      </c>
      <c r="Q984" s="42" t="s">
        <v>1405</v>
      </c>
      <c r="R984" s="42" t="s">
        <v>13</v>
      </c>
      <c r="S984" s="57">
        <f t="shared" si="103"/>
        <v>45797</v>
      </c>
      <c r="T984" s="44" t="s">
        <v>22</v>
      </c>
      <c r="U984" s="43" t="s">
        <v>23</v>
      </c>
      <c r="V984" s="42" t="s">
        <v>88</v>
      </c>
      <c r="W984" s="45">
        <v>5</v>
      </c>
      <c r="X984" s="46">
        <v>650</v>
      </c>
      <c r="Y984" s="46">
        <v>0</v>
      </c>
      <c r="Z984" s="47">
        <f t="shared" si="99"/>
        <v>3250</v>
      </c>
      <c r="AA984" s="48" t="s">
        <v>49</v>
      </c>
      <c r="AB984"/>
    </row>
    <row r="985" spans="1:28" x14ac:dyDescent="0.25">
      <c r="A985" s="31" t="s">
        <v>1406</v>
      </c>
      <c r="B985" s="31" t="s">
        <v>63</v>
      </c>
      <c r="C985" s="32" t="str">
        <f t="shared" si="100"/>
        <v>Marcos Rodrigues</v>
      </c>
      <c r="D985" s="38" t="s">
        <v>223</v>
      </c>
      <c r="E985" s="33">
        <f t="shared" si="101"/>
        <v>46021</v>
      </c>
      <c r="F985" s="32" t="s">
        <v>22</v>
      </c>
      <c r="G985" s="32" t="str">
        <f t="shared" si="102"/>
        <v>Amanda Costa</v>
      </c>
      <c r="H985" s="32" t="s">
        <v>30</v>
      </c>
      <c r="I985" s="32" t="s">
        <v>106</v>
      </c>
      <c r="J985" s="34">
        <v>4</v>
      </c>
      <c r="K985" s="35">
        <v>299</v>
      </c>
      <c r="L985" s="35">
        <v>0</v>
      </c>
      <c r="M985" s="36">
        <f t="shared" si="98"/>
        <v>1196</v>
      </c>
      <c r="N985" s="32" t="s">
        <v>69</v>
      </c>
      <c r="Q985" s="49" t="s">
        <v>1406</v>
      </c>
      <c r="R985" s="49" t="s">
        <v>63</v>
      </c>
      <c r="S985" s="58">
        <f t="shared" si="103"/>
        <v>46021</v>
      </c>
      <c r="T985" s="51" t="s">
        <v>22</v>
      </c>
      <c r="U985" s="50" t="s">
        <v>30</v>
      </c>
      <c r="V985" s="52" t="s">
        <v>106</v>
      </c>
      <c r="W985" s="53">
        <v>4</v>
      </c>
      <c r="X985" s="54">
        <v>299</v>
      </c>
      <c r="Y985" s="54">
        <v>0</v>
      </c>
      <c r="Z985" s="55">
        <f t="shared" si="99"/>
        <v>1196</v>
      </c>
      <c r="AA985" s="56" t="s">
        <v>69</v>
      </c>
      <c r="AB985"/>
    </row>
    <row r="986" spans="1:28" x14ac:dyDescent="0.25">
      <c r="A986" s="26" t="s">
        <v>1407</v>
      </c>
      <c r="B986" s="26" t="s">
        <v>71</v>
      </c>
      <c r="C986" s="26" t="str">
        <f t="shared" si="100"/>
        <v>Juliana Costa</v>
      </c>
      <c r="D986" s="37" t="s">
        <v>136</v>
      </c>
      <c r="E986" s="27">
        <f t="shared" si="101"/>
        <v>45695</v>
      </c>
      <c r="F986" s="26" t="s">
        <v>15</v>
      </c>
      <c r="G986" s="26" t="str">
        <f t="shared" si="102"/>
        <v>Larissa Dias</v>
      </c>
      <c r="H986" s="26" t="s">
        <v>30</v>
      </c>
      <c r="I986" s="26" t="s">
        <v>68</v>
      </c>
      <c r="J986" s="28">
        <v>4</v>
      </c>
      <c r="K986" s="29">
        <v>799</v>
      </c>
      <c r="L986" s="29">
        <v>385.99</v>
      </c>
      <c r="M986" s="30">
        <f t="shared" si="98"/>
        <v>2810.01</v>
      </c>
      <c r="N986" s="26" t="s">
        <v>25</v>
      </c>
      <c r="Q986" s="42" t="s">
        <v>1407</v>
      </c>
      <c r="R986" s="42" t="s">
        <v>71</v>
      </c>
      <c r="S986" s="57">
        <f t="shared" si="103"/>
        <v>45695</v>
      </c>
      <c r="T986" s="44" t="s">
        <v>15</v>
      </c>
      <c r="U986" s="43" t="s">
        <v>30</v>
      </c>
      <c r="V986" s="42" t="s">
        <v>68</v>
      </c>
      <c r="W986" s="45">
        <v>4</v>
      </c>
      <c r="X986" s="46">
        <v>799</v>
      </c>
      <c r="Y986" s="46">
        <v>385.99</v>
      </c>
      <c r="Z986" s="47">
        <f t="shared" si="99"/>
        <v>2810.01</v>
      </c>
      <c r="AA986" s="48" t="s">
        <v>25</v>
      </c>
      <c r="AB986"/>
    </row>
    <row r="987" spans="1:28" x14ac:dyDescent="0.25">
      <c r="A987" s="31" t="s">
        <v>1408</v>
      </c>
      <c r="B987" s="31" t="s">
        <v>13</v>
      </c>
      <c r="C987" s="32" t="str">
        <f t="shared" si="100"/>
        <v>Lucas Almeida</v>
      </c>
      <c r="D987" s="38" t="s">
        <v>1027</v>
      </c>
      <c r="E987" s="33">
        <f t="shared" si="101"/>
        <v>45808</v>
      </c>
      <c r="F987" s="32" t="s">
        <v>29</v>
      </c>
      <c r="G987" s="32" t="str">
        <f t="shared" si="102"/>
        <v>Camila Rocha</v>
      </c>
      <c r="H987" s="32" t="s">
        <v>23</v>
      </c>
      <c r="I987" s="32" t="s">
        <v>88</v>
      </c>
      <c r="J987" s="34">
        <v>3</v>
      </c>
      <c r="K987" s="35">
        <v>650</v>
      </c>
      <c r="L987" s="35">
        <v>0</v>
      </c>
      <c r="M987" s="36">
        <f t="shared" si="98"/>
        <v>1950</v>
      </c>
      <c r="N987" s="32" t="s">
        <v>32</v>
      </c>
      <c r="Q987" s="49" t="s">
        <v>1408</v>
      </c>
      <c r="R987" s="49" t="s">
        <v>13</v>
      </c>
      <c r="S987" s="58">
        <f t="shared" si="103"/>
        <v>45808</v>
      </c>
      <c r="T987" s="51" t="s">
        <v>29</v>
      </c>
      <c r="U987" s="50" t="s">
        <v>23</v>
      </c>
      <c r="V987" s="52" t="s">
        <v>88</v>
      </c>
      <c r="W987" s="53">
        <v>3</v>
      </c>
      <c r="X987" s="54">
        <v>650</v>
      </c>
      <c r="Y987" s="54">
        <v>0</v>
      </c>
      <c r="Z987" s="55">
        <f t="shared" si="99"/>
        <v>1950</v>
      </c>
      <c r="AA987" s="56" t="s">
        <v>32</v>
      </c>
      <c r="AB987"/>
    </row>
    <row r="988" spans="1:28" x14ac:dyDescent="0.25">
      <c r="A988" s="26" t="s">
        <v>1409</v>
      </c>
      <c r="B988" s="26" t="s">
        <v>95</v>
      </c>
      <c r="C988" s="26" t="str">
        <f t="shared" si="100"/>
        <v>Maria Oliveira</v>
      </c>
      <c r="D988" s="37" t="s">
        <v>60</v>
      </c>
      <c r="E988" s="27">
        <f t="shared" si="101"/>
        <v>45763</v>
      </c>
      <c r="F988" s="26" t="s">
        <v>47</v>
      </c>
      <c r="G988" s="26" t="str">
        <f t="shared" si="102"/>
        <v>Bruno Martins</v>
      </c>
      <c r="H988" s="26" t="s">
        <v>52</v>
      </c>
      <c r="I988" s="26" t="s">
        <v>75</v>
      </c>
      <c r="J988" s="28">
        <v>5</v>
      </c>
      <c r="K988" s="29">
        <v>249</v>
      </c>
      <c r="L988" s="29">
        <v>0</v>
      </c>
      <c r="M988" s="30">
        <f t="shared" si="98"/>
        <v>1245</v>
      </c>
      <c r="N988" s="26" t="s">
        <v>32</v>
      </c>
      <c r="Q988" s="42" t="s">
        <v>1409</v>
      </c>
      <c r="R988" s="42" t="s">
        <v>95</v>
      </c>
      <c r="S988" s="57">
        <f t="shared" si="103"/>
        <v>45763</v>
      </c>
      <c r="T988" s="44" t="s">
        <v>47</v>
      </c>
      <c r="U988" s="43" t="s">
        <v>52</v>
      </c>
      <c r="V988" s="42" t="s">
        <v>75</v>
      </c>
      <c r="W988" s="45">
        <v>5</v>
      </c>
      <c r="X988" s="46">
        <v>249</v>
      </c>
      <c r="Y988" s="46">
        <v>0</v>
      </c>
      <c r="Z988" s="47">
        <f t="shared" si="99"/>
        <v>1245</v>
      </c>
      <c r="AA988" s="48" t="s">
        <v>32</v>
      </c>
      <c r="AB988"/>
    </row>
    <row r="989" spans="1:28" x14ac:dyDescent="0.25">
      <c r="A989" s="31" t="s">
        <v>1410</v>
      </c>
      <c r="B989" s="31" t="s">
        <v>71</v>
      </c>
      <c r="C989" s="32" t="str">
        <f t="shared" si="100"/>
        <v>Juliana Costa</v>
      </c>
      <c r="D989" s="38" t="s">
        <v>564</v>
      </c>
      <c r="E989" s="33">
        <f t="shared" si="101"/>
        <v>45832</v>
      </c>
      <c r="F989" s="32" t="s">
        <v>22</v>
      </c>
      <c r="G989" s="32" t="str">
        <f t="shared" si="102"/>
        <v>Amanda Costa</v>
      </c>
      <c r="H989" s="32" t="s">
        <v>30</v>
      </c>
      <c r="I989" s="32" t="s">
        <v>152</v>
      </c>
      <c r="J989" s="34">
        <v>4</v>
      </c>
      <c r="K989" s="35">
        <v>4500</v>
      </c>
      <c r="L989" s="35">
        <v>1000.24</v>
      </c>
      <c r="M989" s="36">
        <f t="shared" si="98"/>
        <v>16999.759999999998</v>
      </c>
      <c r="N989" s="32" t="s">
        <v>65</v>
      </c>
      <c r="Q989" s="49" t="s">
        <v>1410</v>
      </c>
      <c r="R989" s="49" t="s">
        <v>71</v>
      </c>
      <c r="S989" s="58">
        <f t="shared" si="103"/>
        <v>45832</v>
      </c>
      <c r="T989" s="51" t="s">
        <v>22</v>
      </c>
      <c r="U989" s="50" t="s">
        <v>30</v>
      </c>
      <c r="V989" s="52" t="s">
        <v>152</v>
      </c>
      <c r="W989" s="53">
        <v>4</v>
      </c>
      <c r="X989" s="54">
        <v>4500</v>
      </c>
      <c r="Y989" s="54">
        <v>1000.24</v>
      </c>
      <c r="Z989" s="55">
        <f t="shared" si="99"/>
        <v>16999.759999999998</v>
      </c>
      <c r="AA989" s="56" t="s">
        <v>65</v>
      </c>
      <c r="AB989"/>
    </row>
    <row r="990" spans="1:28" x14ac:dyDescent="0.25">
      <c r="A990" s="26" t="s">
        <v>1411</v>
      </c>
      <c r="B990" s="26" t="s">
        <v>27</v>
      </c>
      <c r="C990" s="26" t="str">
        <f t="shared" si="100"/>
        <v>Roberto Santos</v>
      </c>
      <c r="D990" s="37" t="s">
        <v>449</v>
      </c>
      <c r="E990" s="27">
        <f t="shared" si="101"/>
        <v>45912</v>
      </c>
      <c r="F990" s="26" t="s">
        <v>39</v>
      </c>
      <c r="G990" s="26" t="str">
        <f t="shared" si="102"/>
        <v>Rodrigo Mello</v>
      </c>
      <c r="H990" s="26" t="s">
        <v>23</v>
      </c>
      <c r="I990" s="26" t="s">
        <v>43</v>
      </c>
      <c r="J990" s="28">
        <v>5</v>
      </c>
      <c r="K990" s="29">
        <v>350</v>
      </c>
      <c r="L990" s="29">
        <v>0</v>
      </c>
      <c r="M990" s="30">
        <f t="shared" si="98"/>
        <v>1750</v>
      </c>
      <c r="N990" s="26" t="s">
        <v>69</v>
      </c>
      <c r="Q990" s="42" t="s">
        <v>1411</v>
      </c>
      <c r="R990" s="42" t="s">
        <v>27</v>
      </c>
      <c r="S990" s="57">
        <f t="shared" si="103"/>
        <v>45912</v>
      </c>
      <c r="T990" s="44" t="s">
        <v>39</v>
      </c>
      <c r="U990" s="43" t="s">
        <v>23</v>
      </c>
      <c r="V990" s="42" t="s">
        <v>43</v>
      </c>
      <c r="W990" s="45">
        <v>5</v>
      </c>
      <c r="X990" s="46">
        <v>350</v>
      </c>
      <c r="Y990" s="46">
        <v>0</v>
      </c>
      <c r="Z990" s="47">
        <f t="shared" si="99"/>
        <v>1750</v>
      </c>
      <c r="AA990" s="48" t="s">
        <v>69</v>
      </c>
      <c r="AB990"/>
    </row>
    <row r="991" spans="1:28" x14ac:dyDescent="0.25">
      <c r="A991" s="31" t="s">
        <v>1412</v>
      </c>
      <c r="B991" s="31" t="s">
        <v>37</v>
      </c>
      <c r="C991" s="32" t="str">
        <f t="shared" si="100"/>
        <v>Patricia Gomes</v>
      </c>
      <c r="D991" s="38" t="s">
        <v>58</v>
      </c>
      <c r="E991" s="33">
        <f t="shared" si="101"/>
        <v>45920</v>
      </c>
      <c r="F991" s="32" t="s">
        <v>15</v>
      </c>
      <c r="G991" s="32" t="str">
        <f t="shared" si="102"/>
        <v>Larissa Dias</v>
      </c>
      <c r="H991" s="32" t="s">
        <v>16</v>
      </c>
      <c r="I991" s="32" t="s">
        <v>116</v>
      </c>
      <c r="J991" s="34">
        <v>2</v>
      </c>
      <c r="K991" s="35">
        <v>45</v>
      </c>
      <c r="L991" s="35">
        <v>0</v>
      </c>
      <c r="M991" s="36">
        <f t="shared" si="98"/>
        <v>90</v>
      </c>
      <c r="N991" s="32" t="s">
        <v>25</v>
      </c>
      <c r="Q991" s="49" t="s">
        <v>1412</v>
      </c>
      <c r="R991" s="49" t="s">
        <v>37</v>
      </c>
      <c r="S991" s="58">
        <f t="shared" si="103"/>
        <v>45920</v>
      </c>
      <c r="T991" s="51" t="s">
        <v>15</v>
      </c>
      <c r="U991" s="50" t="s">
        <v>16</v>
      </c>
      <c r="V991" s="52" t="s">
        <v>116</v>
      </c>
      <c r="W991" s="53">
        <v>2</v>
      </c>
      <c r="X991" s="54">
        <v>45</v>
      </c>
      <c r="Y991" s="54">
        <v>0</v>
      </c>
      <c r="Z991" s="55">
        <f t="shared" si="99"/>
        <v>90</v>
      </c>
      <c r="AA991" s="56" t="s">
        <v>25</v>
      </c>
      <c r="AB991"/>
    </row>
    <row r="992" spans="1:28" x14ac:dyDescent="0.25">
      <c r="A992" s="26" t="s">
        <v>1413</v>
      </c>
      <c r="B992" s="26" t="s">
        <v>41</v>
      </c>
      <c r="C992" s="26" t="str">
        <f t="shared" si="100"/>
        <v>João Pereira</v>
      </c>
      <c r="D992" s="37" t="s">
        <v>1340</v>
      </c>
      <c r="E992" s="27">
        <f t="shared" si="101"/>
        <v>45680</v>
      </c>
      <c r="F992" s="26" t="s">
        <v>47</v>
      </c>
      <c r="G992" s="26" t="str">
        <f t="shared" si="102"/>
        <v>Bruno Martins</v>
      </c>
      <c r="H992" s="26" t="s">
        <v>30</v>
      </c>
      <c r="I992" s="26" t="s">
        <v>68</v>
      </c>
      <c r="J992" s="28">
        <v>5</v>
      </c>
      <c r="K992" s="29">
        <v>799</v>
      </c>
      <c r="L992" s="29">
        <v>555.57000000000005</v>
      </c>
      <c r="M992" s="30">
        <f t="shared" si="98"/>
        <v>3439.43</v>
      </c>
      <c r="N992" s="26" t="s">
        <v>65</v>
      </c>
      <c r="Q992" s="42" t="s">
        <v>1413</v>
      </c>
      <c r="R992" s="42" t="s">
        <v>41</v>
      </c>
      <c r="S992" s="57">
        <f t="shared" si="103"/>
        <v>45680</v>
      </c>
      <c r="T992" s="44" t="s">
        <v>47</v>
      </c>
      <c r="U992" s="43" t="s">
        <v>30</v>
      </c>
      <c r="V992" s="42" t="s">
        <v>68</v>
      </c>
      <c r="W992" s="45">
        <v>5</v>
      </c>
      <c r="X992" s="46">
        <v>799</v>
      </c>
      <c r="Y992" s="46">
        <v>555.57000000000005</v>
      </c>
      <c r="Z992" s="47">
        <f t="shared" si="99"/>
        <v>3439.43</v>
      </c>
      <c r="AA992" s="48" t="s">
        <v>65</v>
      </c>
      <c r="AB992"/>
    </row>
    <row r="993" spans="1:28" x14ac:dyDescent="0.25">
      <c r="A993" s="31" t="s">
        <v>1414</v>
      </c>
      <c r="B993" s="31" t="s">
        <v>41</v>
      </c>
      <c r="C993" s="32" t="str">
        <f t="shared" si="100"/>
        <v>João Pereira</v>
      </c>
      <c r="D993" s="38" t="s">
        <v>690</v>
      </c>
      <c r="E993" s="33">
        <f t="shared" si="101"/>
        <v>45794</v>
      </c>
      <c r="F993" s="32" t="s">
        <v>47</v>
      </c>
      <c r="G993" s="32" t="str">
        <f t="shared" si="102"/>
        <v>Bruno Martins</v>
      </c>
      <c r="H993" s="32" t="s">
        <v>52</v>
      </c>
      <c r="I993" s="32" t="s">
        <v>53</v>
      </c>
      <c r="J993" s="34">
        <v>2</v>
      </c>
      <c r="K993" s="35">
        <v>149</v>
      </c>
      <c r="L993" s="35">
        <v>0</v>
      </c>
      <c r="M993" s="36">
        <f t="shared" si="98"/>
        <v>298</v>
      </c>
      <c r="N993" s="32" t="s">
        <v>32</v>
      </c>
      <c r="Q993" s="49" t="s">
        <v>1414</v>
      </c>
      <c r="R993" s="49" t="s">
        <v>41</v>
      </c>
      <c r="S993" s="58">
        <f t="shared" si="103"/>
        <v>45794</v>
      </c>
      <c r="T993" s="51" t="s">
        <v>47</v>
      </c>
      <c r="U993" s="50" t="s">
        <v>52</v>
      </c>
      <c r="V993" s="52" t="s">
        <v>53</v>
      </c>
      <c r="W993" s="53">
        <v>2</v>
      </c>
      <c r="X993" s="54">
        <v>149</v>
      </c>
      <c r="Y993" s="54">
        <v>0</v>
      </c>
      <c r="Z993" s="55">
        <f t="shared" si="99"/>
        <v>298</v>
      </c>
      <c r="AA993" s="56" t="s">
        <v>32</v>
      </c>
      <c r="AB993"/>
    </row>
    <row r="994" spans="1:28" x14ac:dyDescent="0.25">
      <c r="A994" s="26" t="s">
        <v>1415</v>
      </c>
      <c r="B994" s="26" t="s">
        <v>110</v>
      </c>
      <c r="C994" s="26" t="str">
        <f t="shared" si="100"/>
        <v>Fernanda Lima</v>
      </c>
      <c r="D994" s="37" t="s">
        <v>1050</v>
      </c>
      <c r="E994" s="27">
        <f t="shared" si="101"/>
        <v>45681</v>
      </c>
      <c r="F994" s="26" t="s">
        <v>15</v>
      </c>
      <c r="G994" s="26" t="str">
        <f t="shared" si="102"/>
        <v>Larissa Dias</v>
      </c>
      <c r="H994" s="26" t="s">
        <v>52</v>
      </c>
      <c r="I994" s="26" t="s">
        <v>99</v>
      </c>
      <c r="J994" s="28">
        <v>1</v>
      </c>
      <c r="K994" s="29">
        <v>79</v>
      </c>
      <c r="L994" s="29">
        <v>4.54</v>
      </c>
      <c r="M994" s="30">
        <f t="shared" si="98"/>
        <v>74.459999999999994</v>
      </c>
      <c r="N994" s="26" t="s">
        <v>18</v>
      </c>
      <c r="Q994" s="42" t="s">
        <v>1415</v>
      </c>
      <c r="R994" s="42" t="s">
        <v>110</v>
      </c>
      <c r="S994" s="57">
        <f t="shared" si="103"/>
        <v>45681</v>
      </c>
      <c r="T994" s="44" t="s">
        <v>15</v>
      </c>
      <c r="U994" s="43" t="s">
        <v>52</v>
      </c>
      <c r="V994" s="42" t="s">
        <v>99</v>
      </c>
      <c r="W994" s="45">
        <v>1</v>
      </c>
      <c r="X994" s="46">
        <v>79</v>
      </c>
      <c r="Y994" s="46">
        <v>4.54</v>
      </c>
      <c r="Z994" s="47">
        <f t="shared" si="99"/>
        <v>74.459999999999994</v>
      </c>
      <c r="AA994" s="48" t="s">
        <v>18</v>
      </c>
      <c r="AB994"/>
    </row>
    <row r="995" spans="1:28" x14ac:dyDescent="0.25">
      <c r="A995" s="31" t="s">
        <v>1416</v>
      </c>
      <c r="B995" s="31" t="s">
        <v>37</v>
      </c>
      <c r="C995" s="32" t="str">
        <f t="shared" si="100"/>
        <v>Patricia Gomes</v>
      </c>
      <c r="D995" s="38" t="s">
        <v>927</v>
      </c>
      <c r="E995" s="33">
        <f t="shared" si="101"/>
        <v>45779</v>
      </c>
      <c r="F995" s="32" t="s">
        <v>15</v>
      </c>
      <c r="G995" s="32" t="str">
        <f t="shared" si="102"/>
        <v>Larissa Dias</v>
      </c>
      <c r="H995" s="32" t="s">
        <v>23</v>
      </c>
      <c r="I995" s="32" t="s">
        <v>88</v>
      </c>
      <c r="J995" s="34">
        <v>5</v>
      </c>
      <c r="K995" s="35">
        <v>650</v>
      </c>
      <c r="L995" s="35">
        <v>227.52</v>
      </c>
      <c r="M995" s="36">
        <f t="shared" si="98"/>
        <v>3022.48</v>
      </c>
      <c r="N995" s="32" t="s">
        <v>32</v>
      </c>
      <c r="Q995" s="49" t="s">
        <v>1416</v>
      </c>
      <c r="R995" s="49" t="s">
        <v>37</v>
      </c>
      <c r="S995" s="58">
        <f t="shared" si="103"/>
        <v>45779</v>
      </c>
      <c r="T995" s="51" t="s">
        <v>15</v>
      </c>
      <c r="U995" s="50" t="s">
        <v>23</v>
      </c>
      <c r="V995" s="52" t="s">
        <v>88</v>
      </c>
      <c r="W995" s="53">
        <v>5</v>
      </c>
      <c r="X995" s="54">
        <v>650</v>
      </c>
      <c r="Y995" s="54">
        <v>227.52</v>
      </c>
      <c r="Z995" s="55">
        <f t="shared" si="99"/>
        <v>3022.48</v>
      </c>
      <c r="AA995" s="56" t="s">
        <v>32</v>
      </c>
      <c r="AB995"/>
    </row>
    <row r="996" spans="1:28" x14ac:dyDescent="0.25">
      <c r="A996" s="26" t="s">
        <v>1417</v>
      </c>
      <c r="B996" s="26" t="s">
        <v>27</v>
      </c>
      <c r="C996" s="26" t="str">
        <f t="shared" si="100"/>
        <v>Roberto Santos</v>
      </c>
      <c r="D996" s="37" t="s">
        <v>1090</v>
      </c>
      <c r="E996" s="27">
        <f t="shared" si="101"/>
        <v>45866</v>
      </c>
      <c r="F996" s="26" t="s">
        <v>22</v>
      </c>
      <c r="G996" s="26" t="str">
        <f t="shared" si="102"/>
        <v>Amanda Costa</v>
      </c>
      <c r="H996" s="26" t="s">
        <v>16</v>
      </c>
      <c r="I996" s="26" t="s">
        <v>103</v>
      </c>
      <c r="J996" s="28">
        <v>2</v>
      </c>
      <c r="K996" s="29">
        <v>89</v>
      </c>
      <c r="L996" s="29">
        <v>2.31</v>
      </c>
      <c r="M996" s="30">
        <f t="shared" si="98"/>
        <v>175.69</v>
      </c>
      <c r="N996" s="26" t="s">
        <v>44</v>
      </c>
      <c r="Q996" s="42" t="s">
        <v>1417</v>
      </c>
      <c r="R996" s="42" t="s">
        <v>27</v>
      </c>
      <c r="S996" s="57">
        <f t="shared" si="103"/>
        <v>45866</v>
      </c>
      <c r="T996" s="44" t="s">
        <v>22</v>
      </c>
      <c r="U996" s="43" t="s">
        <v>16</v>
      </c>
      <c r="V996" s="42" t="s">
        <v>103</v>
      </c>
      <c r="W996" s="45">
        <v>2</v>
      </c>
      <c r="X996" s="46">
        <v>89</v>
      </c>
      <c r="Y996" s="46">
        <v>2.31</v>
      </c>
      <c r="Z996" s="47">
        <f t="shared" si="99"/>
        <v>175.69</v>
      </c>
      <c r="AA996" s="48" t="s">
        <v>44</v>
      </c>
      <c r="AB996"/>
    </row>
    <row r="997" spans="1:28" x14ac:dyDescent="0.25">
      <c r="A997" s="31" t="s">
        <v>1418</v>
      </c>
      <c r="B997" s="31" t="s">
        <v>13</v>
      </c>
      <c r="C997" s="32" t="str">
        <f t="shared" si="100"/>
        <v>Lucas Almeida</v>
      </c>
      <c r="D997" s="38" t="s">
        <v>392</v>
      </c>
      <c r="E997" s="33">
        <f t="shared" si="101"/>
        <v>45867</v>
      </c>
      <c r="F997" s="32" t="s">
        <v>22</v>
      </c>
      <c r="G997" s="32" t="str">
        <f t="shared" si="102"/>
        <v>Amanda Costa</v>
      </c>
      <c r="H997" s="32" t="s">
        <v>52</v>
      </c>
      <c r="I997" s="32" t="s">
        <v>99</v>
      </c>
      <c r="J997" s="34">
        <v>1</v>
      </c>
      <c r="K997" s="35">
        <v>79</v>
      </c>
      <c r="L997" s="35">
        <v>0</v>
      </c>
      <c r="M997" s="36">
        <f t="shared" si="98"/>
        <v>79</v>
      </c>
      <c r="N997" s="32" t="s">
        <v>18</v>
      </c>
      <c r="Q997" s="49" t="s">
        <v>1418</v>
      </c>
      <c r="R997" s="49" t="s">
        <v>13</v>
      </c>
      <c r="S997" s="58">
        <f t="shared" si="103"/>
        <v>45867</v>
      </c>
      <c r="T997" s="51" t="s">
        <v>22</v>
      </c>
      <c r="U997" s="50" t="s">
        <v>52</v>
      </c>
      <c r="V997" s="52" t="s">
        <v>99</v>
      </c>
      <c r="W997" s="53">
        <v>1</v>
      </c>
      <c r="X997" s="54">
        <v>79</v>
      </c>
      <c r="Y997" s="54">
        <v>0</v>
      </c>
      <c r="Z997" s="55">
        <f t="shared" si="99"/>
        <v>79</v>
      </c>
      <c r="AA997" s="56" t="s">
        <v>18</v>
      </c>
      <c r="AB997"/>
    </row>
    <row r="998" spans="1:28" x14ac:dyDescent="0.25">
      <c r="A998" s="26" t="s">
        <v>1419</v>
      </c>
      <c r="B998" s="26" t="s">
        <v>34</v>
      </c>
      <c r="C998" s="26" t="str">
        <f t="shared" si="100"/>
        <v>Carlos Silva</v>
      </c>
      <c r="D998" s="37" t="s">
        <v>355</v>
      </c>
      <c r="E998" s="27">
        <f t="shared" si="101"/>
        <v>45895</v>
      </c>
      <c r="F998" s="26" t="s">
        <v>47</v>
      </c>
      <c r="G998" s="26" t="str">
        <f t="shared" si="102"/>
        <v>Bruno Martins</v>
      </c>
      <c r="H998" s="26" t="s">
        <v>23</v>
      </c>
      <c r="I998" s="26" t="s">
        <v>48</v>
      </c>
      <c r="J998" s="28">
        <v>3</v>
      </c>
      <c r="K998" s="29">
        <v>450</v>
      </c>
      <c r="L998" s="29">
        <v>1.72</v>
      </c>
      <c r="M998" s="30">
        <f t="shared" si="98"/>
        <v>1348.28</v>
      </c>
      <c r="N998" s="26" t="s">
        <v>25</v>
      </c>
      <c r="Q998" s="42" t="s">
        <v>1419</v>
      </c>
      <c r="R998" s="42" t="s">
        <v>34</v>
      </c>
      <c r="S998" s="57">
        <f t="shared" si="103"/>
        <v>45895</v>
      </c>
      <c r="T998" s="44" t="s">
        <v>47</v>
      </c>
      <c r="U998" s="43" t="s">
        <v>23</v>
      </c>
      <c r="V998" s="42" t="s">
        <v>48</v>
      </c>
      <c r="W998" s="45">
        <v>3</v>
      </c>
      <c r="X998" s="46">
        <v>450</v>
      </c>
      <c r="Y998" s="46">
        <v>1.72</v>
      </c>
      <c r="Z998" s="47">
        <f t="shared" si="99"/>
        <v>1348.28</v>
      </c>
      <c r="AA998" s="48" t="s">
        <v>25</v>
      </c>
      <c r="AB998"/>
    </row>
    <row r="999" spans="1:28" x14ac:dyDescent="0.25">
      <c r="A999" s="31" t="s">
        <v>1420</v>
      </c>
      <c r="B999" s="31" t="s">
        <v>37</v>
      </c>
      <c r="C999" s="32" t="str">
        <f t="shared" si="100"/>
        <v>Patricia Gomes</v>
      </c>
      <c r="D999" s="38" t="s">
        <v>1285</v>
      </c>
      <c r="E999" s="33">
        <f t="shared" si="101"/>
        <v>45844</v>
      </c>
      <c r="F999" s="32" t="s">
        <v>29</v>
      </c>
      <c r="G999" s="32" t="str">
        <f t="shared" si="102"/>
        <v>Camila Rocha</v>
      </c>
      <c r="H999" s="32" t="s">
        <v>16</v>
      </c>
      <c r="I999" s="32" t="s">
        <v>116</v>
      </c>
      <c r="J999" s="34">
        <v>3</v>
      </c>
      <c r="K999" s="35">
        <v>45</v>
      </c>
      <c r="L999" s="35">
        <v>0</v>
      </c>
      <c r="M999" s="36">
        <f t="shared" si="98"/>
        <v>135</v>
      </c>
      <c r="N999" s="32" t="s">
        <v>49</v>
      </c>
      <c r="Q999" s="49" t="s">
        <v>1420</v>
      </c>
      <c r="R999" s="49" t="s">
        <v>37</v>
      </c>
      <c r="S999" s="58">
        <f t="shared" si="103"/>
        <v>45844</v>
      </c>
      <c r="T999" s="51" t="s">
        <v>29</v>
      </c>
      <c r="U999" s="50" t="s">
        <v>16</v>
      </c>
      <c r="V999" s="52" t="s">
        <v>116</v>
      </c>
      <c r="W999" s="53">
        <v>3</v>
      </c>
      <c r="X999" s="54">
        <v>45</v>
      </c>
      <c r="Y999" s="54">
        <v>0</v>
      </c>
      <c r="Z999" s="55">
        <f t="shared" si="99"/>
        <v>135</v>
      </c>
      <c r="AA999" s="56" t="s">
        <v>49</v>
      </c>
      <c r="AB999"/>
    </row>
    <row r="1000" spans="1:28" x14ac:dyDescent="0.25">
      <c r="A1000" s="26" t="s">
        <v>1421</v>
      </c>
      <c r="B1000" s="26" t="s">
        <v>20</v>
      </c>
      <c r="C1000" s="26" t="str">
        <f t="shared" si="100"/>
        <v>Beatriz Ribeiro</v>
      </c>
      <c r="D1000" s="37" t="s">
        <v>220</v>
      </c>
      <c r="E1000" s="27">
        <f t="shared" si="101"/>
        <v>45760</v>
      </c>
      <c r="F1000" s="26" t="s">
        <v>15</v>
      </c>
      <c r="G1000" s="26" t="str">
        <f t="shared" si="102"/>
        <v>Larissa Dias</v>
      </c>
      <c r="H1000" s="26" t="s">
        <v>30</v>
      </c>
      <c r="I1000" s="26" t="s">
        <v>152</v>
      </c>
      <c r="J1000" s="28">
        <v>2</v>
      </c>
      <c r="K1000" s="29">
        <v>4500</v>
      </c>
      <c r="L1000" s="29">
        <v>808.38</v>
      </c>
      <c r="M1000" s="30">
        <f t="shared" si="98"/>
        <v>8191.62</v>
      </c>
      <c r="N1000" s="26" t="s">
        <v>44</v>
      </c>
      <c r="Q1000" s="42" t="s">
        <v>1421</v>
      </c>
      <c r="R1000" s="42" t="s">
        <v>20</v>
      </c>
      <c r="S1000" s="57">
        <f t="shared" si="103"/>
        <v>45760</v>
      </c>
      <c r="T1000" s="44" t="s">
        <v>15</v>
      </c>
      <c r="U1000" s="43" t="s">
        <v>30</v>
      </c>
      <c r="V1000" s="42" t="s">
        <v>152</v>
      </c>
      <c r="W1000" s="45">
        <v>2</v>
      </c>
      <c r="X1000" s="46">
        <v>4500</v>
      </c>
      <c r="Y1000" s="46">
        <v>808.38</v>
      </c>
      <c r="Z1000" s="47">
        <f t="shared" si="99"/>
        <v>8191.62</v>
      </c>
      <c r="AA1000" s="48" t="s">
        <v>44</v>
      </c>
      <c r="AB1000"/>
    </row>
    <row r="1001" spans="1:28" x14ac:dyDescent="0.25">
      <c r="A1001" s="31" t="s">
        <v>1422</v>
      </c>
      <c r="B1001" s="31" t="s">
        <v>95</v>
      </c>
      <c r="C1001" s="32" t="str">
        <f t="shared" si="100"/>
        <v>Maria Oliveira</v>
      </c>
      <c r="D1001" s="38" t="s">
        <v>1690</v>
      </c>
      <c r="E1001" s="33">
        <f t="shared" si="101"/>
        <v>46016</v>
      </c>
      <c r="F1001" s="32" t="s">
        <v>39</v>
      </c>
      <c r="G1001" s="32" t="str">
        <f t="shared" si="102"/>
        <v>Rodrigo Mello</v>
      </c>
      <c r="H1001" s="32" t="s">
        <v>23</v>
      </c>
      <c r="I1001" s="32" t="s">
        <v>43</v>
      </c>
      <c r="J1001" s="34">
        <v>2</v>
      </c>
      <c r="K1001" s="35">
        <v>350</v>
      </c>
      <c r="L1001" s="35">
        <v>84.6</v>
      </c>
      <c r="M1001" s="36">
        <f t="shared" si="98"/>
        <v>615.4</v>
      </c>
      <c r="N1001" s="32" t="s">
        <v>44</v>
      </c>
      <c r="Q1001" s="49" t="s">
        <v>1422</v>
      </c>
      <c r="R1001" s="49" t="s">
        <v>95</v>
      </c>
      <c r="S1001" s="58">
        <f t="shared" si="103"/>
        <v>46016</v>
      </c>
      <c r="T1001" s="51" t="s">
        <v>39</v>
      </c>
      <c r="U1001" s="50" t="s">
        <v>23</v>
      </c>
      <c r="V1001" s="52" t="s">
        <v>43</v>
      </c>
      <c r="W1001" s="53">
        <v>2</v>
      </c>
      <c r="X1001" s="54">
        <v>350</v>
      </c>
      <c r="Y1001" s="54">
        <v>84.6</v>
      </c>
      <c r="Z1001" s="55">
        <f t="shared" si="99"/>
        <v>615.4</v>
      </c>
      <c r="AA1001" s="56" t="s">
        <v>44</v>
      </c>
      <c r="AB1001"/>
    </row>
    <row r="1002" spans="1:28" x14ac:dyDescent="0.25">
      <c r="A1002" s="26" t="s">
        <v>1423</v>
      </c>
      <c r="B1002" s="26" t="s">
        <v>101</v>
      </c>
      <c r="C1002" s="26" t="str">
        <f t="shared" si="100"/>
        <v>Ana Souza</v>
      </c>
      <c r="D1002" s="37" t="s">
        <v>136</v>
      </c>
      <c r="E1002" s="27">
        <f t="shared" si="101"/>
        <v>45695</v>
      </c>
      <c r="F1002" s="26" t="s">
        <v>47</v>
      </c>
      <c r="G1002" s="26" t="str">
        <f t="shared" si="102"/>
        <v>Bruno Martins</v>
      </c>
      <c r="H1002" s="26" t="s">
        <v>52</v>
      </c>
      <c r="I1002" s="26" t="s">
        <v>61</v>
      </c>
      <c r="J1002" s="28">
        <v>1</v>
      </c>
      <c r="K1002" s="29">
        <v>199</v>
      </c>
      <c r="L1002" s="29">
        <v>13.39</v>
      </c>
      <c r="M1002" s="30">
        <f t="shared" si="98"/>
        <v>185.61</v>
      </c>
      <c r="N1002" s="26" t="s">
        <v>69</v>
      </c>
      <c r="Q1002" s="42" t="s">
        <v>1423</v>
      </c>
      <c r="R1002" s="42" t="s">
        <v>101</v>
      </c>
      <c r="S1002" s="57">
        <f t="shared" si="103"/>
        <v>45695</v>
      </c>
      <c r="T1002" s="44" t="s">
        <v>47</v>
      </c>
      <c r="U1002" s="43" t="s">
        <v>52</v>
      </c>
      <c r="V1002" s="42" t="s">
        <v>61</v>
      </c>
      <c r="W1002" s="45">
        <v>1</v>
      </c>
      <c r="X1002" s="46">
        <v>199</v>
      </c>
      <c r="Y1002" s="46">
        <v>13.39</v>
      </c>
      <c r="Z1002" s="47">
        <f t="shared" si="99"/>
        <v>185.61</v>
      </c>
      <c r="AA1002" s="48" t="s">
        <v>69</v>
      </c>
      <c r="AB1002"/>
    </row>
    <row r="1003" spans="1:28" x14ac:dyDescent="0.25">
      <c r="A1003" s="31" t="s">
        <v>1424</v>
      </c>
      <c r="B1003" s="31" t="s">
        <v>277</v>
      </c>
      <c r="C1003" s="32" t="str">
        <f t="shared" si="100"/>
        <v>Carlos Silva</v>
      </c>
      <c r="D1003" s="38" t="s">
        <v>1318</v>
      </c>
      <c r="E1003" s="33">
        <f t="shared" si="101"/>
        <v>45859</v>
      </c>
      <c r="F1003" s="32" t="s">
        <v>39</v>
      </c>
      <c r="G1003" s="32" t="str">
        <f t="shared" si="102"/>
        <v>Rodrigo Mello</v>
      </c>
      <c r="H1003" s="32" t="s">
        <v>16</v>
      </c>
      <c r="I1003" s="32" t="s">
        <v>116</v>
      </c>
      <c r="J1003" s="34">
        <v>5</v>
      </c>
      <c r="K1003" s="35">
        <v>45</v>
      </c>
      <c r="L1003" s="35">
        <v>0</v>
      </c>
      <c r="M1003" s="36">
        <f t="shared" si="98"/>
        <v>225</v>
      </c>
      <c r="N1003" s="32" t="s">
        <v>49</v>
      </c>
      <c r="Q1003" s="49" t="s">
        <v>1424</v>
      </c>
      <c r="R1003" s="49" t="s">
        <v>34</v>
      </c>
      <c r="S1003" s="58">
        <f t="shared" si="103"/>
        <v>45859</v>
      </c>
      <c r="T1003" s="51" t="s">
        <v>39</v>
      </c>
      <c r="U1003" s="50" t="s">
        <v>16</v>
      </c>
      <c r="V1003" s="52" t="s">
        <v>116</v>
      </c>
      <c r="W1003" s="53">
        <v>5</v>
      </c>
      <c r="X1003" s="54">
        <v>45</v>
      </c>
      <c r="Y1003" s="54">
        <v>0</v>
      </c>
      <c r="Z1003" s="55">
        <f t="shared" si="99"/>
        <v>225</v>
      </c>
      <c r="AA1003" s="56" t="s">
        <v>49</v>
      </c>
      <c r="AB1003"/>
    </row>
    <row r="1004" spans="1:28" x14ac:dyDescent="0.25">
      <c r="A1004" s="26" t="s">
        <v>1425</v>
      </c>
      <c r="B1004" s="26" t="s">
        <v>110</v>
      </c>
      <c r="C1004" s="26" t="str">
        <f t="shared" si="100"/>
        <v>Fernanda Lima</v>
      </c>
      <c r="D1004" s="37" t="s">
        <v>693</v>
      </c>
      <c r="E1004" s="27">
        <f t="shared" si="101"/>
        <v>45791</v>
      </c>
      <c r="F1004" s="26" t="s">
        <v>47</v>
      </c>
      <c r="G1004" s="26" t="str">
        <f t="shared" si="102"/>
        <v>Bruno Martins</v>
      </c>
      <c r="H1004" s="26" t="s">
        <v>23</v>
      </c>
      <c r="I1004" s="26" t="s">
        <v>24</v>
      </c>
      <c r="J1004" s="28">
        <v>3</v>
      </c>
      <c r="K1004" s="29">
        <v>180</v>
      </c>
      <c r="L1004" s="29">
        <v>46.34</v>
      </c>
      <c r="M1004" s="30">
        <f t="shared" si="98"/>
        <v>493.65999999999997</v>
      </c>
      <c r="N1004" s="26" t="s">
        <v>49</v>
      </c>
      <c r="Q1004" s="42" t="s">
        <v>1425</v>
      </c>
      <c r="R1004" s="42" t="s">
        <v>110</v>
      </c>
      <c r="S1004" s="57">
        <f t="shared" si="103"/>
        <v>45791</v>
      </c>
      <c r="T1004" s="44" t="s">
        <v>47</v>
      </c>
      <c r="U1004" s="43" t="s">
        <v>23</v>
      </c>
      <c r="V1004" s="42" t="s">
        <v>24</v>
      </c>
      <c r="W1004" s="45">
        <v>3</v>
      </c>
      <c r="X1004" s="46">
        <v>180</v>
      </c>
      <c r="Y1004" s="46">
        <v>46.34</v>
      </c>
      <c r="Z1004" s="47">
        <f t="shared" si="99"/>
        <v>493.65999999999997</v>
      </c>
      <c r="AA1004" s="48" t="s">
        <v>49</v>
      </c>
      <c r="AB1004"/>
    </row>
    <row r="1005" spans="1:28" x14ac:dyDescent="0.25">
      <c r="A1005" s="31" t="s">
        <v>1426</v>
      </c>
      <c r="B1005" s="31" t="s">
        <v>95</v>
      </c>
      <c r="C1005" s="32" t="str">
        <f t="shared" si="100"/>
        <v>Maria Oliveira</v>
      </c>
      <c r="D1005" s="38" t="s">
        <v>83</v>
      </c>
      <c r="E1005" s="33">
        <f t="shared" si="101"/>
        <v>45748</v>
      </c>
      <c r="F1005" s="32" t="s">
        <v>15</v>
      </c>
      <c r="G1005" s="32" t="str">
        <f t="shared" si="102"/>
        <v>Larissa Dias</v>
      </c>
      <c r="H1005" s="32" t="s">
        <v>52</v>
      </c>
      <c r="I1005" s="32" t="s">
        <v>61</v>
      </c>
      <c r="J1005" s="34">
        <v>3</v>
      </c>
      <c r="K1005" s="35">
        <v>199</v>
      </c>
      <c r="L1005" s="35">
        <v>0</v>
      </c>
      <c r="M1005" s="36">
        <f t="shared" si="98"/>
        <v>597</v>
      </c>
      <c r="N1005" s="32" t="s">
        <v>25</v>
      </c>
      <c r="Q1005" s="49" t="s">
        <v>1426</v>
      </c>
      <c r="R1005" s="49" t="s">
        <v>95</v>
      </c>
      <c r="S1005" s="58">
        <f t="shared" si="103"/>
        <v>45748</v>
      </c>
      <c r="T1005" s="51" t="s">
        <v>15</v>
      </c>
      <c r="U1005" s="50" t="s">
        <v>52</v>
      </c>
      <c r="V1005" s="52" t="s">
        <v>61</v>
      </c>
      <c r="W1005" s="53">
        <v>3</v>
      </c>
      <c r="X1005" s="54">
        <v>199</v>
      </c>
      <c r="Y1005" s="54">
        <v>0</v>
      </c>
      <c r="Z1005" s="55">
        <f t="shared" si="99"/>
        <v>597</v>
      </c>
      <c r="AA1005" s="56" t="s">
        <v>25</v>
      </c>
      <c r="AB1005"/>
    </row>
    <row r="1006" spans="1:28" x14ac:dyDescent="0.25">
      <c r="A1006" s="26" t="s">
        <v>1427</v>
      </c>
      <c r="B1006" s="26" t="s">
        <v>27</v>
      </c>
      <c r="C1006" s="26" t="str">
        <f t="shared" si="100"/>
        <v>Roberto Santos</v>
      </c>
      <c r="D1006" s="37" t="s">
        <v>278</v>
      </c>
      <c r="E1006" s="27">
        <f t="shared" si="101"/>
        <v>45916</v>
      </c>
      <c r="F1006" s="26" t="s">
        <v>47</v>
      </c>
      <c r="G1006" s="26" t="str">
        <f t="shared" si="102"/>
        <v>Bruno Martins</v>
      </c>
      <c r="H1006" s="26" t="s">
        <v>23</v>
      </c>
      <c r="I1006" s="26" t="s">
        <v>88</v>
      </c>
      <c r="J1006" s="28">
        <v>3</v>
      </c>
      <c r="K1006" s="29">
        <v>650</v>
      </c>
      <c r="L1006" s="29">
        <v>194.04</v>
      </c>
      <c r="M1006" s="30">
        <f t="shared" si="98"/>
        <v>1755.96</v>
      </c>
      <c r="N1006" s="26" t="s">
        <v>69</v>
      </c>
      <c r="Q1006" s="42" t="s">
        <v>1427</v>
      </c>
      <c r="R1006" s="42" t="s">
        <v>27</v>
      </c>
      <c r="S1006" s="57">
        <f t="shared" si="103"/>
        <v>45916</v>
      </c>
      <c r="T1006" s="44" t="s">
        <v>47</v>
      </c>
      <c r="U1006" s="43" t="s">
        <v>23</v>
      </c>
      <c r="V1006" s="42" t="s">
        <v>88</v>
      </c>
      <c r="W1006" s="45">
        <v>3</v>
      </c>
      <c r="X1006" s="46">
        <v>650</v>
      </c>
      <c r="Y1006" s="46">
        <v>194.04</v>
      </c>
      <c r="Z1006" s="47">
        <f t="shared" si="99"/>
        <v>1755.96</v>
      </c>
      <c r="AA1006" s="48" t="s">
        <v>69</v>
      </c>
      <c r="AB1006"/>
    </row>
    <row r="1007" spans="1:28" x14ac:dyDescent="0.25">
      <c r="A1007" s="31" t="s">
        <v>1428</v>
      </c>
      <c r="B1007" s="31" t="s">
        <v>95</v>
      </c>
      <c r="C1007" s="32" t="str">
        <f t="shared" si="100"/>
        <v>Maria Oliveira</v>
      </c>
      <c r="D1007" s="38" t="s">
        <v>1429</v>
      </c>
      <c r="E1007" s="33">
        <f t="shared" si="101"/>
        <v>45689</v>
      </c>
      <c r="F1007" s="32" t="s">
        <v>15</v>
      </c>
      <c r="G1007" s="32" t="str">
        <f t="shared" si="102"/>
        <v>Larissa Dias</v>
      </c>
      <c r="H1007" s="32" t="s">
        <v>52</v>
      </c>
      <c r="I1007" s="32" t="s">
        <v>53</v>
      </c>
      <c r="J1007" s="34">
        <v>4</v>
      </c>
      <c r="K1007" s="35">
        <v>149</v>
      </c>
      <c r="L1007" s="35">
        <v>74.8</v>
      </c>
      <c r="M1007" s="36">
        <f t="shared" si="98"/>
        <v>521.20000000000005</v>
      </c>
      <c r="N1007" s="32" t="s">
        <v>18</v>
      </c>
      <c r="Q1007" s="49" t="s">
        <v>1428</v>
      </c>
      <c r="R1007" s="49" t="s">
        <v>95</v>
      </c>
      <c r="S1007" s="58">
        <f t="shared" si="103"/>
        <v>45689</v>
      </c>
      <c r="T1007" s="51" t="s">
        <v>15</v>
      </c>
      <c r="U1007" s="50" t="s">
        <v>52</v>
      </c>
      <c r="V1007" s="52" t="s">
        <v>53</v>
      </c>
      <c r="W1007" s="53">
        <v>4</v>
      </c>
      <c r="X1007" s="54">
        <v>149</v>
      </c>
      <c r="Y1007" s="54">
        <v>74.8</v>
      </c>
      <c r="Z1007" s="55">
        <f t="shared" si="99"/>
        <v>521.20000000000005</v>
      </c>
      <c r="AA1007" s="56" t="s">
        <v>18</v>
      </c>
      <c r="AB1007"/>
    </row>
    <row r="1008" spans="1:28" x14ac:dyDescent="0.25">
      <c r="A1008" s="26" t="s">
        <v>1430</v>
      </c>
      <c r="B1008" s="26" t="s">
        <v>13</v>
      </c>
      <c r="C1008" s="26" t="str">
        <f t="shared" si="100"/>
        <v>Lucas Almeida</v>
      </c>
      <c r="D1008" s="37" t="s">
        <v>1122</v>
      </c>
      <c r="E1008" s="27">
        <f t="shared" si="101"/>
        <v>45758</v>
      </c>
      <c r="F1008" s="26" t="s">
        <v>29</v>
      </c>
      <c r="G1008" s="26" t="str">
        <f t="shared" si="102"/>
        <v>Camila Rocha</v>
      </c>
      <c r="H1008" s="26" t="s">
        <v>30</v>
      </c>
      <c r="I1008" s="26" t="s">
        <v>106</v>
      </c>
      <c r="J1008" s="28">
        <v>5</v>
      </c>
      <c r="K1008" s="29">
        <v>299</v>
      </c>
      <c r="L1008" s="29">
        <v>0</v>
      </c>
      <c r="M1008" s="30">
        <f t="shared" si="98"/>
        <v>1495</v>
      </c>
      <c r="N1008" s="26" t="s">
        <v>69</v>
      </c>
      <c r="Q1008" s="42" t="s">
        <v>1430</v>
      </c>
      <c r="R1008" s="42" t="s">
        <v>13</v>
      </c>
      <c r="S1008" s="57">
        <f t="shared" si="103"/>
        <v>45758</v>
      </c>
      <c r="T1008" s="44" t="s">
        <v>29</v>
      </c>
      <c r="U1008" s="43" t="s">
        <v>30</v>
      </c>
      <c r="V1008" s="42" t="s">
        <v>106</v>
      </c>
      <c r="W1008" s="45">
        <v>5</v>
      </c>
      <c r="X1008" s="46">
        <v>299</v>
      </c>
      <c r="Y1008" s="46">
        <v>0</v>
      </c>
      <c r="Z1008" s="47">
        <f t="shared" si="99"/>
        <v>1495</v>
      </c>
      <c r="AA1008" s="48" t="s">
        <v>69</v>
      </c>
      <c r="AB1008"/>
    </row>
    <row r="1009" spans="1:28" x14ac:dyDescent="0.25">
      <c r="A1009" s="31" t="s">
        <v>1431</v>
      </c>
      <c r="B1009" s="31" t="s">
        <v>71</v>
      </c>
      <c r="C1009" s="32" t="str">
        <f t="shared" si="100"/>
        <v>Juliana Costa</v>
      </c>
      <c r="D1009" s="38" t="s">
        <v>178</v>
      </c>
      <c r="E1009" s="33">
        <f t="shared" si="101"/>
        <v>45941</v>
      </c>
      <c r="F1009" s="32" t="s">
        <v>15</v>
      </c>
      <c r="G1009" s="32" t="str">
        <f t="shared" si="102"/>
        <v>Larissa Dias</v>
      </c>
      <c r="H1009" s="32" t="s">
        <v>16</v>
      </c>
      <c r="I1009" s="32" t="s">
        <v>116</v>
      </c>
      <c r="J1009" s="34">
        <v>3</v>
      </c>
      <c r="K1009" s="35">
        <v>45</v>
      </c>
      <c r="L1009" s="35">
        <v>0</v>
      </c>
      <c r="M1009" s="36">
        <f t="shared" si="98"/>
        <v>135</v>
      </c>
      <c r="N1009" s="32" t="s">
        <v>44</v>
      </c>
      <c r="Q1009" s="49" t="s">
        <v>1431</v>
      </c>
      <c r="R1009" s="49" t="s">
        <v>71</v>
      </c>
      <c r="S1009" s="58">
        <f t="shared" si="103"/>
        <v>45941</v>
      </c>
      <c r="T1009" s="51" t="s">
        <v>15</v>
      </c>
      <c r="U1009" s="50" t="s">
        <v>16</v>
      </c>
      <c r="V1009" s="52" t="s">
        <v>116</v>
      </c>
      <c r="W1009" s="53">
        <v>3</v>
      </c>
      <c r="X1009" s="54">
        <v>45</v>
      </c>
      <c r="Y1009" s="54">
        <v>0</v>
      </c>
      <c r="Z1009" s="55">
        <f t="shared" si="99"/>
        <v>135</v>
      </c>
      <c r="AA1009" s="56" t="s">
        <v>44</v>
      </c>
      <c r="AB1009"/>
    </row>
    <row r="1010" spans="1:28" x14ac:dyDescent="0.25">
      <c r="A1010" s="26" t="s">
        <v>1432</v>
      </c>
      <c r="B1010" s="26" t="s">
        <v>95</v>
      </c>
      <c r="C1010" s="26" t="str">
        <f t="shared" si="100"/>
        <v>Maria Oliveira</v>
      </c>
      <c r="D1010" s="37" t="s">
        <v>449</v>
      </c>
      <c r="E1010" s="27">
        <f t="shared" si="101"/>
        <v>45912</v>
      </c>
      <c r="F1010" s="26" t="s">
        <v>39</v>
      </c>
      <c r="G1010" s="26" t="str">
        <f t="shared" si="102"/>
        <v>Rodrigo Mello</v>
      </c>
      <c r="H1010" s="26" t="s">
        <v>30</v>
      </c>
      <c r="I1010" s="26" t="s">
        <v>106</v>
      </c>
      <c r="J1010" s="28">
        <v>4</v>
      </c>
      <c r="K1010" s="29">
        <v>299</v>
      </c>
      <c r="L1010" s="29">
        <v>48.41</v>
      </c>
      <c r="M1010" s="30">
        <f t="shared" si="98"/>
        <v>1147.5899999999999</v>
      </c>
      <c r="N1010" s="26" t="s">
        <v>25</v>
      </c>
      <c r="Q1010" s="42" t="s">
        <v>1432</v>
      </c>
      <c r="R1010" s="42" t="s">
        <v>95</v>
      </c>
      <c r="S1010" s="57">
        <f t="shared" si="103"/>
        <v>45912</v>
      </c>
      <c r="T1010" s="44" t="s">
        <v>39</v>
      </c>
      <c r="U1010" s="43" t="s">
        <v>30</v>
      </c>
      <c r="V1010" s="42" t="s">
        <v>106</v>
      </c>
      <c r="W1010" s="45">
        <v>4</v>
      </c>
      <c r="X1010" s="46">
        <v>299</v>
      </c>
      <c r="Y1010" s="46">
        <v>48.41</v>
      </c>
      <c r="Z1010" s="47">
        <f t="shared" si="99"/>
        <v>1147.5899999999999</v>
      </c>
      <c r="AA1010" s="48" t="s">
        <v>25</v>
      </c>
      <c r="AB1010"/>
    </row>
    <row r="1011" spans="1:28" x14ac:dyDescent="0.25">
      <c r="A1011" s="31" t="s">
        <v>1433</v>
      </c>
      <c r="B1011" s="31" t="s">
        <v>34</v>
      </c>
      <c r="C1011" s="32" t="str">
        <f t="shared" si="100"/>
        <v>Carlos Silva</v>
      </c>
      <c r="D1011" s="38" t="s">
        <v>286</v>
      </c>
      <c r="E1011" s="33">
        <f t="shared" si="101"/>
        <v>45712</v>
      </c>
      <c r="F1011" s="32" t="s">
        <v>22</v>
      </c>
      <c r="G1011" s="32" t="str">
        <f t="shared" si="102"/>
        <v>Amanda Costa</v>
      </c>
      <c r="H1011" s="32" t="s">
        <v>30</v>
      </c>
      <c r="I1011" s="32" t="s">
        <v>106</v>
      </c>
      <c r="J1011" s="34">
        <v>2</v>
      </c>
      <c r="K1011" s="35">
        <v>299</v>
      </c>
      <c r="L1011" s="35">
        <v>56.82</v>
      </c>
      <c r="M1011" s="36">
        <f t="shared" si="98"/>
        <v>541.17999999999995</v>
      </c>
      <c r="N1011" s="32" t="s">
        <v>25</v>
      </c>
      <c r="Q1011" s="49" t="s">
        <v>1433</v>
      </c>
      <c r="R1011" s="49" t="s">
        <v>34</v>
      </c>
      <c r="S1011" s="58">
        <f t="shared" si="103"/>
        <v>45712</v>
      </c>
      <c r="T1011" s="51" t="s">
        <v>22</v>
      </c>
      <c r="U1011" s="50" t="s">
        <v>30</v>
      </c>
      <c r="V1011" s="52" t="s">
        <v>106</v>
      </c>
      <c r="W1011" s="53">
        <v>2</v>
      </c>
      <c r="X1011" s="54">
        <v>299</v>
      </c>
      <c r="Y1011" s="54">
        <v>56.82</v>
      </c>
      <c r="Z1011" s="55">
        <f t="shared" si="99"/>
        <v>541.17999999999995</v>
      </c>
      <c r="AA1011" s="56" t="s">
        <v>25</v>
      </c>
      <c r="AB1011"/>
    </row>
    <row r="1012" spans="1:28" x14ac:dyDescent="0.25">
      <c r="A1012" s="26" t="s">
        <v>1434</v>
      </c>
      <c r="B1012" s="26" t="s">
        <v>277</v>
      </c>
      <c r="C1012" s="26" t="str">
        <f t="shared" si="100"/>
        <v>Carlos Silva</v>
      </c>
      <c r="D1012" s="37" t="s">
        <v>1151</v>
      </c>
      <c r="E1012" s="27">
        <f t="shared" si="101"/>
        <v>46050</v>
      </c>
      <c r="F1012" s="26" t="s">
        <v>39</v>
      </c>
      <c r="G1012" s="26" t="str">
        <f t="shared" si="102"/>
        <v>Rodrigo Mello</v>
      </c>
      <c r="H1012" s="26" t="s">
        <v>52</v>
      </c>
      <c r="I1012" s="26" t="s">
        <v>99</v>
      </c>
      <c r="J1012" s="28">
        <v>5</v>
      </c>
      <c r="K1012" s="29">
        <v>79</v>
      </c>
      <c r="L1012" s="29">
        <v>21.26</v>
      </c>
      <c r="M1012" s="30">
        <f t="shared" si="98"/>
        <v>373.74</v>
      </c>
      <c r="N1012" s="26" t="s">
        <v>44</v>
      </c>
      <c r="Q1012" s="42" t="s">
        <v>1434</v>
      </c>
      <c r="R1012" s="42" t="s">
        <v>34</v>
      </c>
      <c r="S1012" s="57">
        <f t="shared" si="103"/>
        <v>46050</v>
      </c>
      <c r="T1012" s="44" t="s">
        <v>39</v>
      </c>
      <c r="U1012" s="43" t="s">
        <v>52</v>
      </c>
      <c r="V1012" s="42" t="s">
        <v>99</v>
      </c>
      <c r="W1012" s="45">
        <v>5</v>
      </c>
      <c r="X1012" s="46">
        <v>79</v>
      </c>
      <c r="Y1012" s="46">
        <v>21.26</v>
      </c>
      <c r="Z1012" s="47">
        <f t="shared" si="99"/>
        <v>373.74</v>
      </c>
      <c r="AA1012" s="48" t="s">
        <v>44</v>
      </c>
      <c r="AB1012"/>
    </row>
    <row r="1013" spans="1:28" x14ac:dyDescent="0.25">
      <c r="A1013" s="31" t="s">
        <v>1435</v>
      </c>
      <c r="B1013" s="31" t="s">
        <v>101</v>
      </c>
      <c r="C1013" s="32" t="str">
        <f t="shared" si="100"/>
        <v>Ana Souza</v>
      </c>
      <c r="D1013" s="38" t="s">
        <v>46</v>
      </c>
      <c r="E1013" s="33">
        <f t="shared" si="101"/>
        <v>45723</v>
      </c>
      <c r="F1013" s="32" t="s">
        <v>39</v>
      </c>
      <c r="G1013" s="32" t="str">
        <f t="shared" si="102"/>
        <v>Rodrigo Mello</v>
      </c>
      <c r="H1013" s="32" t="s">
        <v>23</v>
      </c>
      <c r="I1013" s="32" t="s">
        <v>43</v>
      </c>
      <c r="J1013" s="34">
        <v>4</v>
      </c>
      <c r="K1013" s="35">
        <v>350</v>
      </c>
      <c r="L1013" s="35">
        <v>130.22999999999999</v>
      </c>
      <c r="M1013" s="36">
        <f t="shared" si="98"/>
        <v>1269.77</v>
      </c>
      <c r="N1013" s="32" t="s">
        <v>18</v>
      </c>
      <c r="Q1013" s="49" t="s">
        <v>1435</v>
      </c>
      <c r="R1013" s="49" t="s">
        <v>101</v>
      </c>
      <c r="S1013" s="58">
        <f t="shared" si="103"/>
        <v>45723</v>
      </c>
      <c r="T1013" s="51" t="s">
        <v>39</v>
      </c>
      <c r="U1013" s="50" t="s">
        <v>23</v>
      </c>
      <c r="V1013" s="52" t="s">
        <v>43</v>
      </c>
      <c r="W1013" s="53">
        <v>4</v>
      </c>
      <c r="X1013" s="54">
        <v>350</v>
      </c>
      <c r="Y1013" s="54">
        <v>130.22999999999999</v>
      </c>
      <c r="Z1013" s="55">
        <f t="shared" si="99"/>
        <v>1269.77</v>
      </c>
      <c r="AA1013" s="56" t="s">
        <v>18</v>
      </c>
      <c r="AB1013"/>
    </row>
    <row r="1014" spans="1:28" x14ac:dyDescent="0.25">
      <c r="A1014" s="26" t="s">
        <v>1436</v>
      </c>
      <c r="B1014" s="26" t="s">
        <v>63</v>
      </c>
      <c r="C1014" s="26" t="str">
        <f t="shared" si="100"/>
        <v>Marcos Rodrigues</v>
      </c>
      <c r="D1014" s="37" t="s">
        <v>652</v>
      </c>
      <c r="E1014" s="27">
        <f t="shared" si="101"/>
        <v>45935</v>
      </c>
      <c r="F1014" s="26" t="s">
        <v>29</v>
      </c>
      <c r="G1014" s="26" t="str">
        <f t="shared" si="102"/>
        <v>Camila Rocha</v>
      </c>
      <c r="H1014" s="26" t="s">
        <v>23</v>
      </c>
      <c r="I1014" s="26" t="s">
        <v>88</v>
      </c>
      <c r="J1014" s="28">
        <v>5</v>
      </c>
      <c r="K1014" s="29">
        <v>650</v>
      </c>
      <c r="L1014" s="29">
        <v>0</v>
      </c>
      <c r="M1014" s="30">
        <f t="shared" si="98"/>
        <v>3250</v>
      </c>
      <c r="N1014" s="26" t="s">
        <v>44</v>
      </c>
      <c r="Q1014" s="42" t="s">
        <v>1436</v>
      </c>
      <c r="R1014" s="42" t="s">
        <v>63</v>
      </c>
      <c r="S1014" s="57">
        <f t="shared" si="103"/>
        <v>45935</v>
      </c>
      <c r="T1014" s="44" t="s">
        <v>29</v>
      </c>
      <c r="U1014" s="43" t="s">
        <v>23</v>
      </c>
      <c r="V1014" s="42" t="s">
        <v>88</v>
      </c>
      <c r="W1014" s="45">
        <v>5</v>
      </c>
      <c r="X1014" s="46">
        <v>650</v>
      </c>
      <c r="Y1014" s="46">
        <v>0</v>
      </c>
      <c r="Z1014" s="47">
        <f t="shared" si="99"/>
        <v>3250</v>
      </c>
      <c r="AA1014" s="48" t="s">
        <v>44</v>
      </c>
      <c r="AB1014"/>
    </row>
    <row r="1015" spans="1:28" x14ac:dyDescent="0.25">
      <c r="A1015" s="31" t="s">
        <v>1437</v>
      </c>
      <c r="B1015" s="31" t="s">
        <v>110</v>
      </c>
      <c r="C1015" s="32" t="str">
        <f t="shared" si="100"/>
        <v>Fernanda Lima</v>
      </c>
      <c r="D1015" s="38" t="s">
        <v>64</v>
      </c>
      <c r="E1015" s="33">
        <f t="shared" si="101"/>
        <v>45847</v>
      </c>
      <c r="F1015" s="32" t="s">
        <v>39</v>
      </c>
      <c r="G1015" s="32" t="str">
        <f t="shared" si="102"/>
        <v>Rodrigo Mello</v>
      </c>
      <c r="H1015" s="32" t="s">
        <v>30</v>
      </c>
      <c r="I1015" s="32" t="s">
        <v>68</v>
      </c>
      <c r="J1015" s="34">
        <v>1</v>
      </c>
      <c r="K1015" s="35">
        <v>799</v>
      </c>
      <c r="L1015" s="35">
        <v>17.64</v>
      </c>
      <c r="M1015" s="36">
        <f t="shared" si="98"/>
        <v>781.36</v>
      </c>
      <c r="N1015" s="32" t="s">
        <v>65</v>
      </c>
      <c r="Q1015" s="49" t="s">
        <v>1437</v>
      </c>
      <c r="R1015" s="49" t="s">
        <v>110</v>
      </c>
      <c r="S1015" s="58">
        <f t="shared" si="103"/>
        <v>45847</v>
      </c>
      <c r="T1015" s="51" t="s">
        <v>39</v>
      </c>
      <c r="U1015" s="50" t="s">
        <v>30</v>
      </c>
      <c r="V1015" s="52" t="s">
        <v>68</v>
      </c>
      <c r="W1015" s="53">
        <v>1</v>
      </c>
      <c r="X1015" s="54">
        <v>799</v>
      </c>
      <c r="Y1015" s="54">
        <v>17.64</v>
      </c>
      <c r="Z1015" s="55">
        <f t="shared" si="99"/>
        <v>781.36</v>
      </c>
      <c r="AA1015" s="56" t="s">
        <v>65</v>
      </c>
      <c r="AB1015"/>
    </row>
    <row r="1016" spans="1:28" x14ac:dyDescent="0.25">
      <c r="A1016" s="26" t="s">
        <v>1438</v>
      </c>
      <c r="B1016" s="26" t="s">
        <v>95</v>
      </c>
      <c r="C1016" s="26" t="str">
        <f t="shared" si="100"/>
        <v>Maria Oliveira</v>
      </c>
      <c r="D1016" s="37" t="s">
        <v>278</v>
      </c>
      <c r="E1016" s="27">
        <f t="shared" si="101"/>
        <v>45916</v>
      </c>
      <c r="F1016" s="26" t="s">
        <v>47</v>
      </c>
      <c r="G1016" s="26" t="str">
        <f t="shared" si="102"/>
        <v>Bruno Martins</v>
      </c>
      <c r="H1016" s="26" t="s">
        <v>30</v>
      </c>
      <c r="I1016" s="26" t="s">
        <v>68</v>
      </c>
      <c r="J1016" s="28">
        <v>5</v>
      </c>
      <c r="K1016" s="29">
        <v>799</v>
      </c>
      <c r="L1016" s="29">
        <v>451.96</v>
      </c>
      <c r="M1016" s="30">
        <f t="shared" si="98"/>
        <v>3543.04</v>
      </c>
      <c r="N1016" s="26" t="s">
        <v>65</v>
      </c>
      <c r="Q1016" s="42" t="s">
        <v>1438</v>
      </c>
      <c r="R1016" s="42" t="s">
        <v>95</v>
      </c>
      <c r="S1016" s="57">
        <f t="shared" si="103"/>
        <v>45916</v>
      </c>
      <c r="T1016" s="44" t="s">
        <v>47</v>
      </c>
      <c r="U1016" s="43" t="s">
        <v>30</v>
      </c>
      <c r="V1016" s="42" t="s">
        <v>68</v>
      </c>
      <c r="W1016" s="45">
        <v>5</v>
      </c>
      <c r="X1016" s="46">
        <v>799</v>
      </c>
      <c r="Y1016" s="46">
        <v>451.96</v>
      </c>
      <c r="Z1016" s="47">
        <f t="shared" si="99"/>
        <v>3543.04</v>
      </c>
      <c r="AA1016" s="48" t="s">
        <v>65</v>
      </c>
      <c r="AB1016"/>
    </row>
    <row r="1017" spans="1:28" x14ac:dyDescent="0.25">
      <c r="A1017" s="31" t="s">
        <v>1439</v>
      </c>
      <c r="B1017" s="31" t="s">
        <v>110</v>
      </c>
      <c r="C1017" s="32" t="str">
        <f t="shared" si="100"/>
        <v>Fernanda Lima</v>
      </c>
      <c r="D1017" s="38" t="s">
        <v>724</v>
      </c>
      <c r="E1017" s="33">
        <f t="shared" si="101"/>
        <v>45784</v>
      </c>
      <c r="F1017" s="32" t="s">
        <v>47</v>
      </c>
      <c r="G1017" s="32" t="str">
        <f t="shared" si="102"/>
        <v>Bruno Martins</v>
      </c>
      <c r="H1017" s="32" t="s">
        <v>23</v>
      </c>
      <c r="I1017" s="32" t="s">
        <v>24</v>
      </c>
      <c r="J1017" s="34">
        <v>2</v>
      </c>
      <c r="K1017" s="35">
        <v>180</v>
      </c>
      <c r="L1017" s="35">
        <v>12.13</v>
      </c>
      <c r="M1017" s="36">
        <f t="shared" si="98"/>
        <v>347.87</v>
      </c>
      <c r="N1017" s="32" t="s">
        <v>18</v>
      </c>
      <c r="Q1017" s="49" t="s">
        <v>1439</v>
      </c>
      <c r="R1017" s="49" t="s">
        <v>110</v>
      </c>
      <c r="S1017" s="58">
        <f t="shared" si="103"/>
        <v>45784</v>
      </c>
      <c r="T1017" s="51" t="s">
        <v>47</v>
      </c>
      <c r="U1017" s="50" t="s">
        <v>23</v>
      </c>
      <c r="V1017" s="52" t="s">
        <v>24</v>
      </c>
      <c r="W1017" s="53">
        <v>2</v>
      </c>
      <c r="X1017" s="54">
        <v>180</v>
      </c>
      <c r="Y1017" s="54">
        <v>12.13</v>
      </c>
      <c r="Z1017" s="55">
        <f t="shared" si="99"/>
        <v>347.87</v>
      </c>
      <c r="AA1017" s="56" t="s">
        <v>18</v>
      </c>
      <c r="AB1017"/>
    </row>
    <row r="1018" spans="1:28" x14ac:dyDescent="0.25">
      <c r="A1018" s="26" t="s">
        <v>1440</v>
      </c>
      <c r="B1018" s="26" t="s">
        <v>20</v>
      </c>
      <c r="C1018" s="26" t="str">
        <f t="shared" si="100"/>
        <v>Beatriz Ribeiro</v>
      </c>
      <c r="D1018" s="37" t="s">
        <v>435</v>
      </c>
      <c r="E1018" s="27">
        <f t="shared" si="101"/>
        <v>46047</v>
      </c>
      <c r="F1018" s="26" t="s">
        <v>39</v>
      </c>
      <c r="G1018" s="26" t="str">
        <f t="shared" si="102"/>
        <v>Rodrigo Mello</v>
      </c>
      <c r="H1018" s="26" t="s">
        <v>16</v>
      </c>
      <c r="I1018" s="26" t="s">
        <v>17</v>
      </c>
      <c r="J1018" s="28">
        <v>1</v>
      </c>
      <c r="K1018" s="29">
        <v>39</v>
      </c>
      <c r="L1018" s="29">
        <v>5.03</v>
      </c>
      <c r="M1018" s="30">
        <f t="shared" ref="M1018:M1081" si="104">(J1018*K1018)-L1018</f>
        <v>33.97</v>
      </c>
      <c r="N1018" s="26" t="s">
        <v>18</v>
      </c>
      <c r="Q1018" s="42" t="s">
        <v>1440</v>
      </c>
      <c r="R1018" s="42" t="s">
        <v>20</v>
      </c>
      <c r="S1018" s="57">
        <f t="shared" si="103"/>
        <v>46047</v>
      </c>
      <c r="T1018" s="44" t="s">
        <v>39</v>
      </c>
      <c r="U1018" s="43" t="s">
        <v>16</v>
      </c>
      <c r="V1018" s="42" t="s">
        <v>17</v>
      </c>
      <c r="W1018" s="45">
        <v>1</v>
      </c>
      <c r="X1018" s="46">
        <v>39</v>
      </c>
      <c r="Y1018" s="46">
        <v>5.03</v>
      </c>
      <c r="Z1018" s="47">
        <f t="shared" ref="Z1018:Z1081" si="105">(W1018*X1018)-Y1018</f>
        <v>33.97</v>
      </c>
      <c r="AA1018" s="48" t="s">
        <v>18</v>
      </c>
      <c r="AB1018"/>
    </row>
    <row r="1019" spans="1:28" x14ac:dyDescent="0.25">
      <c r="A1019" s="31" t="s">
        <v>1441</v>
      </c>
      <c r="B1019" s="31" t="s">
        <v>101</v>
      </c>
      <c r="C1019" s="32" t="str">
        <f t="shared" si="100"/>
        <v>Ana Souza</v>
      </c>
      <c r="D1019" s="38" t="s">
        <v>1147</v>
      </c>
      <c r="E1019" s="33">
        <f t="shared" si="101"/>
        <v>45788</v>
      </c>
      <c r="F1019" s="32" t="s">
        <v>39</v>
      </c>
      <c r="G1019" s="32" t="str">
        <f t="shared" si="102"/>
        <v>Rodrigo Mello</v>
      </c>
      <c r="H1019" s="32" t="s">
        <v>23</v>
      </c>
      <c r="I1019" s="32" t="s">
        <v>43</v>
      </c>
      <c r="J1019" s="34">
        <v>4</v>
      </c>
      <c r="K1019" s="35">
        <v>350</v>
      </c>
      <c r="L1019" s="35">
        <v>0</v>
      </c>
      <c r="M1019" s="36">
        <f t="shared" si="104"/>
        <v>1400</v>
      </c>
      <c r="N1019" s="32" t="s">
        <v>44</v>
      </c>
      <c r="Q1019" s="49" t="s">
        <v>1441</v>
      </c>
      <c r="R1019" s="49" t="s">
        <v>101</v>
      </c>
      <c r="S1019" s="58">
        <f t="shared" si="103"/>
        <v>45788</v>
      </c>
      <c r="T1019" s="51" t="s">
        <v>39</v>
      </c>
      <c r="U1019" s="50" t="s">
        <v>23</v>
      </c>
      <c r="V1019" s="52" t="s">
        <v>43</v>
      </c>
      <c r="W1019" s="53">
        <v>4</v>
      </c>
      <c r="X1019" s="54">
        <v>350</v>
      </c>
      <c r="Y1019" s="54">
        <v>0</v>
      </c>
      <c r="Z1019" s="55">
        <f t="shared" si="105"/>
        <v>1400</v>
      </c>
      <c r="AA1019" s="56" t="s">
        <v>44</v>
      </c>
      <c r="AB1019"/>
    </row>
    <row r="1020" spans="1:28" x14ac:dyDescent="0.25">
      <c r="A1020" s="26" t="s">
        <v>1442</v>
      </c>
      <c r="B1020" s="26" t="s">
        <v>41</v>
      </c>
      <c r="C1020" s="26" t="str">
        <f t="shared" si="100"/>
        <v>João Pereira</v>
      </c>
      <c r="D1020" s="37" t="s">
        <v>1340</v>
      </c>
      <c r="E1020" s="27">
        <f t="shared" si="101"/>
        <v>45680</v>
      </c>
      <c r="F1020" s="26" t="s">
        <v>47</v>
      </c>
      <c r="G1020" s="26" t="str">
        <f t="shared" si="102"/>
        <v>Bruno Martins</v>
      </c>
      <c r="H1020" s="26" t="s">
        <v>30</v>
      </c>
      <c r="I1020" s="26" t="s">
        <v>68</v>
      </c>
      <c r="J1020" s="28">
        <v>1</v>
      </c>
      <c r="K1020" s="29">
        <v>799</v>
      </c>
      <c r="L1020" s="29">
        <v>0</v>
      </c>
      <c r="M1020" s="30">
        <f t="shared" si="104"/>
        <v>799</v>
      </c>
      <c r="N1020" s="26" t="s">
        <v>65</v>
      </c>
      <c r="Q1020" s="42" t="s">
        <v>1442</v>
      </c>
      <c r="R1020" s="42" t="s">
        <v>41</v>
      </c>
      <c r="S1020" s="57">
        <f t="shared" si="103"/>
        <v>45680</v>
      </c>
      <c r="T1020" s="44" t="s">
        <v>47</v>
      </c>
      <c r="U1020" s="43" t="s">
        <v>30</v>
      </c>
      <c r="V1020" s="42" t="s">
        <v>68</v>
      </c>
      <c r="W1020" s="45">
        <v>1</v>
      </c>
      <c r="X1020" s="46">
        <v>799</v>
      </c>
      <c r="Y1020" s="46">
        <v>0</v>
      </c>
      <c r="Z1020" s="47">
        <f t="shared" si="105"/>
        <v>799</v>
      </c>
      <c r="AA1020" s="48" t="s">
        <v>65</v>
      </c>
      <c r="AB1020"/>
    </row>
    <row r="1021" spans="1:28" x14ac:dyDescent="0.25">
      <c r="A1021" s="31" t="s">
        <v>1443</v>
      </c>
      <c r="B1021" s="31" t="s">
        <v>13</v>
      </c>
      <c r="C1021" s="32" t="str">
        <f t="shared" si="100"/>
        <v>Lucas Almeida</v>
      </c>
      <c r="D1021" s="38" t="s">
        <v>523</v>
      </c>
      <c r="E1021" s="33">
        <f t="shared" si="101"/>
        <v>45979</v>
      </c>
      <c r="F1021" s="32" t="s">
        <v>29</v>
      </c>
      <c r="G1021" s="32" t="str">
        <f t="shared" si="102"/>
        <v>Camila Rocha</v>
      </c>
      <c r="H1021" s="32" t="s">
        <v>52</v>
      </c>
      <c r="I1021" s="32" t="s">
        <v>61</v>
      </c>
      <c r="J1021" s="34">
        <v>2</v>
      </c>
      <c r="K1021" s="35">
        <v>199</v>
      </c>
      <c r="L1021" s="35">
        <v>15.6</v>
      </c>
      <c r="M1021" s="36">
        <f t="shared" si="104"/>
        <v>382.4</v>
      </c>
      <c r="N1021" s="32" t="s">
        <v>69</v>
      </c>
      <c r="Q1021" s="49" t="s">
        <v>1443</v>
      </c>
      <c r="R1021" s="49" t="s">
        <v>13</v>
      </c>
      <c r="S1021" s="58">
        <f t="shared" si="103"/>
        <v>45979</v>
      </c>
      <c r="T1021" s="51" t="s">
        <v>29</v>
      </c>
      <c r="U1021" s="50" t="s">
        <v>52</v>
      </c>
      <c r="V1021" s="52" t="s">
        <v>61</v>
      </c>
      <c r="W1021" s="53">
        <v>2</v>
      </c>
      <c r="X1021" s="54">
        <v>199</v>
      </c>
      <c r="Y1021" s="54">
        <v>15.6</v>
      </c>
      <c r="Z1021" s="55">
        <f t="shared" si="105"/>
        <v>382.4</v>
      </c>
      <c r="AA1021" s="56" t="s">
        <v>69</v>
      </c>
      <c r="AB1021"/>
    </row>
    <row r="1022" spans="1:28" x14ac:dyDescent="0.25">
      <c r="A1022" s="26" t="s">
        <v>1444</v>
      </c>
      <c r="B1022" s="26" t="s">
        <v>13</v>
      </c>
      <c r="C1022" s="26" t="str">
        <f t="shared" si="100"/>
        <v>Lucas Almeida</v>
      </c>
      <c r="D1022" s="37" t="s">
        <v>750</v>
      </c>
      <c r="E1022" s="27">
        <f t="shared" si="101"/>
        <v>45755</v>
      </c>
      <c r="F1022" s="26" t="s">
        <v>15</v>
      </c>
      <c r="G1022" s="26" t="str">
        <f t="shared" si="102"/>
        <v>Larissa Dias</v>
      </c>
      <c r="H1022" s="26" t="s">
        <v>23</v>
      </c>
      <c r="I1022" s="26" t="s">
        <v>43</v>
      </c>
      <c r="J1022" s="28">
        <v>4</v>
      </c>
      <c r="K1022" s="29">
        <v>350</v>
      </c>
      <c r="L1022" s="29">
        <v>0</v>
      </c>
      <c r="M1022" s="30">
        <f t="shared" si="104"/>
        <v>1400</v>
      </c>
      <c r="N1022" s="26" t="s">
        <v>25</v>
      </c>
      <c r="Q1022" s="42" t="s">
        <v>1444</v>
      </c>
      <c r="R1022" s="42" t="s">
        <v>13</v>
      </c>
      <c r="S1022" s="57">
        <f t="shared" si="103"/>
        <v>45755</v>
      </c>
      <c r="T1022" s="44" t="s">
        <v>15</v>
      </c>
      <c r="U1022" s="43" t="s">
        <v>23</v>
      </c>
      <c r="V1022" s="42" t="s">
        <v>43</v>
      </c>
      <c r="W1022" s="45">
        <v>4</v>
      </c>
      <c r="X1022" s="46">
        <v>350</v>
      </c>
      <c r="Y1022" s="46">
        <v>0</v>
      </c>
      <c r="Z1022" s="47">
        <f t="shared" si="105"/>
        <v>1400</v>
      </c>
      <c r="AA1022" s="48" t="s">
        <v>25</v>
      </c>
      <c r="AB1022"/>
    </row>
    <row r="1023" spans="1:28" x14ac:dyDescent="0.25">
      <c r="A1023" s="31" t="s">
        <v>1445</v>
      </c>
      <c r="B1023" s="31" t="s">
        <v>41</v>
      </c>
      <c r="C1023" s="32" t="str">
        <f t="shared" si="100"/>
        <v>João Pereira</v>
      </c>
      <c r="D1023" s="38" t="s">
        <v>671</v>
      </c>
      <c r="E1023" s="33">
        <f t="shared" si="101"/>
        <v>46042</v>
      </c>
      <c r="F1023" s="32" t="s">
        <v>29</v>
      </c>
      <c r="G1023" s="32" t="str">
        <f t="shared" si="102"/>
        <v>Camila Rocha</v>
      </c>
      <c r="H1023" s="32" t="s">
        <v>30</v>
      </c>
      <c r="I1023" s="32" t="s">
        <v>152</v>
      </c>
      <c r="J1023" s="34">
        <v>5</v>
      </c>
      <c r="K1023" s="35">
        <v>4500</v>
      </c>
      <c r="L1023" s="35">
        <v>3267.95</v>
      </c>
      <c r="M1023" s="36">
        <f t="shared" si="104"/>
        <v>19232.05</v>
      </c>
      <c r="N1023" s="32" t="s">
        <v>18</v>
      </c>
      <c r="Q1023" s="49" t="s">
        <v>1445</v>
      </c>
      <c r="R1023" s="49" t="s">
        <v>41</v>
      </c>
      <c r="S1023" s="58">
        <f t="shared" si="103"/>
        <v>46042</v>
      </c>
      <c r="T1023" s="51" t="s">
        <v>29</v>
      </c>
      <c r="U1023" s="50" t="s">
        <v>30</v>
      </c>
      <c r="V1023" s="52" t="s">
        <v>152</v>
      </c>
      <c r="W1023" s="53">
        <v>5</v>
      </c>
      <c r="X1023" s="54">
        <v>4500</v>
      </c>
      <c r="Y1023" s="54">
        <v>3267.95</v>
      </c>
      <c r="Z1023" s="55">
        <f t="shared" si="105"/>
        <v>19232.05</v>
      </c>
      <c r="AA1023" s="56" t="s">
        <v>18</v>
      </c>
      <c r="AB1023"/>
    </row>
    <row r="1024" spans="1:28" x14ac:dyDescent="0.25">
      <c r="A1024" s="26" t="s">
        <v>1446</v>
      </c>
      <c r="B1024" s="26" t="s">
        <v>101</v>
      </c>
      <c r="C1024" s="26" t="str">
        <f t="shared" si="100"/>
        <v>Ana Souza</v>
      </c>
      <c r="D1024" s="37" t="s">
        <v>142</v>
      </c>
      <c r="E1024" s="27">
        <f t="shared" si="101"/>
        <v>45796</v>
      </c>
      <c r="F1024" s="26" t="s">
        <v>22</v>
      </c>
      <c r="G1024" s="26" t="str">
        <f t="shared" si="102"/>
        <v>Amanda Costa</v>
      </c>
      <c r="H1024" s="26" t="s">
        <v>16</v>
      </c>
      <c r="I1024" s="26" t="s">
        <v>78</v>
      </c>
      <c r="J1024" s="28">
        <v>5</v>
      </c>
      <c r="K1024" s="29">
        <v>59</v>
      </c>
      <c r="L1024" s="29">
        <v>24.36</v>
      </c>
      <c r="M1024" s="30">
        <f t="shared" si="104"/>
        <v>270.64</v>
      </c>
      <c r="N1024" s="26" t="s">
        <v>89</v>
      </c>
      <c r="Q1024" s="42" t="s">
        <v>1446</v>
      </c>
      <c r="R1024" s="42" t="s">
        <v>101</v>
      </c>
      <c r="S1024" s="57">
        <f t="shared" si="103"/>
        <v>45796</v>
      </c>
      <c r="T1024" s="44" t="s">
        <v>22</v>
      </c>
      <c r="U1024" s="43" t="s">
        <v>16</v>
      </c>
      <c r="V1024" s="42" t="s">
        <v>78</v>
      </c>
      <c r="W1024" s="45">
        <v>5</v>
      </c>
      <c r="X1024" s="46">
        <v>59</v>
      </c>
      <c r="Y1024" s="46">
        <v>24.36</v>
      </c>
      <c r="Z1024" s="47">
        <f t="shared" si="105"/>
        <v>270.64</v>
      </c>
      <c r="AA1024" s="48" t="s">
        <v>89</v>
      </c>
      <c r="AB1024"/>
    </row>
    <row r="1025" spans="1:28" x14ac:dyDescent="0.25">
      <c r="A1025" s="31" t="s">
        <v>1447</v>
      </c>
      <c r="B1025" s="31" t="s">
        <v>71</v>
      </c>
      <c r="C1025" s="32" t="str">
        <f t="shared" si="100"/>
        <v>Juliana Costa</v>
      </c>
      <c r="D1025" s="38" t="s">
        <v>1010</v>
      </c>
      <c r="E1025" s="33">
        <f t="shared" si="101"/>
        <v>45766</v>
      </c>
      <c r="F1025" s="32" t="s">
        <v>29</v>
      </c>
      <c r="G1025" s="32" t="str">
        <f t="shared" si="102"/>
        <v>Camila Rocha</v>
      </c>
      <c r="H1025" s="32" t="s">
        <v>23</v>
      </c>
      <c r="I1025" s="32" t="s">
        <v>24</v>
      </c>
      <c r="J1025" s="34">
        <v>5</v>
      </c>
      <c r="K1025" s="35">
        <v>180</v>
      </c>
      <c r="L1025" s="35">
        <v>36.590000000000003</v>
      </c>
      <c r="M1025" s="36">
        <f t="shared" si="104"/>
        <v>863.41</v>
      </c>
      <c r="N1025" s="32" t="s">
        <v>32</v>
      </c>
      <c r="Q1025" s="49" t="s">
        <v>1447</v>
      </c>
      <c r="R1025" s="49" t="s">
        <v>71</v>
      </c>
      <c r="S1025" s="58">
        <f t="shared" si="103"/>
        <v>45766</v>
      </c>
      <c r="T1025" s="51" t="s">
        <v>29</v>
      </c>
      <c r="U1025" s="50" t="s">
        <v>23</v>
      </c>
      <c r="V1025" s="52" t="s">
        <v>24</v>
      </c>
      <c r="W1025" s="53">
        <v>5</v>
      </c>
      <c r="X1025" s="54">
        <v>180</v>
      </c>
      <c r="Y1025" s="54">
        <v>36.590000000000003</v>
      </c>
      <c r="Z1025" s="55">
        <f t="shared" si="105"/>
        <v>863.41</v>
      </c>
      <c r="AA1025" s="56" t="s">
        <v>32</v>
      </c>
      <c r="AB1025"/>
    </row>
    <row r="1026" spans="1:28" x14ac:dyDescent="0.25">
      <c r="A1026" s="26" t="s">
        <v>1448</v>
      </c>
      <c r="B1026" s="26" t="s">
        <v>37</v>
      </c>
      <c r="C1026" s="26" t="str">
        <f t="shared" si="100"/>
        <v>Patricia Gomes</v>
      </c>
      <c r="D1026" s="37" t="s">
        <v>294</v>
      </c>
      <c r="E1026" s="27">
        <f t="shared" si="101"/>
        <v>45999</v>
      </c>
      <c r="F1026" s="26" t="s">
        <v>29</v>
      </c>
      <c r="G1026" s="26" t="str">
        <f t="shared" si="102"/>
        <v>Camila Rocha</v>
      </c>
      <c r="H1026" s="26" t="s">
        <v>23</v>
      </c>
      <c r="I1026" s="26" t="s">
        <v>43</v>
      </c>
      <c r="J1026" s="28">
        <v>4</v>
      </c>
      <c r="K1026" s="29">
        <v>350</v>
      </c>
      <c r="L1026" s="29">
        <v>174.04</v>
      </c>
      <c r="M1026" s="30">
        <f t="shared" si="104"/>
        <v>1225.96</v>
      </c>
      <c r="N1026" s="26" t="s">
        <v>69</v>
      </c>
      <c r="Q1026" s="42" t="s">
        <v>1448</v>
      </c>
      <c r="R1026" s="42" t="s">
        <v>37</v>
      </c>
      <c r="S1026" s="57">
        <f t="shared" si="103"/>
        <v>45999</v>
      </c>
      <c r="T1026" s="44" t="s">
        <v>29</v>
      </c>
      <c r="U1026" s="43" t="s">
        <v>23</v>
      </c>
      <c r="V1026" s="42" t="s">
        <v>43</v>
      </c>
      <c r="W1026" s="45">
        <v>4</v>
      </c>
      <c r="X1026" s="46">
        <v>350</v>
      </c>
      <c r="Y1026" s="46">
        <v>174.04</v>
      </c>
      <c r="Z1026" s="47">
        <f t="shared" si="105"/>
        <v>1225.96</v>
      </c>
      <c r="AA1026" s="48" t="s">
        <v>69</v>
      </c>
      <c r="AB1026"/>
    </row>
    <row r="1027" spans="1:28" x14ac:dyDescent="0.25">
      <c r="A1027" s="31" t="s">
        <v>1449</v>
      </c>
      <c r="B1027" s="31" t="s">
        <v>71</v>
      </c>
      <c r="C1027" s="32" t="str">
        <f t="shared" ref="C1027:C1090" si="106">SUBSTITUTE(SUBSTITUTE(SUBSTITUTE(SUBSTITUTE(PROPER(B1027)," Da "," ")," De "," ")," Do "," ")," Dos "," ")</f>
        <v>Juliana Costa</v>
      </c>
      <c r="D1027" s="38" t="s">
        <v>1281</v>
      </c>
      <c r="E1027" s="33">
        <f t="shared" ref="E1027:E1090" si="107">DATEVALUE(D1027)</f>
        <v>45829</v>
      </c>
      <c r="F1027" s="32" t="s">
        <v>39</v>
      </c>
      <c r="G1027" s="32" t="str">
        <f t="shared" ref="G1027:G1090" si="108">SUBSTITUTE(SUBSTITUTE(SUBSTITUTE(SUBSTITUTE(PROPER(F1027)," Da "," ")," De "," ")," Do "," ")," Dos "," ")</f>
        <v>Rodrigo Mello</v>
      </c>
      <c r="H1027" s="32" t="s">
        <v>30</v>
      </c>
      <c r="I1027" s="32" t="s">
        <v>68</v>
      </c>
      <c r="J1027" s="34">
        <v>5</v>
      </c>
      <c r="K1027" s="35">
        <v>799</v>
      </c>
      <c r="L1027" s="35">
        <v>0</v>
      </c>
      <c r="M1027" s="36">
        <f t="shared" si="104"/>
        <v>3995</v>
      </c>
      <c r="N1027" s="32" t="s">
        <v>44</v>
      </c>
      <c r="Q1027" s="49" t="s">
        <v>1449</v>
      </c>
      <c r="R1027" s="49" t="s">
        <v>71</v>
      </c>
      <c r="S1027" s="58">
        <f t="shared" si="103"/>
        <v>45829</v>
      </c>
      <c r="T1027" s="51" t="s">
        <v>39</v>
      </c>
      <c r="U1027" s="50" t="s">
        <v>30</v>
      </c>
      <c r="V1027" s="52" t="s">
        <v>68</v>
      </c>
      <c r="W1027" s="53">
        <v>5</v>
      </c>
      <c r="X1027" s="54">
        <v>799</v>
      </c>
      <c r="Y1027" s="54">
        <v>0</v>
      </c>
      <c r="Z1027" s="55">
        <f t="shared" si="105"/>
        <v>3995</v>
      </c>
      <c r="AA1027" s="56" t="s">
        <v>44</v>
      </c>
      <c r="AB1027"/>
    </row>
    <row r="1028" spans="1:28" x14ac:dyDescent="0.25">
      <c r="A1028" s="26" t="s">
        <v>1450</v>
      </c>
      <c r="B1028" s="26" t="s">
        <v>34</v>
      </c>
      <c r="C1028" s="26" t="str">
        <f t="shared" si="106"/>
        <v>Carlos Silva</v>
      </c>
      <c r="D1028" s="37" t="s">
        <v>789</v>
      </c>
      <c r="E1028" s="27">
        <f t="shared" si="107"/>
        <v>45773</v>
      </c>
      <c r="F1028" s="26" t="s">
        <v>39</v>
      </c>
      <c r="G1028" s="26" t="str">
        <f t="shared" si="108"/>
        <v>Rodrigo Mello</v>
      </c>
      <c r="H1028" s="26" t="s">
        <v>30</v>
      </c>
      <c r="I1028" s="26" t="s">
        <v>152</v>
      </c>
      <c r="J1028" s="28">
        <v>4</v>
      </c>
      <c r="K1028" s="29">
        <v>4500</v>
      </c>
      <c r="L1028" s="29">
        <v>0</v>
      </c>
      <c r="M1028" s="30">
        <f t="shared" si="104"/>
        <v>18000</v>
      </c>
      <c r="N1028" s="26" t="s">
        <v>44</v>
      </c>
      <c r="Q1028" s="42" t="s">
        <v>1450</v>
      </c>
      <c r="R1028" s="42" t="s">
        <v>34</v>
      </c>
      <c r="S1028" s="57">
        <f t="shared" si="103"/>
        <v>45773</v>
      </c>
      <c r="T1028" s="44" t="s">
        <v>39</v>
      </c>
      <c r="U1028" s="43" t="s">
        <v>30</v>
      </c>
      <c r="V1028" s="42" t="s">
        <v>152</v>
      </c>
      <c r="W1028" s="45">
        <v>4</v>
      </c>
      <c r="X1028" s="46">
        <v>4500</v>
      </c>
      <c r="Y1028" s="46">
        <v>0</v>
      </c>
      <c r="Z1028" s="47">
        <f t="shared" si="105"/>
        <v>18000</v>
      </c>
      <c r="AA1028" s="48" t="s">
        <v>44</v>
      </c>
      <c r="AB1028"/>
    </row>
    <row r="1029" spans="1:28" x14ac:dyDescent="0.25">
      <c r="A1029" s="31" t="s">
        <v>1451</v>
      </c>
      <c r="B1029" s="31" t="s">
        <v>27</v>
      </c>
      <c r="C1029" s="32" t="str">
        <f t="shared" si="106"/>
        <v>Roberto Santos</v>
      </c>
      <c r="D1029" s="38" t="s">
        <v>855</v>
      </c>
      <c r="E1029" s="33">
        <f t="shared" si="107"/>
        <v>46052</v>
      </c>
      <c r="F1029" s="32" t="s">
        <v>39</v>
      </c>
      <c r="G1029" s="32" t="str">
        <f t="shared" si="108"/>
        <v>Rodrigo Mello</v>
      </c>
      <c r="H1029" s="32" t="s">
        <v>52</v>
      </c>
      <c r="I1029" s="32" t="s">
        <v>61</v>
      </c>
      <c r="J1029" s="34">
        <v>3</v>
      </c>
      <c r="K1029" s="35">
        <v>199</v>
      </c>
      <c r="L1029" s="35">
        <v>0</v>
      </c>
      <c r="M1029" s="36">
        <f t="shared" si="104"/>
        <v>597</v>
      </c>
      <c r="N1029" s="32" t="s">
        <v>65</v>
      </c>
      <c r="Q1029" s="49" t="s">
        <v>1451</v>
      </c>
      <c r="R1029" s="49" t="s">
        <v>27</v>
      </c>
      <c r="S1029" s="58">
        <f t="shared" si="103"/>
        <v>46052</v>
      </c>
      <c r="T1029" s="51" t="s">
        <v>39</v>
      </c>
      <c r="U1029" s="50" t="s">
        <v>52</v>
      </c>
      <c r="V1029" s="52" t="s">
        <v>61</v>
      </c>
      <c r="W1029" s="53">
        <v>3</v>
      </c>
      <c r="X1029" s="54">
        <v>199</v>
      </c>
      <c r="Y1029" s="54">
        <v>0</v>
      </c>
      <c r="Z1029" s="55">
        <f t="shared" si="105"/>
        <v>597</v>
      </c>
      <c r="AA1029" s="56" t="s">
        <v>65</v>
      </c>
      <c r="AB1029"/>
    </row>
    <row r="1030" spans="1:28" x14ac:dyDescent="0.25">
      <c r="A1030" s="26" t="s">
        <v>1452</v>
      </c>
      <c r="B1030" s="26" t="s">
        <v>13</v>
      </c>
      <c r="C1030" s="26" t="str">
        <f t="shared" si="106"/>
        <v>Lucas Almeida</v>
      </c>
      <c r="D1030" s="37" t="s">
        <v>1116</v>
      </c>
      <c r="E1030" s="27">
        <f t="shared" si="107"/>
        <v>46020</v>
      </c>
      <c r="F1030" s="26" t="s">
        <v>39</v>
      </c>
      <c r="G1030" s="26" t="str">
        <f t="shared" si="108"/>
        <v>Rodrigo Mello</v>
      </c>
      <c r="H1030" s="26" t="s">
        <v>23</v>
      </c>
      <c r="I1030" s="26" t="s">
        <v>88</v>
      </c>
      <c r="J1030" s="28">
        <v>4</v>
      </c>
      <c r="K1030" s="29">
        <v>650</v>
      </c>
      <c r="L1030" s="29">
        <v>5.68</v>
      </c>
      <c r="M1030" s="30">
        <f t="shared" si="104"/>
        <v>2594.3200000000002</v>
      </c>
      <c r="N1030" s="26" t="s">
        <v>44</v>
      </c>
      <c r="Q1030" s="42" t="s">
        <v>1452</v>
      </c>
      <c r="R1030" s="42" t="s">
        <v>13</v>
      </c>
      <c r="S1030" s="57">
        <f t="shared" ref="S1030:S1093" si="109">DATEVALUE(D1030)</f>
        <v>46020</v>
      </c>
      <c r="T1030" s="44" t="s">
        <v>39</v>
      </c>
      <c r="U1030" s="43" t="s">
        <v>23</v>
      </c>
      <c r="V1030" s="42" t="s">
        <v>88</v>
      </c>
      <c r="W1030" s="45">
        <v>4</v>
      </c>
      <c r="X1030" s="46">
        <v>650</v>
      </c>
      <c r="Y1030" s="46">
        <v>5.68</v>
      </c>
      <c r="Z1030" s="47">
        <f t="shared" si="105"/>
        <v>2594.3200000000002</v>
      </c>
      <c r="AA1030" s="48" t="s">
        <v>44</v>
      </c>
      <c r="AB1030"/>
    </row>
    <row r="1031" spans="1:28" x14ac:dyDescent="0.25">
      <c r="A1031" s="31" t="s">
        <v>1453</v>
      </c>
      <c r="B1031" s="31" t="s">
        <v>13</v>
      </c>
      <c r="C1031" s="32" t="str">
        <f t="shared" si="106"/>
        <v>Lucas Almeida</v>
      </c>
      <c r="D1031" s="38" t="s">
        <v>368</v>
      </c>
      <c r="E1031" s="33">
        <f t="shared" si="107"/>
        <v>45673</v>
      </c>
      <c r="F1031" s="32" t="s">
        <v>47</v>
      </c>
      <c r="G1031" s="32" t="str">
        <f t="shared" si="108"/>
        <v>Bruno Martins</v>
      </c>
      <c r="H1031" s="32" t="s">
        <v>30</v>
      </c>
      <c r="I1031" s="32" t="s">
        <v>68</v>
      </c>
      <c r="J1031" s="34">
        <v>2</v>
      </c>
      <c r="K1031" s="35">
        <v>799</v>
      </c>
      <c r="L1031" s="35">
        <v>0</v>
      </c>
      <c r="M1031" s="36">
        <f t="shared" si="104"/>
        <v>1598</v>
      </c>
      <c r="N1031" s="32" t="s">
        <v>65</v>
      </c>
      <c r="Q1031" s="49" t="s">
        <v>1453</v>
      </c>
      <c r="R1031" s="49" t="s">
        <v>13</v>
      </c>
      <c r="S1031" s="58">
        <f t="shared" si="109"/>
        <v>45673</v>
      </c>
      <c r="T1031" s="51" t="s">
        <v>47</v>
      </c>
      <c r="U1031" s="50" t="s">
        <v>30</v>
      </c>
      <c r="V1031" s="52" t="s">
        <v>68</v>
      </c>
      <c r="W1031" s="53">
        <v>2</v>
      </c>
      <c r="X1031" s="54">
        <v>799</v>
      </c>
      <c r="Y1031" s="54">
        <v>0</v>
      </c>
      <c r="Z1031" s="55">
        <f t="shared" si="105"/>
        <v>1598</v>
      </c>
      <c r="AA1031" s="56" t="s">
        <v>65</v>
      </c>
      <c r="AB1031"/>
    </row>
    <row r="1032" spans="1:28" x14ac:dyDescent="0.25">
      <c r="A1032" s="26" t="s">
        <v>1454</v>
      </c>
      <c r="B1032" s="26" t="s">
        <v>101</v>
      </c>
      <c r="C1032" s="26" t="str">
        <f t="shared" si="106"/>
        <v>Ana Souza</v>
      </c>
      <c r="D1032" s="37" t="s">
        <v>560</v>
      </c>
      <c r="E1032" s="27">
        <f t="shared" si="107"/>
        <v>45693</v>
      </c>
      <c r="F1032" s="26" t="s">
        <v>15</v>
      </c>
      <c r="G1032" s="26" t="str">
        <f t="shared" si="108"/>
        <v>Larissa Dias</v>
      </c>
      <c r="H1032" s="26" t="s">
        <v>23</v>
      </c>
      <c r="I1032" s="26" t="s">
        <v>88</v>
      </c>
      <c r="J1032" s="28">
        <v>3</v>
      </c>
      <c r="K1032" s="29">
        <v>650</v>
      </c>
      <c r="L1032" s="29">
        <v>99.34</v>
      </c>
      <c r="M1032" s="30">
        <f t="shared" si="104"/>
        <v>1850.66</v>
      </c>
      <c r="N1032" s="26" t="s">
        <v>65</v>
      </c>
      <c r="Q1032" s="42" t="s">
        <v>1454</v>
      </c>
      <c r="R1032" s="42" t="s">
        <v>101</v>
      </c>
      <c r="S1032" s="57">
        <f t="shared" si="109"/>
        <v>45693</v>
      </c>
      <c r="T1032" s="44" t="s">
        <v>15</v>
      </c>
      <c r="U1032" s="43" t="s">
        <v>23</v>
      </c>
      <c r="V1032" s="42" t="s">
        <v>88</v>
      </c>
      <c r="W1032" s="45">
        <v>3</v>
      </c>
      <c r="X1032" s="46">
        <v>650</v>
      </c>
      <c r="Y1032" s="46">
        <v>99.34</v>
      </c>
      <c r="Z1032" s="47">
        <f t="shared" si="105"/>
        <v>1850.66</v>
      </c>
      <c r="AA1032" s="48" t="s">
        <v>65</v>
      </c>
      <c r="AB1032"/>
    </row>
    <row r="1033" spans="1:28" x14ac:dyDescent="0.25">
      <c r="A1033" s="31" t="s">
        <v>1455</v>
      </c>
      <c r="B1033" s="31" t="s">
        <v>277</v>
      </c>
      <c r="C1033" s="32" t="str">
        <f t="shared" si="106"/>
        <v>Carlos Silva</v>
      </c>
      <c r="D1033" s="38" t="s">
        <v>180</v>
      </c>
      <c r="E1033" s="33">
        <f t="shared" si="107"/>
        <v>45753</v>
      </c>
      <c r="F1033" s="32" t="s">
        <v>29</v>
      </c>
      <c r="G1033" s="32" t="str">
        <f t="shared" si="108"/>
        <v>Camila Rocha</v>
      </c>
      <c r="H1033" s="32" t="s">
        <v>23</v>
      </c>
      <c r="I1033" s="32" t="s">
        <v>43</v>
      </c>
      <c r="J1033" s="34">
        <v>1</v>
      </c>
      <c r="K1033" s="35">
        <v>350</v>
      </c>
      <c r="L1033" s="35">
        <v>6.23</v>
      </c>
      <c r="M1033" s="36">
        <f t="shared" si="104"/>
        <v>343.77</v>
      </c>
      <c r="N1033" s="32" t="s">
        <v>44</v>
      </c>
      <c r="Q1033" s="49" t="s">
        <v>1455</v>
      </c>
      <c r="R1033" s="49" t="s">
        <v>34</v>
      </c>
      <c r="S1033" s="58">
        <f t="shared" si="109"/>
        <v>45753</v>
      </c>
      <c r="T1033" s="51" t="s">
        <v>29</v>
      </c>
      <c r="U1033" s="50" t="s">
        <v>23</v>
      </c>
      <c r="V1033" s="52" t="s">
        <v>43</v>
      </c>
      <c r="W1033" s="53">
        <v>1</v>
      </c>
      <c r="X1033" s="54">
        <v>350</v>
      </c>
      <c r="Y1033" s="54">
        <v>6.23</v>
      </c>
      <c r="Z1033" s="55">
        <f t="shared" si="105"/>
        <v>343.77</v>
      </c>
      <c r="AA1033" s="56" t="s">
        <v>44</v>
      </c>
      <c r="AB1033"/>
    </row>
    <row r="1034" spans="1:28" x14ac:dyDescent="0.25">
      <c r="A1034" s="26" t="s">
        <v>1456</v>
      </c>
      <c r="B1034" s="26" t="s">
        <v>95</v>
      </c>
      <c r="C1034" s="26" t="str">
        <f t="shared" si="106"/>
        <v>Maria Oliveira</v>
      </c>
      <c r="D1034" s="37" t="s">
        <v>1112</v>
      </c>
      <c r="E1034" s="27">
        <f t="shared" si="107"/>
        <v>46015</v>
      </c>
      <c r="F1034" s="26" t="s">
        <v>15</v>
      </c>
      <c r="G1034" s="26" t="str">
        <f t="shared" si="108"/>
        <v>Larissa Dias</v>
      </c>
      <c r="H1034" s="26" t="s">
        <v>16</v>
      </c>
      <c r="I1034" s="26" t="s">
        <v>116</v>
      </c>
      <c r="J1034" s="28">
        <v>1</v>
      </c>
      <c r="K1034" s="29">
        <v>45</v>
      </c>
      <c r="L1034" s="29">
        <v>5.87</v>
      </c>
      <c r="M1034" s="30">
        <f t="shared" si="104"/>
        <v>39.130000000000003</v>
      </c>
      <c r="N1034" s="26" t="s">
        <v>25</v>
      </c>
      <c r="Q1034" s="42" t="s">
        <v>1456</v>
      </c>
      <c r="R1034" s="42" t="s">
        <v>95</v>
      </c>
      <c r="S1034" s="57">
        <f t="shared" si="109"/>
        <v>46015</v>
      </c>
      <c r="T1034" s="44" t="s">
        <v>15</v>
      </c>
      <c r="U1034" s="43" t="s">
        <v>16</v>
      </c>
      <c r="V1034" s="42" t="s">
        <v>116</v>
      </c>
      <c r="W1034" s="45">
        <v>1</v>
      </c>
      <c r="X1034" s="46">
        <v>45</v>
      </c>
      <c r="Y1034" s="46">
        <v>5.87</v>
      </c>
      <c r="Z1034" s="47">
        <f t="shared" si="105"/>
        <v>39.130000000000003</v>
      </c>
      <c r="AA1034" s="48" t="s">
        <v>25</v>
      </c>
      <c r="AB1034"/>
    </row>
    <row r="1035" spans="1:28" x14ac:dyDescent="0.25">
      <c r="A1035" s="31" t="s">
        <v>1457</v>
      </c>
      <c r="B1035" s="31" t="s">
        <v>41</v>
      </c>
      <c r="C1035" s="32" t="str">
        <f t="shared" si="106"/>
        <v>João Pereira</v>
      </c>
      <c r="D1035" s="38" t="s">
        <v>919</v>
      </c>
      <c r="E1035" s="33">
        <f t="shared" si="107"/>
        <v>45812</v>
      </c>
      <c r="F1035" s="32" t="s">
        <v>47</v>
      </c>
      <c r="G1035" s="32" t="str">
        <f t="shared" si="108"/>
        <v>Bruno Martins</v>
      </c>
      <c r="H1035" s="32" t="s">
        <v>23</v>
      </c>
      <c r="I1035" s="32" t="s">
        <v>43</v>
      </c>
      <c r="J1035" s="34">
        <v>3</v>
      </c>
      <c r="K1035" s="35">
        <v>350</v>
      </c>
      <c r="L1035" s="35">
        <v>0</v>
      </c>
      <c r="M1035" s="36">
        <f t="shared" si="104"/>
        <v>1050</v>
      </c>
      <c r="N1035" s="32" t="s">
        <v>69</v>
      </c>
      <c r="Q1035" s="49" t="s">
        <v>1457</v>
      </c>
      <c r="R1035" s="49" t="s">
        <v>41</v>
      </c>
      <c r="S1035" s="58">
        <f t="shared" si="109"/>
        <v>45812</v>
      </c>
      <c r="T1035" s="51" t="s">
        <v>47</v>
      </c>
      <c r="U1035" s="50" t="s">
        <v>23</v>
      </c>
      <c r="V1035" s="52" t="s">
        <v>43</v>
      </c>
      <c r="W1035" s="53">
        <v>3</v>
      </c>
      <c r="X1035" s="54">
        <v>350</v>
      </c>
      <c r="Y1035" s="54">
        <v>0</v>
      </c>
      <c r="Z1035" s="55">
        <f t="shared" si="105"/>
        <v>1050</v>
      </c>
      <c r="AA1035" s="56" t="s">
        <v>69</v>
      </c>
      <c r="AB1035"/>
    </row>
    <row r="1036" spans="1:28" x14ac:dyDescent="0.25">
      <c r="A1036" s="26" t="s">
        <v>1458</v>
      </c>
      <c r="B1036" s="26" t="s">
        <v>13</v>
      </c>
      <c r="C1036" s="26" t="str">
        <f t="shared" si="106"/>
        <v>Lucas Almeida</v>
      </c>
      <c r="D1036" s="37" t="s">
        <v>392</v>
      </c>
      <c r="E1036" s="27">
        <f t="shared" si="107"/>
        <v>45867</v>
      </c>
      <c r="F1036" s="26" t="s">
        <v>15</v>
      </c>
      <c r="G1036" s="26" t="str">
        <f t="shared" si="108"/>
        <v>Larissa Dias</v>
      </c>
      <c r="H1036" s="26" t="s">
        <v>16</v>
      </c>
      <c r="I1036" s="26" t="s">
        <v>116</v>
      </c>
      <c r="J1036" s="28">
        <v>4</v>
      </c>
      <c r="K1036" s="29">
        <v>45</v>
      </c>
      <c r="L1036" s="29">
        <v>0</v>
      </c>
      <c r="M1036" s="30">
        <f t="shared" si="104"/>
        <v>180</v>
      </c>
      <c r="N1036" s="26" t="s">
        <v>89</v>
      </c>
      <c r="Q1036" s="42" t="s">
        <v>1458</v>
      </c>
      <c r="R1036" s="42" t="s">
        <v>13</v>
      </c>
      <c r="S1036" s="57">
        <f t="shared" si="109"/>
        <v>45867</v>
      </c>
      <c r="T1036" s="44" t="s">
        <v>15</v>
      </c>
      <c r="U1036" s="43" t="s">
        <v>16</v>
      </c>
      <c r="V1036" s="42" t="s">
        <v>116</v>
      </c>
      <c r="W1036" s="45">
        <v>4</v>
      </c>
      <c r="X1036" s="46">
        <v>45</v>
      </c>
      <c r="Y1036" s="46">
        <v>0</v>
      </c>
      <c r="Z1036" s="47">
        <f t="shared" si="105"/>
        <v>180</v>
      </c>
      <c r="AA1036" s="48" t="s">
        <v>89</v>
      </c>
      <c r="AB1036"/>
    </row>
    <row r="1037" spans="1:28" x14ac:dyDescent="0.25">
      <c r="A1037" s="31" t="s">
        <v>1459</v>
      </c>
      <c r="B1037" s="31" t="s">
        <v>95</v>
      </c>
      <c r="C1037" s="32" t="str">
        <f t="shared" si="106"/>
        <v>Maria Oliveira</v>
      </c>
      <c r="D1037" s="38" t="s">
        <v>638</v>
      </c>
      <c r="E1037" s="33">
        <f t="shared" si="107"/>
        <v>45752</v>
      </c>
      <c r="F1037" s="32" t="s">
        <v>22</v>
      </c>
      <c r="G1037" s="32" t="str">
        <f t="shared" si="108"/>
        <v>Amanda Costa</v>
      </c>
      <c r="H1037" s="32" t="s">
        <v>30</v>
      </c>
      <c r="I1037" s="32" t="s">
        <v>106</v>
      </c>
      <c r="J1037" s="34">
        <v>2</v>
      </c>
      <c r="K1037" s="35">
        <v>299</v>
      </c>
      <c r="L1037" s="35">
        <v>20.399999999999999</v>
      </c>
      <c r="M1037" s="36">
        <f t="shared" si="104"/>
        <v>577.6</v>
      </c>
      <c r="N1037" s="32" t="s">
        <v>69</v>
      </c>
      <c r="Q1037" s="49" t="s">
        <v>1459</v>
      </c>
      <c r="R1037" s="49" t="s">
        <v>95</v>
      </c>
      <c r="S1037" s="58">
        <f t="shared" si="109"/>
        <v>45752</v>
      </c>
      <c r="T1037" s="51" t="s">
        <v>22</v>
      </c>
      <c r="U1037" s="50" t="s">
        <v>30</v>
      </c>
      <c r="V1037" s="52" t="s">
        <v>106</v>
      </c>
      <c r="W1037" s="53">
        <v>2</v>
      </c>
      <c r="X1037" s="54">
        <v>299</v>
      </c>
      <c r="Y1037" s="54">
        <v>20.399999999999999</v>
      </c>
      <c r="Z1037" s="55">
        <f t="shared" si="105"/>
        <v>577.6</v>
      </c>
      <c r="AA1037" s="56" t="s">
        <v>69</v>
      </c>
      <c r="AB1037"/>
    </row>
    <row r="1038" spans="1:28" x14ac:dyDescent="0.25">
      <c r="A1038" s="26" t="s">
        <v>1460</v>
      </c>
      <c r="B1038" s="26" t="s">
        <v>110</v>
      </c>
      <c r="C1038" s="26" t="str">
        <f t="shared" si="106"/>
        <v>Fernanda Lima</v>
      </c>
      <c r="D1038" s="37" t="s">
        <v>172</v>
      </c>
      <c r="E1038" s="27">
        <f t="shared" si="107"/>
        <v>45823</v>
      </c>
      <c r="F1038" s="26" t="s">
        <v>22</v>
      </c>
      <c r="G1038" s="26" t="str">
        <f t="shared" si="108"/>
        <v>Amanda Costa</v>
      </c>
      <c r="H1038" s="26" t="s">
        <v>16</v>
      </c>
      <c r="I1038" s="26" t="s">
        <v>116</v>
      </c>
      <c r="J1038" s="28">
        <v>3</v>
      </c>
      <c r="K1038" s="29">
        <v>45</v>
      </c>
      <c r="L1038" s="29">
        <v>0</v>
      </c>
      <c r="M1038" s="30">
        <f t="shared" si="104"/>
        <v>135</v>
      </c>
      <c r="N1038" s="26" t="s">
        <v>49</v>
      </c>
      <c r="Q1038" s="42" t="s">
        <v>1460</v>
      </c>
      <c r="R1038" s="42" t="s">
        <v>110</v>
      </c>
      <c r="S1038" s="57">
        <f t="shared" si="109"/>
        <v>45823</v>
      </c>
      <c r="T1038" s="44" t="s">
        <v>22</v>
      </c>
      <c r="U1038" s="43" t="s">
        <v>16</v>
      </c>
      <c r="V1038" s="42" t="s">
        <v>116</v>
      </c>
      <c r="W1038" s="45">
        <v>3</v>
      </c>
      <c r="X1038" s="46">
        <v>45</v>
      </c>
      <c r="Y1038" s="46">
        <v>0</v>
      </c>
      <c r="Z1038" s="47">
        <f t="shared" si="105"/>
        <v>135</v>
      </c>
      <c r="AA1038" s="48" t="s">
        <v>49</v>
      </c>
      <c r="AB1038"/>
    </row>
    <row r="1039" spans="1:28" x14ac:dyDescent="0.25">
      <c r="A1039" s="31" t="s">
        <v>1461</v>
      </c>
      <c r="B1039" s="31" t="s">
        <v>37</v>
      </c>
      <c r="C1039" s="32" t="str">
        <f t="shared" si="106"/>
        <v>Patricia Gomes</v>
      </c>
      <c r="D1039" s="38" t="s">
        <v>931</v>
      </c>
      <c r="E1039" s="33">
        <f t="shared" si="107"/>
        <v>45834</v>
      </c>
      <c r="F1039" s="32" t="s">
        <v>29</v>
      </c>
      <c r="G1039" s="32" t="str">
        <f t="shared" si="108"/>
        <v>Camila Rocha</v>
      </c>
      <c r="H1039" s="32" t="s">
        <v>52</v>
      </c>
      <c r="I1039" s="32" t="s">
        <v>99</v>
      </c>
      <c r="J1039" s="34">
        <v>1</v>
      </c>
      <c r="K1039" s="35">
        <v>79</v>
      </c>
      <c r="L1039" s="35">
        <v>11.23</v>
      </c>
      <c r="M1039" s="36">
        <f t="shared" si="104"/>
        <v>67.77</v>
      </c>
      <c r="N1039" s="32" t="s">
        <v>18</v>
      </c>
      <c r="Q1039" s="49" t="s">
        <v>1461</v>
      </c>
      <c r="R1039" s="49" t="s">
        <v>37</v>
      </c>
      <c r="S1039" s="58">
        <f t="shared" si="109"/>
        <v>45834</v>
      </c>
      <c r="T1039" s="51" t="s">
        <v>29</v>
      </c>
      <c r="U1039" s="50" t="s">
        <v>52</v>
      </c>
      <c r="V1039" s="52" t="s">
        <v>99</v>
      </c>
      <c r="W1039" s="53">
        <v>1</v>
      </c>
      <c r="X1039" s="54">
        <v>79</v>
      </c>
      <c r="Y1039" s="54">
        <v>11.23</v>
      </c>
      <c r="Z1039" s="55">
        <f t="shared" si="105"/>
        <v>67.77</v>
      </c>
      <c r="AA1039" s="56" t="s">
        <v>18</v>
      </c>
      <c r="AB1039"/>
    </row>
    <row r="1040" spans="1:28" x14ac:dyDescent="0.25">
      <c r="A1040" s="26" t="s">
        <v>1462</v>
      </c>
      <c r="B1040" s="26" t="s">
        <v>63</v>
      </c>
      <c r="C1040" s="26" t="str">
        <f t="shared" si="106"/>
        <v>Marcos Rodrigues</v>
      </c>
      <c r="D1040" s="37" t="s">
        <v>38</v>
      </c>
      <c r="E1040" s="27">
        <f t="shared" si="107"/>
        <v>45662</v>
      </c>
      <c r="F1040" s="26" t="s">
        <v>22</v>
      </c>
      <c r="G1040" s="26" t="str">
        <f t="shared" si="108"/>
        <v>Amanda Costa</v>
      </c>
      <c r="H1040" s="26" t="s">
        <v>30</v>
      </c>
      <c r="I1040" s="26" t="s">
        <v>152</v>
      </c>
      <c r="J1040" s="28">
        <v>1</v>
      </c>
      <c r="K1040" s="29">
        <v>4500</v>
      </c>
      <c r="L1040" s="29">
        <v>0</v>
      </c>
      <c r="M1040" s="30">
        <f t="shared" si="104"/>
        <v>4500</v>
      </c>
      <c r="N1040" s="26" t="s">
        <v>49</v>
      </c>
      <c r="Q1040" s="42" t="s">
        <v>1462</v>
      </c>
      <c r="R1040" s="42" t="s">
        <v>63</v>
      </c>
      <c r="S1040" s="57">
        <f t="shared" si="109"/>
        <v>45662</v>
      </c>
      <c r="T1040" s="44" t="s">
        <v>22</v>
      </c>
      <c r="U1040" s="43" t="s">
        <v>30</v>
      </c>
      <c r="V1040" s="42" t="s">
        <v>152</v>
      </c>
      <c r="W1040" s="45">
        <v>1</v>
      </c>
      <c r="X1040" s="46">
        <v>4500</v>
      </c>
      <c r="Y1040" s="46">
        <v>0</v>
      </c>
      <c r="Z1040" s="47">
        <f t="shared" si="105"/>
        <v>4500</v>
      </c>
      <c r="AA1040" s="48" t="s">
        <v>49</v>
      </c>
      <c r="AB1040"/>
    </row>
    <row r="1041" spans="1:28" x14ac:dyDescent="0.25">
      <c r="A1041" s="31" t="s">
        <v>1463</v>
      </c>
      <c r="B1041" s="31" t="s">
        <v>110</v>
      </c>
      <c r="C1041" s="32" t="str">
        <f t="shared" si="106"/>
        <v>Fernanda Lima</v>
      </c>
      <c r="D1041" s="38" t="s">
        <v>379</v>
      </c>
      <c r="E1041" s="33">
        <f t="shared" si="107"/>
        <v>45797</v>
      </c>
      <c r="F1041" s="32" t="s">
        <v>22</v>
      </c>
      <c r="G1041" s="32" t="str">
        <f t="shared" si="108"/>
        <v>Amanda Costa</v>
      </c>
      <c r="H1041" s="32" t="s">
        <v>52</v>
      </c>
      <c r="I1041" s="32" t="s">
        <v>99</v>
      </c>
      <c r="J1041" s="34">
        <v>4</v>
      </c>
      <c r="K1041" s="35">
        <v>79</v>
      </c>
      <c r="L1041" s="35">
        <v>39.24</v>
      </c>
      <c r="M1041" s="36">
        <f t="shared" si="104"/>
        <v>276.76</v>
      </c>
      <c r="N1041" s="32" t="s">
        <v>32</v>
      </c>
      <c r="Q1041" s="49" t="s">
        <v>1463</v>
      </c>
      <c r="R1041" s="49" t="s">
        <v>110</v>
      </c>
      <c r="S1041" s="58">
        <f t="shared" si="109"/>
        <v>45797</v>
      </c>
      <c r="T1041" s="51" t="s">
        <v>22</v>
      </c>
      <c r="U1041" s="50" t="s">
        <v>52</v>
      </c>
      <c r="V1041" s="52" t="s">
        <v>99</v>
      </c>
      <c r="W1041" s="53">
        <v>4</v>
      </c>
      <c r="X1041" s="54">
        <v>79</v>
      </c>
      <c r="Y1041" s="54">
        <v>39.24</v>
      </c>
      <c r="Z1041" s="55">
        <f t="shared" si="105"/>
        <v>276.76</v>
      </c>
      <c r="AA1041" s="56" t="s">
        <v>32</v>
      </c>
      <c r="AB1041"/>
    </row>
    <row r="1042" spans="1:28" x14ac:dyDescent="0.25">
      <c r="A1042" s="26" t="s">
        <v>1464</v>
      </c>
      <c r="B1042" s="26" t="s">
        <v>20</v>
      </c>
      <c r="C1042" s="26" t="str">
        <f t="shared" si="106"/>
        <v>Beatriz Ribeiro</v>
      </c>
      <c r="D1042" s="37" t="s">
        <v>497</v>
      </c>
      <c r="E1042" s="27">
        <f t="shared" si="107"/>
        <v>45679</v>
      </c>
      <c r="F1042" s="26" t="s">
        <v>47</v>
      </c>
      <c r="G1042" s="26" t="str">
        <f t="shared" si="108"/>
        <v>Bruno Martins</v>
      </c>
      <c r="H1042" s="26" t="s">
        <v>23</v>
      </c>
      <c r="I1042" s="26" t="s">
        <v>88</v>
      </c>
      <c r="J1042" s="28">
        <v>2</v>
      </c>
      <c r="K1042" s="29">
        <v>650</v>
      </c>
      <c r="L1042" s="29">
        <v>0</v>
      </c>
      <c r="M1042" s="30">
        <f t="shared" si="104"/>
        <v>1300</v>
      </c>
      <c r="N1042" s="26" t="s">
        <v>65</v>
      </c>
      <c r="Q1042" s="42" t="s">
        <v>1464</v>
      </c>
      <c r="R1042" s="42" t="s">
        <v>20</v>
      </c>
      <c r="S1042" s="57">
        <f t="shared" si="109"/>
        <v>45679</v>
      </c>
      <c r="T1042" s="44" t="s">
        <v>47</v>
      </c>
      <c r="U1042" s="43" t="s">
        <v>23</v>
      </c>
      <c r="V1042" s="42" t="s">
        <v>88</v>
      </c>
      <c r="W1042" s="45">
        <v>2</v>
      </c>
      <c r="X1042" s="46">
        <v>650</v>
      </c>
      <c r="Y1042" s="46">
        <v>0</v>
      </c>
      <c r="Z1042" s="47">
        <f t="shared" si="105"/>
        <v>1300</v>
      </c>
      <c r="AA1042" s="48" t="s">
        <v>65</v>
      </c>
      <c r="AB1042"/>
    </row>
    <row r="1043" spans="1:28" x14ac:dyDescent="0.25">
      <c r="A1043" s="31" t="s">
        <v>1465</v>
      </c>
      <c r="B1043" s="31" t="s">
        <v>34</v>
      </c>
      <c r="C1043" s="32" t="str">
        <f t="shared" si="106"/>
        <v>Carlos Silva</v>
      </c>
      <c r="D1043" s="38" t="s">
        <v>85</v>
      </c>
      <c r="E1043" s="33">
        <f t="shared" si="107"/>
        <v>45715</v>
      </c>
      <c r="F1043" s="32" t="s">
        <v>47</v>
      </c>
      <c r="G1043" s="32" t="str">
        <f t="shared" si="108"/>
        <v>Bruno Martins</v>
      </c>
      <c r="H1043" s="32" t="s">
        <v>23</v>
      </c>
      <c r="I1043" s="32" t="s">
        <v>43</v>
      </c>
      <c r="J1043" s="34">
        <v>5</v>
      </c>
      <c r="K1043" s="35">
        <v>350</v>
      </c>
      <c r="L1043" s="35">
        <v>0</v>
      </c>
      <c r="M1043" s="36">
        <f t="shared" si="104"/>
        <v>1750</v>
      </c>
      <c r="N1043" s="32" t="s">
        <v>89</v>
      </c>
      <c r="Q1043" s="49" t="s">
        <v>1465</v>
      </c>
      <c r="R1043" s="49" t="s">
        <v>34</v>
      </c>
      <c r="S1043" s="58">
        <f t="shared" si="109"/>
        <v>45715</v>
      </c>
      <c r="T1043" s="51" t="s">
        <v>47</v>
      </c>
      <c r="U1043" s="50" t="s">
        <v>23</v>
      </c>
      <c r="V1043" s="52" t="s">
        <v>43</v>
      </c>
      <c r="W1043" s="53">
        <v>5</v>
      </c>
      <c r="X1043" s="54">
        <v>350</v>
      </c>
      <c r="Y1043" s="54">
        <v>0</v>
      </c>
      <c r="Z1043" s="55">
        <f t="shared" si="105"/>
        <v>1750</v>
      </c>
      <c r="AA1043" s="56" t="s">
        <v>89</v>
      </c>
      <c r="AB1043"/>
    </row>
    <row r="1044" spans="1:28" x14ac:dyDescent="0.25">
      <c r="A1044" s="26" t="s">
        <v>1466</v>
      </c>
      <c r="B1044" s="26" t="s">
        <v>34</v>
      </c>
      <c r="C1044" s="26" t="str">
        <f t="shared" si="106"/>
        <v>Carlos Silva</v>
      </c>
      <c r="D1044" s="37" t="s">
        <v>917</v>
      </c>
      <c r="E1044" s="27">
        <f t="shared" si="107"/>
        <v>45677</v>
      </c>
      <c r="F1044" s="26" t="s">
        <v>47</v>
      </c>
      <c r="G1044" s="26" t="str">
        <f t="shared" si="108"/>
        <v>Bruno Martins</v>
      </c>
      <c r="H1044" s="26" t="s">
        <v>30</v>
      </c>
      <c r="I1044" s="26" t="s">
        <v>68</v>
      </c>
      <c r="J1044" s="28">
        <v>4</v>
      </c>
      <c r="K1044" s="29">
        <v>799</v>
      </c>
      <c r="L1044" s="29">
        <v>0</v>
      </c>
      <c r="M1044" s="30">
        <f t="shared" si="104"/>
        <v>3196</v>
      </c>
      <c r="N1044" s="26" t="s">
        <v>65</v>
      </c>
      <c r="Q1044" s="42" t="s">
        <v>1466</v>
      </c>
      <c r="R1044" s="42" t="s">
        <v>34</v>
      </c>
      <c r="S1044" s="57">
        <f t="shared" si="109"/>
        <v>45677</v>
      </c>
      <c r="T1044" s="44" t="s">
        <v>47</v>
      </c>
      <c r="U1044" s="43" t="s">
        <v>30</v>
      </c>
      <c r="V1044" s="42" t="s">
        <v>68</v>
      </c>
      <c r="W1044" s="45">
        <v>4</v>
      </c>
      <c r="X1044" s="46">
        <v>799</v>
      </c>
      <c r="Y1044" s="46">
        <v>0</v>
      </c>
      <c r="Z1044" s="47">
        <f t="shared" si="105"/>
        <v>3196</v>
      </c>
      <c r="AA1044" s="48" t="s">
        <v>65</v>
      </c>
      <c r="AB1044"/>
    </row>
    <row r="1045" spans="1:28" x14ac:dyDescent="0.25">
      <c r="A1045" s="31" t="s">
        <v>1467</v>
      </c>
      <c r="B1045" s="31" t="s">
        <v>101</v>
      </c>
      <c r="C1045" s="32" t="str">
        <f t="shared" si="106"/>
        <v>Ana Souza</v>
      </c>
      <c r="D1045" s="38" t="s">
        <v>601</v>
      </c>
      <c r="E1045" s="33">
        <f t="shared" si="107"/>
        <v>45831</v>
      </c>
      <c r="F1045" s="32" t="s">
        <v>39</v>
      </c>
      <c r="G1045" s="32" t="str">
        <f t="shared" si="108"/>
        <v>Rodrigo Mello</v>
      </c>
      <c r="H1045" s="32" t="s">
        <v>52</v>
      </c>
      <c r="I1045" s="32" t="s">
        <v>75</v>
      </c>
      <c r="J1045" s="34">
        <v>1</v>
      </c>
      <c r="K1045" s="35">
        <v>249</v>
      </c>
      <c r="L1045" s="35">
        <v>25.57</v>
      </c>
      <c r="M1045" s="36">
        <f t="shared" si="104"/>
        <v>223.43</v>
      </c>
      <c r="N1045" s="32" t="s">
        <v>49</v>
      </c>
      <c r="Q1045" s="49" t="s">
        <v>1467</v>
      </c>
      <c r="R1045" s="49" t="s">
        <v>101</v>
      </c>
      <c r="S1045" s="58">
        <f t="shared" si="109"/>
        <v>45831</v>
      </c>
      <c r="T1045" s="51" t="s">
        <v>39</v>
      </c>
      <c r="U1045" s="50" t="s">
        <v>52</v>
      </c>
      <c r="V1045" s="52" t="s">
        <v>75</v>
      </c>
      <c r="W1045" s="53">
        <v>1</v>
      </c>
      <c r="X1045" s="54">
        <v>249</v>
      </c>
      <c r="Y1045" s="54">
        <v>25.57</v>
      </c>
      <c r="Z1045" s="55">
        <f t="shared" si="105"/>
        <v>223.43</v>
      </c>
      <c r="AA1045" s="56" t="s">
        <v>49</v>
      </c>
      <c r="AB1045"/>
    </row>
    <row r="1046" spans="1:28" x14ac:dyDescent="0.25">
      <c r="A1046" s="26" t="s">
        <v>1468</v>
      </c>
      <c r="B1046" s="26" t="s">
        <v>20</v>
      </c>
      <c r="C1046" s="26" t="str">
        <f t="shared" si="106"/>
        <v>Beatriz Ribeiro</v>
      </c>
      <c r="D1046" s="37" t="s">
        <v>371</v>
      </c>
      <c r="E1046" s="27">
        <f t="shared" si="107"/>
        <v>46007</v>
      </c>
      <c r="F1046" s="26" t="s">
        <v>47</v>
      </c>
      <c r="G1046" s="26" t="str">
        <f t="shared" si="108"/>
        <v>Bruno Martins</v>
      </c>
      <c r="H1046" s="26" t="s">
        <v>52</v>
      </c>
      <c r="I1046" s="26" t="s">
        <v>53</v>
      </c>
      <c r="J1046" s="28">
        <v>2</v>
      </c>
      <c r="K1046" s="29">
        <v>149</v>
      </c>
      <c r="L1046" s="29">
        <v>21.39</v>
      </c>
      <c r="M1046" s="30">
        <f t="shared" si="104"/>
        <v>276.61</v>
      </c>
      <c r="N1046" s="26" t="s">
        <v>89</v>
      </c>
      <c r="Q1046" s="42" t="s">
        <v>1468</v>
      </c>
      <c r="R1046" s="42" t="s">
        <v>20</v>
      </c>
      <c r="S1046" s="57">
        <f t="shared" si="109"/>
        <v>46007</v>
      </c>
      <c r="T1046" s="44" t="s">
        <v>47</v>
      </c>
      <c r="U1046" s="43" t="s">
        <v>52</v>
      </c>
      <c r="V1046" s="42" t="s">
        <v>53</v>
      </c>
      <c r="W1046" s="45">
        <v>2</v>
      </c>
      <c r="X1046" s="46">
        <v>149</v>
      </c>
      <c r="Y1046" s="46">
        <v>21.39</v>
      </c>
      <c r="Z1046" s="47">
        <f t="shared" si="105"/>
        <v>276.61</v>
      </c>
      <c r="AA1046" s="48" t="s">
        <v>89</v>
      </c>
      <c r="AB1046"/>
    </row>
    <row r="1047" spans="1:28" x14ac:dyDescent="0.25">
      <c r="A1047" s="31" t="s">
        <v>1469</v>
      </c>
      <c r="B1047" s="31" t="s">
        <v>110</v>
      </c>
      <c r="C1047" s="32" t="str">
        <f t="shared" si="106"/>
        <v>Fernanda Lima</v>
      </c>
      <c r="D1047" s="38" t="s">
        <v>316</v>
      </c>
      <c r="E1047" s="33">
        <f t="shared" si="107"/>
        <v>46043</v>
      </c>
      <c r="F1047" s="32" t="s">
        <v>39</v>
      </c>
      <c r="G1047" s="32" t="str">
        <f t="shared" si="108"/>
        <v>Rodrigo Mello</v>
      </c>
      <c r="H1047" s="32" t="s">
        <v>23</v>
      </c>
      <c r="I1047" s="32" t="s">
        <v>43</v>
      </c>
      <c r="J1047" s="34">
        <v>5</v>
      </c>
      <c r="K1047" s="35">
        <v>350</v>
      </c>
      <c r="L1047" s="35">
        <v>204.51</v>
      </c>
      <c r="M1047" s="36">
        <f t="shared" si="104"/>
        <v>1545.49</v>
      </c>
      <c r="N1047" s="32" t="s">
        <v>44</v>
      </c>
      <c r="Q1047" s="49" t="s">
        <v>1469</v>
      </c>
      <c r="R1047" s="49" t="s">
        <v>110</v>
      </c>
      <c r="S1047" s="58">
        <f t="shared" si="109"/>
        <v>46043</v>
      </c>
      <c r="T1047" s="51" t="s">
        <v>39</v>
      </c>
      <c r="U1047" s="50" t="s">
        <v>23</v>
      </c>
      <c r="V1047" s="52" t="s">
        <v>43</v>
      </c>
      <c r="W1047" s="53">
        <v>5</v>
      </c>
      <c r="X1047" s="54">
        <v>350</v>
      </c>
      <c r="Y1047" s="54">
        <v>204.51</v>
      </c>
      <c r="Z1047" s="55">
        <f t="shared" si="105"/>
        <v>1545.49</v>
      </c>
      <c r="AA1047" s="56" t="s">
        <v>44</v>
      </c>
      <c r="AB1047"/>
    </row>
    <row r="1048" spans="1:28" x14ac:dyDescent="0.25">
      <c r="A1048" s="26" t="s">
        <v>1470</v>
      </c>
      <c r="B1048" s="26" t="s">
        <v>55</v>
      </c>
      <c r="C1048" s="26" t="str">
        <f t="shared" si="106"/>
        <v>Ricardo Carvalho</v>
      </c>
      <c r="D1048" s="37" t="s">
        <v>469</v>
      </c>
      <c r="E1048" s="27">
        <f t="shared" si="107"/>
        <v>46057</v>
      </c>
      <c r="F1048" s="26" t="s">
        <v>22</v>
      </c>
      <c r="G1048" s="26" t="str">
        <f t="shared" si="108"/>
        <v>Amanda Costa</v>
      </c>
      <c r="H1048" s="26" t="s">
        <v>16</v>
      </c>
      <c r="I1048" s="26" t="s">
        <v>78</v>
      </c>
      <c r="J1048" s="28">
        <v>5</v>
      </c>
      <c r="K1048" s="29">
        <v>59</v>
      </c>
      <c r="L1048" s="29">
        <v>30.93</v>
      </c>
      <c r="M1048" s="30">
        <f t="shared" si="104"/>
        <v>264.07</v>
      </c>
      <c r="N1048" s="26" t="s">
        <v>49</v>
      </c>
      <c r="Q1048" s="42" t="s">
        <v>1470</v>
      </c>
      <c r="R1048" s="42" t="s">
        <v>55</v>
      </c>
      <c r="S1048" s="57">
        <f t="shared" si="109"/>
        <v>46057</v>
      </c>
      <c r="T1048" s="44" t="s">
        <v>22</v>
      </c>
      <c r="U1048" s="43" t="s">
        <v>16</v>
      </c>
      <c r="V1048" s="42" t="s">
        <v>78</v>
      </c>
      <c r="W1048" s="45">
        <v>5</v>
      </c>
      <c r="X1048" s="46">
        <v>59</v>
      </c>
      <c r="Y1048" s="46">
        <v>30.93</v>
      </c>
      <c r="Z1048" s="47">
        <f t="shared" si="105"/>
        <v>264.07</v>
      </c>
      <c r="AA1048" s="48" t="s">
        <v>49</v>
      </c>
      <c r="AB1048"/>
    </row>
    <row r="1049" spans="1:28" x14ac:dyDescent="0.25">
      <c r="A1049" s="31" t="s">
        <v>1471</v>
      </c>
      <c r="B1049" s="31" t="s">
        <v>34</v>
      </c>
      <c r="C1049" s="32" t="str">
        <f t="shared" si="106"/>
        <v>Carlos Silva</v>
      </c>
      <c r="D1049" s="38" t="s">
        <v>342</v>
      </c>
      <c r="E1049" s="33">
        <f t="shared" si="107"/>
        <v>45973</v>
      </c>
      <c r="F1049" s="32" t="s">
        <v>47</v>
      </c>
      <c r="G1049" s="32" t="str">
        <f t="shared" si="108"/>
        <v>Bruno Martins</v>
      </c>
      <c r="H1049" s="32" t="s">
        <v>16</v>
      </c>
      <c r="I1049" s="32" t="s">
        <v>78</v>
      </c>
      <c r="J1049" s="34">
        <v>1</v>
      </c>
      <c r="K1049" s="35">
        <v>59</v>
      </c>
      <c r="L1049" s="35">
        <v>0</v>
      </c>
      <c r="M1049" s="36">
        <f t="shared" si="104"/>
        <v>59</v>
      </c>
      <c r="N1049" s="32" t="s">
        <v>69</v>
      </c>
      <c r="Q1049" s="49" t="s">
        <v>1471</v>
      </c>
      <c r="R1049" s="49" t="s">
        <v>34</v>
      </c>
      <c r="S1049" s="58">
        <f t="shared" si="109"/>
        <v>45973</v>
      </c>
      <c r="T1049" s="51" t="s">
        <v>47</v>
      </c>
      <c r="U1049" s="50" t="s">
        <v>16</v>
      </c>
      <c r="V1049" s="52" t="s">
        <v>78</v>
      </c>
      <c r="W1049" s="53">
        <v>1</v>
      </c>
      <c r="X1049" s="54">
        <v>59</v>
      </c>
      <c r="Y1049" s="54">
        <v>0</v>
      </c>
      <c r="Z1049" s="55">
        <f t="shared" si="105"/>
        <v>59</v>
      </c>
      <c r="AA1049" s="56" t="s">
        <v>69</v>
      </c>
      <c r="AB1049"/>
    </row>
    <row r="1050" spans="1:28" x14ac:dyDescent="0.25">
      <c r="A1050" s="26" t="s">
        <v>1472</v>
      </c>
      <c r="B1050" s="26" t="s">
        <v>27</v>
      </c>
      <c r="C1050" s="26" t="str">
        <f t="shared" si="106"/>
        <v>Roberto Santos</v>
      </c>
      <c r="D1050" s="37" t="s">
        <v>309</v>
      </c>
      <c r="E1050" s="27">
        <f t="shared" si="107"/>
        <v>45868</v>
      </c>
      <c r="F1050" s="26" t="s">
        <v>39</v>
      </c>
      <c r="G1050" s="26" t="str">
        <f t="shared" si="108"/>
        <v>Rodrigo Mello</v>
      </c>
      <c r="H1050" s="26" t="s">
        <v>30</v>
      </c>
      <c r="I1050" s="26" t="s">
        <v>31</v>
      </c>
      <c r="J1050" s="28">
        <v>1</v>
      </c>
      <c r="K1050" s="29">
        <v>2500</v>
      </c>
      <c r="L1050" s="29">
        <v>55.03</v>
      </c>
      <c r="M1050" s="30">
        <f t="shared" si="104"/>
        <v>2444.9699999999998</v>
      </c>
      <c r="N1050" s="26" t="s">
        <v>25</v>
      </c>
      <c r="Q1050" s="42" t="s">
        <v>1472</v>
      </c>
      <c r="R1050" s="42" t="s">
        <v>27</v>
      </c>
      <c r="S1050" s="57">
        <f t="shared" si="109"/>
        <v>45868</v>
      </c>
      <c r="T1050" s="44" t="s">
        <v>39</v>
      </c>
      <c r="U1050" s="43" t="s">
        <v>30</v>
      </c>
      <c r="V1050" s="42" t="s">
        <v>31</v>
      </c>
      <c r="W1050" s="45">
        <v>1</v>
      </c>
      <c r="X1050" s="46">
        <v>2500</v>
      </c>
      <c r="Y1050" s="46">
        <v>55.03</v>
      </c>
      <c r="Z1050" s="47">
        <f t="shared" si="105"/>
        <v>2444.9699999999998</v>
      </c>
      <c r="AA1050" s="48" t="s">
        <v>25</v>
      </c>
      <c r="AB1050"/>
    </row>
    <row r="1051" spans="1:28" x14ac:dyDescent="0.25">
      <c r="A1051" s="31" t="s">
        <v>1473</v>
      </c>
      <c r="B1051" s="31" t="s">
        <v>134</v>
      </c>
      <c r="C1051" s="32" t="str">
        <f t="shared" si="106"/>
        <v>Ana Souza</v>
      </c>
      <c r="D1051" s="38" t="s">
        <v>388</v>
      </c>
      <c r="E1051" s="33">
        <f t="shared" si="107"/>
        <v>45790</v>
      </c>
      <c r="F1051" s="32" t="s">
        <v>47</v>
      </c>
      <c r="G1051" s="32" t="str">
        <f t="shared" si="108"/>
        <v>Bruno Martins</v>
      </c>
      <c r="H1051" s="32" t="s">
        <v>52</v>
      </c>
      <c r="I1051" s="32" t="s">
        <v>99</v>
      </c>
      <c r="J1051" s="34">
        <v>1</v>
      </c>
      <c r="K1051" s="35">
        <v>79</v>
      </c>
      <c r="L1051" s="35">
        <v>0</v>
      </c>
      <c r="M1051" s="36">
        <f t="shared" si="104"/>
        <v>79</v>
      </c>
      <c r="N1051" s="32" t="s">
        <v>65</v>
      </c>
      <c r="Q1051" s="49" t="s">
        <v>1473</v>
      </c>
      <c r="R1051" s="49" t="s">
        <v>101</v>
      </c>
      <c r="S1051" s="58">
        <f t="shared" si="109"/>
        <v>45790</v>
      </c>
      <c r="T1051" s="51" t="s">
        <v>47</v>
      </c>
      <c r="U1051" s="50" t="s">
        <v>52</v>
      </c>
      <c r="V1051" s="52" t="s">
        <v>99</v>
      </c>
      <c r="W1051" s="53">
        <v>1</v>
      </c>
      <c r="X1051" s="54">
        <v>79</v>
      </c>
      <c r="Y1051" s="54">
        <v>0</v>
      </c>
      <c r="Z1051" s="55">
        <f t="shared" si="105"/>
        <v>79</v>
      </c>
      <c r="AA1051" s="56" t="s">
        <v>65</v>
      </c>
      <c r="AB1051"/>
    </row>
    <row r="1052" spans="1:28" x14ac:dyDescent="0.25">
      <c r="A1052" s="26" t="s">
        <v>1474</v>
      </c>
      <c r="B1052" s="26" t="s">
        <v>13</v>
      </c>
      <c r="C1052" s="26" t="str">
        <f t="shared" si="106"/>
        <v>Lucas Almeida</v>
      </c>
      <c r="D1052" s="37" t="s">
        <v>711</v>
      </c>
      <c r="E1052" s="27">
        <f t="shared" si="107"/>
        <v>45726</v>
      </c>
      <c r="F1052" s="26" t="s">
        <v>22</v>
      </c>
      <c r="G1052" s="26" t="str">
        <f t="shared" si="108"/>
        <v>Amanda Costa</v>
      </c>
      <c r="H1052" s="26" t="s">
        <v>30</v>
      </c>
      <c r="I1052" s="26" t="s">
        <v>152</v>
      </c>
      <c r="J1052" s="28">
        <v>4</v>
      </c>
      <c r="K1052" s="29">
        <v>4500</v>
      </c>
      <c r="L1052" s="29">
        <v>0</v>
      </c>
      <c r="M1052" s="30">
        <f t="shared" si="104"/>
        <v>18000</v>
      </c>
      <c r="N1052" s="26" t="s">
        <v>89</v>
      </c>
      <c r="Q1052" s="42" t="s">
        <v>1474</v>
      </c>
      <c r="R1052" s="42" t="s">
        <v>13</v>
      </c>
      <c r="S1052" s="57">
        <f t="shared" si="109"/>
        <v>45726</v>
      </c>
      <c r="T1052" s="44" t="s">
        <v>22</v>
      </c>
      <c r="U1052" s="43" t="s">
        <v>30</v>
      </c>
      <c r="V1052" s="42" t="s">
        <v>152</v>
      </c>
      <c r="W1052" s="45">
        <v>4</v>
      </c>
      <c r="X1052" s="46">
        <v>4500</v>
      </c>
      <c r="Y1052" s="46">
        <v>0</v>
      </c>
      <c r="Z1052" s="47">
        <f t="shared" si="105"/>
        <v>18000</v>
      </c>
      <c r="AA1052" s="48" t="s">
        <v>89</v>
      </c>
      <c r="AB1052"/>
    </row>
    <row r="1053" spans="1:28" x14ac:dyDescent="0.25">
      <c r="A1053" s="31" t="s">
        <v>1475</v>
      </c>
      <c r="B1053" s="31" t="s">
        <v>110</v>
      </c>
      <c r="C1053" s="32" t="str">
        <f t="shared" si="106"/>
        <v>Fernanda Lima</v>
      </c>
      <c r="D1053" s="38" t="s">
        <v>510</v>
      </c>
      <c r="E1053" s="33">
        <f t="shared" si="107"/>
        <v>45678</v>
      </c>
      <c r="F1053" s="32" t="s">
        <v>15</v>
      </c>
      <c r="G1053" s="32" t="str">
        <f t="shared" si="108"/>
        <v>Larissa Dias</v>
      </c>
      <c r="H1053" s="32" t="s">
        <v>52</v>
      </c>
      <c r="I1053" s="32" t="s">
        <v>61</v>
      </c>
      <c r="J1053" s="34">
        <v>4</v>
      </c>
      <c r="K1053" s="35">
        <v>199</v>
      </c>
      <c r="L1053" s="35">
        <v>0</v>
      </c>
      <c r="M1053" s="36">
        <f t="shared" si="104"/>
        <v>796</v>
      </c>
      <c r="N1053" s="32" t="s">
        <v>32</v>
      </c>
      <c r="Q1053" s="49" t="s">
        <v>1475</v>
      </c>
      <c r="R1053" s="49" t="s">
        <v>110</v>
      </c>
      <c r="S1053" s="58">
        <f t="shared" si="109"/>
        <v>45678</v>
      </c>
      <c r="T1053" s="51" t="s">
        <v>15</v>
      </c>
      <c r="U1053" s="50" t="s">
        <v>52</v>
      </c>
      <c r="V1053" s="52" t="s">
        <v>61</v>
      </c>
      <c r="W1053" s="53">
        <v>4</v>
      </c>
      <c r="X1053" s="54">
        <v>199</v>
      </c>
      <c r="Y1053" s="54">
        <v>0</v>
      </c>
      <c r="Z1053" s="55">
        <f t="shared" si="105"/>
        <v>796</v>
      </c>
      <c r="AA1053" s="56" t="s">
        <v>32</v>
      </c>
      <c r="AB1053"/>
    </row>
    <row r="1054" spans="1:28" x14ac:dyDescent="0.25">
      <c r="A1054" s="26" t="s">
        <v>1476</v>
      </c>
      <c r="B1054" s="26" t="s">
        <v>110</v>
      </c>
      <c r="C1054" s="26" t="str">
        <f t="shared" si="106"/>
        <v>Fernanda Lima</v>
      </c>
      <c r="D1054" s="37" t="s">
        <v>275</v>
      </c>
      <c r="E1054" s="27">
        <f t="shared" si="107"/>
        <v>45795</v>
      </c>
      <c r="F1054" s="26" t="s">
        <v>15</v>
      </c>
      <c r="G1054" s="26" t="str">
        <f t="shared" si="108"/>
        <v>Larissa Dias</v>
      </c>
      <c r="H1054" s="26" t="s">
        <v>16</v>
      </c>
      <c r="I1054" s="26" t="s">
        <v>17</v>
      </c>
      <c r="J1054" s="28">
        <v>3</v>
      </c>
      <c r="K1054" s="29">
        <v>39</v>
      </c>
      <c r="L1054" s="29">
        <v>0</v>
      </c>
      <c r="M1054" s="30">
        <f t="shared" si="104"/>
        <v>117</v>
      </c>
      <c r="N1054" s="26" t="s">
        <v>49</v>
      </c>
      <c r="Q1054" s="42" t="s">
        <v>1476</v>
      </c>
      <c r="R1054" s="42" t="s">
        <v>110</v>
      </c>
      <c r="S1054" s="57">
        <f t="shared" si="109"/>
        <v>45795</v>
      </c>
      <c r="T1054" s="44" t="s">
        <v>15</v>
      </c>
      <c r="U1054" s="43" t="s">
        <v>16</v>
      </c>
      <c r="V1054" s="42" t="s">
        <v>17</v>
      </c>
      <c r="W1054" s="45">
        <v>3</v>
      </c>
      <c r="X1054" s="46">
        <v>39</v>
      </c>
      <c r="Y1054" s="46">
        <v>0</v>
      </c>
      <c r="Z1054" s="47">
        <f t="shared" si="105"/>
        <v>117</v>
      </c>
      <c r="AA1054" s="48" t="s">
        <v>49</v>
      </c>
      <c r="AB1054"/>
    </row>
    <row r="1055" spans="1:28" x14ac:dyDescent="0.25">
      <c r="A1055" s="31" t="s">
        <v>1477</v>
      </c>
      <c r="B1055" s="31" t="s">
        <v>55</v>
      </c>
      <c r="C1055" s="32" t="str">
        <f t="shared" si="106"/>
        <v>Ricardo Carvalho</v>
      </c>
      <c r="D1055" s="38" t="s">
        <v>503</v>
      </c>
      <c r="E1055" s="33">
        <f t="shared" si="107"/>
        <v>45793</v>
      </c>
      <c r="F1055" s="32" t="s">
        <v>47</v>
      </c>
      <c r="G1055" s="32" t="str">
        <f t="shared" si="108"/>
        <v>Bruno Martins</v>
      </c>
      <c r="H1055" s="32" t="s">
        <v>30</v>
      </c>
      <c r="I1055" s="32" t="s">
        <v>68</v>
      </c>
      <c r="J1055" s="34">
        <v>1</v>
      </c>
      <c r="K1055" s="35">
        <v>799</v>
      </c>
      <c r="L1055" s="35">
        <v>86.53</v>
      </c>
      <c r="M1055" s="36">
        <f t="shared" si="104"/>
        <v>712.47</v>
      </c>
      <c r="N1055" s="32" t="s">
        <v>49</v>
      </c>
      <c r="Q1055" s="49" t="s">
        <v>1477</v>
      </c>
      <c r="R1055" s="49" t="s">
        <v>55</v>
      </c>
      <c r="S1055" s="58">
        <f t="shared" si="109"/>
        <v>45793</v>
      </c>
      <c r="T1055" s="51" t="s">
        <v>47</v>
      </c>
      <c r="U1055" s="50" t="s">
        <v>30</v>
      </c>
      <c r="V1055" s="52" t="s">
        <v>68</v>
      </c>
      <c r="W1055" s="53">
        <v>1</v>
      </c>
      <c r="X1055" s="54">
        <v>799</v>
      </c>
      <c r="Y1055" s="54">
        <v>86.53</v>
      </c>
      <c r="Z1055" s="55">
        <f t="shared" si="105"/>
        <v>712.47</v>
      </c>
      <c r="AA1055" s="56" t="s">
        <v>49</v>
      </c>
      <c r="AB1055"/>
    </row>
    <row r="1056" spans="1:28" x14ac:dyDescent="0.25">
      <c r="A1056" s="26" t="s">
        <v>1478</v>
      </c>
      <c r="B1056" s="26" t="s">
        <v>134</v>
      </c>
      <c r="C1056" s="26" t="str">
        <f t="shared" si="106"/>
        <v>Ana Souza</v>
      </c>
      <c r="D1056" s="37" t="s">
        <v>919</v>
      </c>
      <c r="E1056" s="27">
        <f t="shared" si="107"/>
        <v>45812</v>
      </c>
      <c r="F1056" s="26" t="s">
        <v>22</v>
      </c>
      <c r="G1056" s="26" t="str">
        <f t="shared" si="108"/>
        <v>Amanda Costa</v>
      </c>
      <c r="H1056" s="26" t="s">
        <v>23</v>
      </c>
      <c r="I1056" s="26" t="s">
        <v>24</v>
      </c>
      <c r="J1056" s="28">
        <v>4</v>
      </c>
      <c r="K1056" s="29">
        <v>180</v>
      </c>
      <c r="L1056" s="29">
        <v>0</v>
      </c>
      <c r="M1056" s="30">
        <f t="shared" si="104"/>
        <v>720</v>
      </c>
      <c r="N1056" s="26" t="s">
        <v>32</v>
      </c>
      <c r="Q1056" s="42" t="s">
        <v>1478</v>
      </c>
      <c r="R1056" s="42" t="s">
        <v>101</v>
      </c>
      <c r="S1056" s="57">
        <f t="shared" si="109"/>
        <v>45812</v>
      </c>
      <c r="T1056" s="44" t="s">
        <v>22</v>
      </c>
      <c r="U1056" s="43" t="s">
        <v>23</v>
      </c>
      <c r="V1056" s="42" t="s">
        <v>24</v>
      </c>
      <c r="W1056" s="45">
        <v>4</v>
      </c>
      <c r="X1056" s="46">
        <v>180</v>
      </c>
      <c r="Y1056" s="46">
        <v>0</v>
      </c>
      <c r="Z1056" s="47">
        <f t="shared" si="105"/>
        <v>720</v>
      </c>
      <c r="AA1056" s="48" t="s">
        <v>32</v>
      </c>
      <c r="AB1056"/>
    </row>
    <row r="1057" spans="1:28" x14ac:dyDescent="0.25">
      <c r="A1057" s="31" t="s">
        <v>1479</v>
      </c>
      <c r="B1057" s="31" t="s">
        <v>95</v>
      </c>
      <c r="C1057" s="32" t="str">
        <f t="shared" si="106"/>
        <v>Maria Oliveira</v>
      </c>
      <c r="D1057" s="38" t="s">
        <v>1144</v>
      </c>
      <c r="E1057" s="33">
        <f t="shared" si="107"/>
        <v>45729</v>
      </c>
      <c r="F1057" s="32" t="s">
        <v>39</v>
      </c>
      <c r="G1057" s="32" t="str">
        <f t="shared" si="108"/>
        <v>Rodrigo Mello</v>
      </c>
      <c r="H1057" s="32" t="s">
        <v>23</v>
      </c>
      <c r="I1057" s="32" t="s">
        <v>48</v>
      </c>
      <c r="J1057" s="34">
        <v>3</v>
      </c>
      <c r="K1057" s="35">
        <v>450</v>
      </c>
      <c r="L1057" s="35">
        <v>192.77</v>
      </c>
      <c r="M1057" s="36">
        <f t="shared" si="104"/>
        <v>1157.23</v>
      </c>
      <c r="N1057" s="32" t="s">
        <v>18</v>
      </c>
      <c r="Q1057" s="49" t="s">
        <v>1479</v>
      </c>
      <c r="R1057" s="49" t="s">
        <v>95</v>
      </c>
      <c r="S1057" s="58">
        <f t="shared" si="109"/>
        <v>45729</v>
      </c>
      <c r="T1057" s="51" t="s">
        <v>39</v>
      </c>
      <c r="U1057" s="50" t="s">
        <v>23</v>
      </c>
      <c r="V1057" s="52" t="s">
        <v>48</v>
      </c>
      <c r="W1057" s="53">
        <v>3</v>
      </c>
      <c r="X1057" s="54">
        <v>450</v>
      </c>
      <c r="Y1057" s="54">
        <v>192.77</v>
      </c>
      <c r="Z1057" s="55">
        <f t="shared" si="105"/>
        <v>1157.23</v>
      </c>
      <c r="AA1057" s="56" t="s">
        <v>18</v>
      </c>
      <c r="AB1057"/>
    </row>
    <row r="1058" spans="1:28" x14ac:dyDescent="0.25">
      <c r="A1058" s="26" t="s">
        <v>1480</v>
      </c>
      <c r="B1058" s="26" t="s">
        <v>27</v>
      </c>
      <c r="C1058" s="26" t="str">
        <f t="shared" si="106"/>
        <v>Roberto Santos</v>
      </c>
      <c r="D1058" s="37" t="s">
        <v>265</v>
      </c>
      <c r="E1058" s="27">
        <f t="shared" si="107"/>
        <v>45703</v>
      </c>
      <c r="F1058" s="26" t="s">
        <v>22</v>
      </c>
      <c r="G1058" s="26" t="str">
        <f t="shared" si="108"/>
        <v>Amanda Costa</v>
      </c>
      <c r="H1058" s="26" t="s">
        <v>16</v>
      </c>
      <c r="I1058" s="26" t="s">
        <v>103</v>
      </c>
      <c r="J1058" s="28">
        <v>3</v>
      </c>
      <c r="K1058" s="29">
        <v>89</v>
      </c>
      <c r="L1058" s="29">
        <v>0</v>
      </c>
      <c r="M1058" s="30">
        <f t="shared" si="104"/>
        <v>267</v>
      </c>
      <c r="N1058" s="26" t="s">
        <v>65</v>
      </c>
      <c r="Q1058" s="42" t="s">
        <v>1480</v>
      </c>
      <c r="R1058" s="42" t="s">
        <v>27</v>
      </c>
      <c r="S1058" s="57">
        <f t="shared" si="109"/>
        <v>45703</v>
      </c>
      <c r="T1058" s="44" t="s">
        <v>22</v>
      </c>
      <c r="U1058" s="43" t="s">
        <v>16</v>
      </c>
      <c r="V1058" s="42" t="s">
        <v>103</v>
      </c>
      <c r="W1058" s="45">
        <v>3</v>
      </c>
      <c r="X1058" s="46">
        <v>89</v>
      </c>
      <c r="Y1058" s="46">
        <v>0</v>
      </c>
      <c r="Z1058" s="47">
        <f t="shared" si="105"/>
        <v>267</v>
      </c>
      <c r="AA1058" s="48" t="s">
        <v>65</v>
      </c>
      <c r="AB1058"/>
    </row>
    <row r="1059" spans="1:28" x14ac:dyDescent="0.25">
      <c r="A1059" s="31" t="s">
        <v>1481</v>
      </c>
      <c r="B1059" s="31" t="s">
        <v>34</v>
      </c>
      <c r="C1059" s="32" t="str">
        <f t="shared" si="106"/>
        <v>Carlos Silva</v>
      </c>
      <c r="D1059" s="38" t="s">
        <v>529</v>
      </c>
      <c r="E1059" s="33">
        <f t="shared" si="107"/>
        <v>45990</v>
      </c>
      <c r="F1059" s="32" t="s">
        <v>22</v>
      </c>
      <c r="G1059" s="32" t="str">
        <f t="shared" si="108"/>
        <v>Amanda Costa</v>
      </c>
      <c r="H1059" s="32" t="s">
        <v>23</v>
      </c>
      <c r="I1059" s="32" t="s">
        <v>48</v>
      </c>
      <c r="J1059" s="34">
        <v>2</v>
      </c>
      <c r="K1059" s="35">
        <v>450</v>
      </c>
      <c r="L1059" s="35">
        <v>117.54</v>
      </c>
      <c r="M1059" s="36">
        <f t="shared" si="104"/>
        <v>782.46</v>
      </c>
      <c r="N1059" s="32" t="s">
        <v>49</v>
      </c>
      <c r="Q1059" s="49" t="s">
        <v>1481</v>
      </c>
      <c r="R1059" s="49" t="s">
        <v>34</v>
      </c>
      <c r="S1059" s="58">
        <f t="shared" si="109"/>
        <v>45990</v>
      </c>
      <c r="T1059" s="51" t="s">
        <v>22</v>
      </c>
      <c r="U1059" s="50" t="s">
        <v>23</v>
      </c>
      <c r="V1059" s="52" t="s">
        <v>48</v>
      </c>
      <c r="W1059" s="53">
        <v>2</v>
      </c>
      <c r="X1059" s="54">
        <v>450</v>
      </c>
      <c r="Y1059" s="54">
        <v>117.54</v>
      </c>
      <c r="Z1059" s="55">
        <f t="shared" si="105"/>
        <v>782.46</v>
      </c>
      <c r="AA1059" s="56" t="s">
        <v>49</v>
      </c>
      <c r="AB1059"/>
    </row>
    <row r="1060" spans="1:28" x14ac:dyDescent="0.25">
      <c r="A1060" s="26" t="s">
        <v>1482</v>
      </c>
      <c r="B1060" s="26" t="s">
        <v>71</v>
      </c>
      <c r="C1060" s="26" t="str">
        <f t="shared" si="106"/>
        <v>Juliana Costa</v>
      </c>
      <c r="D1060" s="37" t="s">
        <v>1090</v>
      </c>
      <c r="E1060" s="27">
        <f t="shared" si="107"/>
        <v>45866</v>
      </c>
      <c r="F1060" s="26" t="s">
        <v>22</v>
      </c>
      <c r="G1060" s="26" t="str">
        <f t="shared" si="108"/>
        <v>Amanda Costa</v>
      </c>
      <c r="H1060" s="26" t="s">
        <v>23</v>
      </c>
      <c r="I1060" s="26" t="s">
        <v>88</v>
      </c>
      <c r="J1060" s="28">
        <v>1</v>
      </c>
      <c r="K1060" s="29">
        <v>650</v>
      </c>
      <c r="L1060" s="29">
        <v>18.05</v>
      </c>
      <c r="M1060" s="30">
        <f t="shared" si="104"/>
        <v>631.95000000000005</v>
      </c>
      <c r="N1060" s="26" t="s">
        <v>18</v>
      </c>
      <c r="Q1060" s="42" t="s">
        <v>1482</v>
      </c>
      <c r="R1060" s="42" t="s">
        <v>71</v>
      </c>
      <c r="S1060" s="57">
        <f t="shared" si="109"/>
        <v>45866</v>
      </c>
      <c r="T1060" s="44" t="s">
        <v>22</v>
      </c>
      <c r="U1060" s="43" t="s">
        <v>23</v>
      </c>
      <c r="V1060" s="42" t="s">
        <v>88</v>
      </c>
      <c r="W1060" s="45">
        <v>1</v>
      </c>
      <c r="X1060" s="46">
        <v>650</v>
      </c>
      <c r="Y1060" s="46">
        <v>18.05</v>
      </c>
      <c r="Z1060" s="47">
        <f t="shared" si="105"/>
        <v>631.95000000000005</v>
      </c>
      <c r="AA1060" s="48" t="s">
        <v>18</v>
      </c>
      <c r="AB1060"/>
    </row>
    <row r="1061" spans="1:28" x14ac:dyDescent="0.25">
      <c r="A1061" s="31" t="s">
        <v>1483</v>
      </c>
      <c r="B1061" s="31" t="s">
        <v>20</v>
      </c>
      <c r="C1061" s="32" t="str">
        <f t="shared" si="106"/>
        <v>Beatriz Ribeiro</v>
      </c>
      <c r="D1061" s="38" t="s">
        <v>21</v>
      </c>
      <c r="E1061" s="33">
        <f t="shared" si="107"/>
        <v>45985</v>
      </c>
      <c r="F1061" s="32" t="s">
        <v>29</v>
      </c>
      <c r="G1061" s="32" t="str">
        <f t="shared" si="108"/>
        <v>Camila Rocha</v>
      </c>
      <c r="H1061" s="32" t="s">
        <v>52</v>
      </c>
      <c r="I1061" s="32" t="s">
        <v>53</v>
      </c>
      <c r="J1061" s="34">
        <v>1</v>
      </c>
      <c r="K1061" s="35">
        <v>149</v>
      </c>
      <c r="L1061" s="35">
        <v>16.59</v>
      </c>
      <c r="M1061" s="36">
        <f t="shared" si="104"/>
        <v>132.41</v>
      </c>
      <c r="N1061" s="32" t="s">
        <v>44</v>
      </c>
      <c r="Q1061" s="49" t="s">
        <v>1483</v>
      </c>
      <c r="R1061" s="49" t="s">
        <v>20</v>
      </c>
      <c r="S1061" s="58">
        <f t="shared" si="109"/>
        <v>45985</v>
      </c>
      <c r="T1061" s="51" t="s">
        <v>29</v>
      </c>
      <c r="U1061" s="50" t="s">
        <v>52</v>
      </c>
      <c r="V1061" s="52" t="s">
        <v>53</v>
      </c>
      <c r="W1061" s="53">
        <v>1</v>
      </c>
      <c r="X1061" s="54">
        <v>149</v>
      </c>
      <c r="Y1061" s="54">
        <v>16.59</v>
      </c>
      <c r="Z1061" s="55">
        <f t="shared" si="105"/>
        <v>132.41</v>
      </c>
      <c r="AA1061" s="56" t="s">
        <v>44</v>
      </c>
      <c r="AB1061"/>
    </row>
    <row r="1062" spans="1:28" x14ac:dyDescent="0.25">
      <c r="A1062" s="26" t="s">
        <v>1484</v>
      </c>
      <c r="B1062" s="26" t="s">
        <v>13</v>
      </c>
      <c r="C1062" s="26" t="str">
        <f t="shared" si="106"/>
        <v>Lucas Almeida</v>
      </c>
      <c r="D1062" s="37" t="s">
        <v>298</v>
      </c>
      <c r="E1062" s="27">
        <f t="shared" si="107"/>
        <v>45697</v>
      </c>
      <c r="F1062" s="26" t="s">
        <v>47</v>
      </c>
      <c r="G1062" s="26" t="str">
        <f t="shared" si="108"/>
        <v>Bruno Martins</v>
      </c>
      <c r="H1062" s="26" t="s">
        <v>30</v>
      </c>
      <c r="I1062" s="26" t="s">
        <v>31</v>
      </c>
      <c r="J1062" s="28">
        <v>1</v>
      </c>
      <c r="K1062" s="29">
        <v>2500</v>
      </c>
      <c r="L1062" s="29">
        <v>0</v>
      </c>
      <c r="M1062" s="30">
        <f t="shared" si="104"/>
        <v>2500</v>
      </c>
      <c r="N1062" s="26" t="s">
        <v>69</v>
      </c>
      <c r="Q1062" s="42" t="s">
        <v>1484</v>
      </c>
      <c r="R1062" s="42" t="s">
        <v>13</v>
      </c>
      <c r="S1062" s="57">
        <f t="shared" si="109"/>
        <v>45697</v>
      </c>
      <c r="T1062" s="44" t="s">
        <v>47</v>
      </c>
      <c r="U1062" s="43" t="s">
        <v>30</v>
      </c>
      <c r="V1062" s="42" t="s">
        <v>31</v>
      </c>
      <c r="W1062" s="45">
        <v>1</v>
      </c>
      <c r="X1062" s="46">
        <v>2500</v>
      </c>
      <c r="Y1062" s="46">
        <v>0</v>
      </c>
      <c r="Z1062" s="47">
        <f t="shared" si="105"/>
        <v>2500</v>
      </c>
      <c r="AA1062" s="48" t="s">
        <v>69</v>
      </c>
      <c r="AB1062"/>
    </row>
    <row r="1063" spans="1:28" x14ac:dyDescent="0.25">
      <c r="A1063" s="31" t="s">
        <v>1485</v>
      </c>
      <c r="B1063" s="31" t="s">
        <v>55</v>
      </c>
      <c r="C1063" s="32" t="str">
        <f t="shared" si="106"/>
        <v>Ricardo Carvalho</v>
      </c>
      <c r="D1063" s="38" t="s">
        <v>1486</v>
      </c>
      <c r="E1063" s="33">
        <f t="shared" si="107"/>
        <v>45709</v>
      </c>
      <c r="F1063" s="32" t="s">
        <v>39</v>
      </c>
      <c r="G1063" s="32" t="str">
        <f t="shared" si="108"/>
        <v>Rodrigo Mello</v>
      </c>
      <c r="H1063" s="32" t="s">
        <v>30</v>
      </c>
      <c r="I1063" s="32" t="s">
        <v>152</v>
      </c>
      <c r="J1063" s="34">
        <v>3</v>
      </c>
      <c r="K1063" s="35">
        <v>4500</v>
      </c>
      <c r="L1063" s="35">
        <v>309.22000000000003</v>
      </c>
      <c r="M1063" s="36">
        <f t="shared" si="104"/>
        <v>13190.78</v>
      </c>
      <c r="N1063" s="32" t="s">
        <v>65</v>
      </c>
      <c r="Q1063" s="49" t="s">
        <v>1485</v>
      </c>
      <c r="R1063" s="49" t="s">
        <v>55</v>
      </c>
      <c r="S1063" s="58">
        <f t="shared" si="109"/>
        <v>45709</v>
      </c>
      <c r="T1063" s="51" t="s">
        <v>39</v>
      </c>
      <c r="U1063" s="50" t="s">
        <v>30</v>
      </c>
      <c r="V1063" s="52" t="s">
        <v>152</v>
      </c>
      <c r="W1063" s="53">
        <v>3</v>
      </c>
      <c r="X1063" s="54">
        <v>4500</v>
      </c>
      <c r="Y1063" s="54">
        <v>309.22000000000003</v>
      </c>
      <c r="Z1063" s="55">
        <f t="shared" si="105"/>
        <v>13190.78</v>
      </c>
      <c r="AA1063" s="56" t="s">
        <v>65</v>
      </c>
      <c r="AB1063"/>
    </row>
    <row r="1064" spans="1:28" x14ac:dyDescent="0.25">
      <c r="A1064" s="26" t="s">
        <v>1487</v>
      </c>
      <c r="B1064" s="26" t="s">
        <v>95</v>
      </c>
      <c r="C1064" s="26" t="str">
        <f t="shared" si="106"/>
        <v>Maria Oliveira</v>
      </c>
      <c r="D1064" s="37" t="s">
        <v>397</v>
      </c>
      <c r="E1064" s="27">
        <f t="shared" si="107"/>
        <v>45876</v>
      </c>
      <c r="F1064" s="26" t="s">
        <v>15</v>
      </c>
      <c r="G1064" s="26" t="str">
        <f t="shared" si="108"/>
        <v>Larissa Dias</v>
      </c>
      <c r="H1064" s="26" t="s">
        <v>52</v>
      </c>
      <c r="I1064" s="26" t="s">
        <v>99</v>
      </c>
      <c r="J1064" s="28">
        <v>1</v>
      </c>
      <c r="K1064" s="29">
        <v>79</v>
      </c>
      <c r="L1064" s="29">
        <v>7.97</v>
      </c>
      <c r="M1064" s="30">
        <f t="shared" si="104"/>
        <v>71.03</v>
      </c>
      <c r="N1064" s="26" t="s">
        <v>44</v>
      </c>
      <c r="Q1064" s="42" t="s">
        <v>1487</v>
      </c>
      <c r="R1064" s="42" t="s">
        <v>95</v>
      </c>
      <c r="S1064" s="57">
        <f t="shared" si="109"/>
        <v>45876</v>
      </c>
      <c r="T1064" s="44" t="s">
        <v>15</v>
      </c>
      <c r="U1064" s="43" t="s">
        <v>52</v>
      </c>
      <c r="V1064" s="42" t="s">
        <v>99</v>
      </c>
      <c r="W1064" s="45">
        <v>1</v>
      </c>
      <c r="X1064" s="46">
        <v>79</v>
      </c>
      <c r="Y1064" s="46">
        <v>7.97</v>
      </c>
      <c r="Z1064" s="47">
        <f t="shared" si="105"/>
        <v>71.03</v>
      </c>
      <c r="AA1064" s="48" t="s">
        <v>44</v>
      </c>
      <c r="AB1064"/>
    </row>
    <row r="1065" spans="1:28" x14ac:dyDescent="0.25">
      <c r="A1065" s="31" t="s">
        <v>1488</v>
      </c>
      <c r="B1065" s="31" t="s">
        <v>20</v>
      </c>
      <c r="C1065" s="32" t="str">
        <f t="shared" si="106"/>
        <v>Beatriz Ribeiro</v>
      </c>
      <c r="D1065" s="38" t="s">
        <v>630</v>
      </c>
      <c r="E1065" s="33">
        <f t="shared" si="107"/>
        <v>46005</v>
      </c>
      <c r="F1065" s="32" t="s">
        <v>15</v>
      </c>
      <c r="G1065" s="32" t="str">
        <f t="shared" si="108"/>
        <v>Larissa Dias</v>
      </c>
      <c r="H1065" s="32" t="s">
        <v>30</v>
      </c>
      <c r="I1065" s="32" t="s">
        <v>106</v>
      </c>
      <c r="J1065" s="34">
        <v>2</v>
      </c>
      <c r="K1065" s="35">
        <v>299</v>
      </c>
      <c r="L1065" s="35">
        <v>57.47</v>
      </c>
      <c r="M1065" s="36">
        <f t="shared" si="104"/>
        <v>540.53</v>
      </c>
      <c r="N1065" s="32" t="s">
        <v>89</v>
      </c>
      <c r="Q1065" s="49" t="s">
        <v>1488</v>
      </c>
      <c r="R1065" s="49" t="s">
        <v>20</v>
      </c>
      <c r="S1065" s="58">
        <f t="shared" si="109"/>
        <v>46005</v>
      </c>
      <c r="T1065" s="51" t="s">
        <v>15</v>
      </c>
      <c r="U1065" s="50" t="s">
        <v>30</v>
      </c>
      <c r="V1065" s="52" t="s">
        <v>106</v>
      </c>
      <c r="W1065" s="53">
        <v>2</v>
      </c>
      <c r="X1065" s="54">
        <v>299</v>
      </c>
      <c r="Y1065" s="54">
        <v>57.47</v>
      </c>
      <c r="Z1065" s="55">
        <f t="shared" si="105"/>
        <v>540.53</v>
      </c>
      <c r="AA1065" s="56" t="s">
        <v>89</v>
      </c>
      <c r="AB1065"/>
    </row>
    <row r="1066" spans="1:28" x14ac:dyDescent="0.25">
      <c r="A1066" s="26" t="s">
        <v>1489</v>
      </c>
      <c r="B1066" s="26" t="s">
        <v>34</v>
      </c>
      <c r="C1066" s="26" t="str">
        <f t="shared" si="106"/>
        <v>Carlos Silva</v>
      </c>
      <c r="D1066" s="37" t="s">
        <v>56</v>
      </c>
      <c r="E1066" s="27">
        <f t="shared" si="107"/>
        <v>45965</v>
      </c>
      <c r="F1066" s="26" t="s">
        <v>22</v>
      </c>
      <c r="G1066" s="26" t="str">
        <f t="shared" si="108"/>
        <v>Amanda Costa</v>
      </c>
      <c r="H1066" s="26" t="s">
        <v>16</v>
      </c>
      <c r="I1066" s="26" t="s">
        <v>78</v>
      </c>
      <c r="J1066" s="28">
        <v>1</v>
      </c>
      <c r="K1066" s="29">
        <v>59</v>
      </c>
      <c r="L1066" s="29">
        <v>0.95</v>
      </c>
      <c r="M1066" s="30">
        <f t="shared" si="104"/>
        <v>58.05</v>
      </c>
      <c r="N1066" s="26" t="s">
        <v>32</v>
      </c>
      <c r="Q1066" s="42" t="s">
        <v>1489</v>
      </c>
      <c r="R1066" s="42" t="s">
        <v>34</v>
      </c>
      <c r="S1066" s="57">
        <f t="shared" si="109"/>
        <v>45965</v>
      </c>
      <c r="T1066" s="44" t="s">
        <v>22</v>
      </c>
      <c r="U1066" s="43" t="s">
        <v>16</v>
      </c>
      <c r="V1066" s="42" t="s">
        <v>78</v>
      </c>
      <c r="W1066" s="45">
        <v>1</v>
      </c>
      <c r="X1066" s="46">
        <v>59</v>
      </c>
      <c r="Y1066" s="46">
        <v>0.95</v>
      </c>
      <c r="Z1066" s="47">
        <f t="shared" si="105"/>
        <v>58.05</v>
      </c>
      <c r="AA1066" s="48" t="s">
        <v>32</v>
      </c>
      <c r="AB1066"/>
    </row>
    <row r="1067" spans="1:28" x14ac:dyDescent="0.25">
      <c r="A1067" s="31" t="s">
        <v>1490</v>
      </c>
      <c r="B1067" s="31" t="s">
        <v>20</v>
      </c>
      <c r="C1067" s="32" t="str">
        <f t="shared" si="106"/>
        <v>Beatriz Ribeiro</v>
      </c>
      <c r="D1067" s="38" t="s">
        <v>805</v>
      </c>
      <c r="E1067" s="33">
        <f t="shared" si="107"/>
        <v>45869</v>
      </c>
      <c r="F1067" s="32" t="s">
        <v>47</v>
      </c>
      <c r="G1067" s="32" t="str">
        <f t="shared" si="108"/>
        <v>Bruno Martins</v>
      </c>
      <c r="H1067" s="32" t="s">
        <v>30</v>
      </c>
      <c r="I1067" s="32" t="s">
        <v>152</v>
      </c>
      <c r="J1067" s="34">
        <v>4</v>
      </c>
      <c r="K1067" s="35">
        <v>4500</v>
      </c>
      <c r="L1067" s="35">
        <v>2515.4</v>
      </c>
      <c r="M1067" s="36">
        <f t="shared" si="104"/>
        <v>15484.6</v>
      </c>
      <c r="N1067" s="32" t="s">
        <v>25</v>
      </c>
      <c r="Q1067" s="49" t="s">
        <v>1490</v>
      </c>
      <c r="R1067" s="49" t="s">
        <v>20</v>
      </c>
      <c r="S1067" s="58">
        <f t="shared" si="109"/>
        <v>45869</v>
      </c>
      <c r="T1067" s="51" t="s">
        <v>47</v>
      </c>
      <c r="U1067" s="50" t="s">
        <v>30</v>
      </c>
      <c r="V1067" s="52" t="s">
        <v>152</v>
      </c>
      <c r="W1067" s="53">
        <v>4</v>
      </c>
      <c r="X1067" s="54">
        <v>4500</v>
      </c>
      <c r="Y1067" s="54">
        <v>2515.4</v>
      </c>
      <c r="Z1067" s="55">
        <f t="shared" si="105"/>
        <v>15484.6</v>
      </c>
      <c r="AA1067" s="56" t="s">
        <v>25</v>
      </c>
      <c r="AB1067"/>
    </row>
    <row r="1068" spans="1:28" x14ac:dyDescent="0.25">
      <c r="A1068" s="26" t="s">
        <v>1491</v>
      </c>
      <c r="B1068" s="26" t="s">
        <v>13</v>
      </c>
      <c r="C1068" s="26" t="str">
        <f t="shared" si="106"/>
        <v>Lucas Almeida</v>
      </c>
      <c r="D1068" s="37" t="s">
        <v>399</v>
      </c>
      <c r="E1068" s="27">
        <f t="shared" si="107"/>
        <v>45951</v>
      </c>
      <c r="F1068" s="26" t="s">
        <v>29</v>
      </c>
      <c r="G1068" s="26" t="str">
        <f t="shared" si="108"/>
        <v>Camila Rocha</v>
      </c>
      <c r="H1068" s="26" t="s">
        <v>52</v>
      </c>
      <c r="I1068" s="26" t="s">
        <v>53</v>
      </c>
      <c r="J1068" s="28">
        <v>1</v>
      </c>
      <c r="K1068" s="29">
        <v>149</v>
      </c>
      <c r="L1068" s="29">
        <v>2.82</v>
      </c>
      <c r="M1068" s="30">
        <f t="shared" si="104"/>
        <v>146.18</v>
      </c>
      <c r="N1068" s="26" t="s">
        <v>49</v>
      </c>
      <c r="Q1068" s="42" t="s">
        <v>1491</v>
      </c>
      <c r="R1068" s="42" t="s">
        <v>13</v>
      </c>
      <c r="S1068" s="57">
        <f t="shared" si="109"/>
        <v>45951</v>
      </c>
      <c r="T1068" s="44" t="s">
        <v>29</v>
      </c>
      <c r="U1068" s="43" t="s">
        <v>52</v>
      </c>
      <c r="V1068" s="42" t="s">
        <v>53</v>
      </c>
      <c r="W1068" s="45">
        <v>1</v>
      </c>
      <c r="X1068" s="46">
        <v>149</v>
      </c>
      <c r="Y1068" s="46">
        <v>2.82</v>
      </c>
      <c r="Z1068" s="47">
        <f t="shared" si="105"/>
        <v>146.18</v>
      </c>
      <c r="AA1068" s="48" t="s">
        <v>49</v>
      </c>
      <c r="AB1068"/>
    </row>
    <row r="1069" spans="1:28" x14ac:dyDescent="0.25">
      <c r="A1069" s="31" t="s">
        <v>1492</v>
      </c>
      <c r="B1069" s="31" t="s">
        <v>63</v>
      </c>
      <c r="C1069" s="32" t="str">
        <f t="shared" si="106"/>
        <v>Marcos Rodrigues</v>
      </c>
      <c r="D1069" s="38" t="s">
        <v>634</v>
      </c>
      <c r="E1069" s="33">
        <f t="shared" si="107"/>
        <v>46009</v>
      </c>
      <c r="F1069" s="32" t="s">
        <v>22</v>
      </c>
      <c r="G1069" s="32" t="str">
        <f t="shared" si="108"/>
        <v>Amanda Costa</v>
      </c>
      <c r="H1069" s="32" t="s">
        <v>52</v>
      </c>
      <c r="I1069" s="32" t="s">
        <v>53</v>
      </c>
      <c r="J1069" s="34">
        <v>5</v>
      </c>
      <c r="K1069" s="35">
        <v>149</v>
      </c>
      <c r="L1069" s="35">
        <v>88.19</v>
      </c>
      <c r="M1069" s="36">
        <f t="shared" si="104"/>
        <v>656.81</v>
      </c>
      <c r="N1069" s="32" t="s">
        <v>18</v>
      </c>
      <c r="Q1069" s="49" t="s">
        <v>1492</v>
      </c>
      <c r="R1069" s="49" t="s">
        <v>63</v>
      </c>
      <c r="S1069" s="58">
        <f t="shared" si="109"/>
        <v>46009</v>
      </c>
      <c r="T1069" s="51" t="s">
        <v>22</v>
      </c>
      <c r="U1069" s="50" t="s">
        <v>52</v>
      </c>
      <c r="V1069" s="52" t="s">
        <v>53</v>
      </c>
      <c r="W1069" s="53">
        <v>5</v>
      </c>
      <c r="X1069" s="54">
        <v>149</v>
      </c>
      <c r="Y1069" s="54">
        <v>88.19</v>
      </c>
      <c r="Z1069" s="55">
        <f t="shared" si="105"/>
        <v>656.81</v>
      </c>
      <c r="AA1069" s="56" t="s">
        <v>18</v>
      </c>
      <c r="AB1069"/>
    </row>
    <row r="1070" spans="1:28" x14ac:dyDescent="0.25">
      <c r="A1070" s="26" t="s">
        <v>1493</v>
      </c>
      <c r="B1070" s="26" t="s">
        <v>37</v>
      </c>
      <c r="C1070" s="26" t="str">
        <f t="shared" si="106"/>
        <v>Patricia Gomes</v>
      </c>
      <c r="D1070" s="37" t="s">
        <v>1144</v>
      </c>
      <c r="E1070" s="27">
        <f t="shared" si="107"/>
        <v>45729</v>
      </c>
      <c r="F1070" s="26" t="s">
        <v>39</v>
      </c>
      <c r="G1070" s="26" t="str">
        <f t="shared" si="108"/>
        <v>Rodrigo Mello</v>
      </c>
      <c r="H1070" s="26" t="s">
        <v>16</v>
      </c>
      <c r="I1070" s="26" t="s">
        <v>103</v>
      </c>
      <c r="J1070" s="28">
        <v>3</v>
      </c>
      <c r="K1070" s="29">
        <v>89</v>
      </c>
      <c r="L1070" s="29">
        <v>0</v>
      </c>
      <c r="M1070" s="30">
        <f t="shared" si="104"/>
        <v>267</v>
      </c>
      <c r="N1070" s="26" t="s">
        <v>49</v>
      </c>
      <c r="Q1070" s="42" t="s">
        <v>1493</v>
      </c>
      <c r="R1070" s="42" t="s">
        <v>37</v>
      </c>
      <c r="S1070" s="57">
        <f t="shared" si="109"/>
        <v>45729</v>
      </c>
      <c r="T1070" s="44" t="s">
        <v>39</v>
      </c>
      <c r="U1070" s="43" t="s">
        <v>16</v>
      </c>
      <c r="V1070" s="42" t="s">
        <v>103</v>
      </c>
      <c r="W1070" s="45">
        <v>3</v>
      </c>
      <c r="X1070" s="46">
        <v>89</v>
      </c>
      <c r="Y1070" s="46">
        <v>0</v>
      </c>
      <c r="Z1070" s="47">
        <f t="shared" si="105"/>
        <v>267</v>
      </c>
      <c r="AA1070" s="48" t="s">
        <v>49</v>
      </c>
      <c r="AB1070"/>
    </row>
    <row r="1071" spans="1:28" x14ac:dyDescent="0.25">
      <c r="A1071" s="31" t="s">
        <v>1494</v>
      </c>
      <c r="B1071" s="31" t="s">
        <v>71</v>
      </c>
      <c r="C1071" s="32" t="str">
        <f t="shared" si="106"/>
        <v>Juliana Costa</v>
      </c>
      <c r="D1071" s="38" t="s">
        <v>601</v>
      </c>
      <c r="E1071" s="33">
        <f t="shared" si="107"/>
        <v>45831</v>
      </c>
      <c r="F1071" s="32" t="s">
        <v>15</v>
      </c>
      <c r="G1071" s="32" t="str">
        <f t="shared" si="108"/>
        <v>Larissa Dias</v>
      </c>
      <c r="H1071" s="32" t="s">
        <v>30</v>
      </c>
      <c r="I1071" s="32" t="s">
        <v>31</v>
      </c>
      <c r="J1071" s="34">
        <v>2</v>
      </c>
      <c r="K1071" s="35">
        <v>2500</v>
      </c>
      <c r="L1071" s="35">
        <v>112.23</v>
      </c>
      <c r="M1071" s="36">
        <f t="shared" si="104"/>
        <v>4887.7700000000004</v>
      </c>
      <c r="N1071" s="32" t="s">
        <v>25</v>
      </c>
      <c r="Q1071" s="49" t="s">
        <v>1494</v>
      </c>
      <c r="R1071" s="49" t="s">
        <v>71</v>
      </c>
      <c r="S1071" s="58">
        <f t="shared" si="109"/>
        <v>45831</v>
      </c>
      <c r="T1071" s="51" t="s">
        <v>15</v>
      </c>
      <c r="U1071" s="50" t="s">
        <v>30</v>
      </c>
      <c r="V1071" s="52" t="s">
        <v>31</v>
      </c>
      <c r="W1071" s="53">
        <v>2</v>
      </c>
      <c r="X1071" s="54">
        <v>2500</v>
      </c>
      <c r="Y1071" s="54">
        <v>112.23</v>
      </c>
      <c r="Z1071" s="55">
        <f t="shared" si="105"/>
        <v>4887.7700000000004</v>
      </c>
      <c r="AA1071" s="56" t="s">
        <v>25</v>
      </c>
      <c r="AB1071"/>
    </row>
    <row r="1072" spans="1:28" x14ac:dyDescent="0.25">
      <c r="A1072" s="26" t="s">
        <v>1495</v>
      </c>
      <c r="B1072" s="26" t="s">
        <v>20</v>
      </c>
      <c r="C1072" s="26" t="str">
        <f t="shared" si="106"/>
        <v>Beatriz Ribeiro</v>
      </c>
      <c r="D1072" s="37" t="s">
        <v>342</v>
      </c>
      <c r="E1072" s="27">
        <f t="shared" si="107"/>
        <v>45973</v>
      </c>
      <c r="F1072" s="26" t="s">
        <v>15</v>
      </c>
      <c r="G1072" s="26" t="str">
        <f t="shared" si="108"/>
        <v>Larissa Dias</v>
      </c>
      <c r="H1072" s="26" t="s">
        <v>23</v>
      </c>
      <c r="I1072" s="26" t="s">
        <v>88</v>
      </c>
      <c r="J1072" s="28">
        <v>3</v>
      </c>
      <c r="K1072" s="29">
        <v>650</v>
      </c>
      <c r="L1072" s="29">
        <v>234.28</v>
      </c>
      <c r="M1072" s="30">
        <f t="shared" si="104"/>
        <v>1715.72</v>
      </c>
      <c r="N1072" s="26" t="s">
        <v>69</v>
      </c>
      <c r="Q1072" s="42" t="s">
        <v>1495</v>
      </c>
      <c r="R1072" s="42" t="s">
        <v>20</v>
      </c>
      <c r="S1072" s="57">
        <f t="shared" si="109"/>
        <v>45973</v>
      </c>
      <c r="T1072" s="44" t="s">
        <v>15</v>
      </c>
      <c r="U1072" s="43" t="s">
        <v>23</v>
      </c>
      <c r="V1072" s="42" t="s">
        <v>88</v>
      </c>
      <c r="W1072" s="45">
        <v>3</v>
      </c>
      <c r="X1072" s="46">
        <v>650</v>
      </c>
      <c r="Y1072" s="46">
        <v>234.28</v>
      </c>
      <c r="Z1072" s="47">
        <f t="shared" si="105"/>
        <v>1715.72</v>
      </c>
      <c r="AA1072" s="48" t="s">
        <v>69</v>
      </c>
      <c r="AB1072"/>
    </row>
    <row r="1073" spans="1:28" x14ac:dyDescent="0.25">
      <c r="A1073" s="31" t="s">
        <v>1496</v>
      </c>
      <c r="B1073" s="31" t="s">
        <v>95</v>
      </c>
      <c r="C1073" s="32" t="str">
        <f t="shared" si="106"/>
        <v>Maria Oliveira</v>
      </c>
      <c r="D1073" s="38" t="s">
        <v>1331</v>
      </c>
      <c r="E1073" s="33">
        <f t="shared" si="107"/>
        <v>45698</v>
      </c>
      <c r="F1073" s="32" t="s">
        <v>39</v>
      </c>
      <c r="G1073" s="32" t="str">
        <f t="shared" si="108"/>
        <v>Rodrigo Mello</v>
      </c>
      <c r="H1073" s="32" t="s">
        <v>23</v>
      </c>
      <c r="I1073" s="32" t="s">
        <v>43</v>
      </c>
      <c r="J1073" s="34">
        <v>2</v>
      </c>
      <c r="K1073" s="35">
        <v>350</v>
      </c>
      <c r="L1073" s="35">
        <v>71.319999999999993</v>
      </c>
      <c r="M1073" s="36">
        <f t="shared" si="104"/>
        <v>628.68000000000006</v>
      </c>
      <c r="N1073" s="32" t="s">
        <v>49</v>
      </c>
      <c r="Q1073" s="49" t="s">
        <v>1496</v>
      </c>
      <c r="R1073" s="49" t="s">
        <v>95</v>
      </c>
      <c r="S1073" s="58">
        <f t="shared" si="109"/>
        <v>45698</v>
      </c>
      <c r="T1073" s="51" t="s">
        <v>39</v>
      </c>
      <c r="U1073" s="50" t="s">
        <v>23</v>
      </c>
      <c r="V1073" s="52" t="s">
        <v>43</v>
      </c>
      <c r="W1073" s="53">
        <v>2</v>
      </c>
      <c r="X1073" s="54">
        <v>350</v>
      </c>
      <c r="Y1073" s="54">
        <v>71.319999999999993</v>
      </c>
      <c r="Z1073" s="55">
        <f t="shared" si="105"/>
        <v>628.68000000000006</v>
      </c>
      <c r="AA1073" s="56" t="s">
        <v>49</v>
      </c>
      <c r="AB1073"/>
    </row>
    <row r="1074" spans="1:28" x14ac:dyDescent="0.25">
      <c r="A1074" s="26" t="s">
        <v>1497</v>
      </c>
      <c r="B1074" s="26" t="s">
        <v>63</v>
      </c>
      <c r="C1074" s="26" t="str">
        <f t="shared" si="106"/>
        <v>Marcos Rodrigues</v>
      </c>
      <c r="D1074" s="37" t="s">
        <v>377</v>
      </c>
      <c r="E1074" s="27">
        <f t="shared" si="107"/>
        <v>45975</v>
      </c>
      <c r="F1074" s="26" t="s">
        <v>22</v>
      </c>
      <c r="G1074" s="26" t="str">
        <f t="shared" si="108"/>
        <v>Amanda Costa</v>
      </c>
      <c r="H1074" s="26" t="s">
        <v>52</v>
      </c>
      <c r="I1074" s="26" t="s">
        <v>75</v>
      </c>
      <c r="J1074" s="28">
        <v>5</v>
      </c>
      <c r="K1074" s="29">
        <v>249</v>
      </c>
      <c r="L1074" s="29">
        <v>0</v>
      </c>
      <c r="M1074" s="30">
        <f t="shared" si="104"/>
        <v>1245</v>
      </c>
      <c r="N1074" s="26" t="s">
        <v>69</v>
      </c>
      <c r="Q1074" s="42" t="s">
        <v>1497</v>
      </c>
      <c r="R1074" s="42" t="s">
        <v>63</v>
      </c>
      <c r="S1074" s="57">
        <f t="shared" si="109"/>
        <v>45975</v>
      </c>
      <c r="T1074" s="44" t="s">
        <v>22</v>
      </c>
      <c r="U1074" s="43" t="s">
        <v>52</v>
      </c>
      <c r="V1074" s="42" t="s">
        <v>75</v>
      </c>
      <c r="W1074" s="45">
        <v>5</v>
      </c>
      <c r="X1074" s="46">
        <v>249</v>
      </c>
      <c r="Y1074" s="46">
        <v>0</v>
      </c>
      <c r="Z1074" s="47">
        <f t="shared" si="105"/>
        <v>1245</v>
      </c>
      <c r="AA1074" s="48" t="s">
        <v>69</v>
      </c>
      <c r="AB1074"/>
    </row>
    <row r="1075" spans="1:28" x14ac:dyDescent="0.25">
      <c r="A1075" s="31" t="s">
        <v>1498</v>
      </c>
      <c r="B1075" s="31" t="s">
        <v>34</v>
      </c>
      <c r="C1075" s="32" t="str">
        <f t="shared" si="106"/>
        <v>Carlos Silva</v>
      </c>
      <c r="D1075" s="38" t="s">
        <v>900</v>
      </c>
      <c r="E1075" s="33">
        <f t="shared" si="107"/>
        <v>46053</v>
      </c>
      <c r="F1075" s="32" t="s">
        <v>15</v>
      </c>
      <c r="G1075" s="32" t="str">
        <f t="shared" si="108"/>
        <v>Larissa Dias</v>
      </c>
      <c r="H1075" s="32" t="s">
        <v>52</v>
      </c>
      <c r="I1075" s="32" t="s">
        <v>99</v>
      </c>
      <c r="J1075" s="34">
        <v>4</v>
      </c>
      <c r="K1075" s="35">
        <v>79</v>
      </c>
      <c r="L1075" s="35">
        <v>15.05</v>
      </c>
      <c r="M1075" s="36">
        <f t="shared" si="104"/>
        <v>300.95</v>
      </c>
      <c r="N1075" s="32" t="s">
        <v>49</v>
      </c>
      <c r="Q1075" s="49" t="s">
        <v>1498</v>
      </c>
      <c r="R1075" s="49" t="s">
        <v>34</v>
      </c>
      <c r="S1075" s="58">
        <f t="shared" si="109"/>
        <v>46053</v>
      </c>
      <c r="T1075" s="51" t="s">
        <v>15</v>
      </c>
      <c r="U1075" s="50" t="s">
        <v>52</v>
      </c>
      <c r="V1075" s="52" t="s">
        <v>99</v>
      </c>
      <c r="W1075" s="53">
        <v>4</v>
      </c>
      <c r="X1075" s="54">
        <v>79</v>
      </c>
      <c r="Y1075" s="54">
        <v>15.05</v>
      </c>
      <c r="Z1075" s="55">
        <f t="shared" si="105"/>
        <v>300.95</v>
      </c>
      <c r="AA1075" s="56" t="s">
        <v>49</v>
      </c>
      <c r="AB1075"/>
    </row>
    <row r="1076" spans="1:28" x14ac:dyDescent="0.25">
      <c r="A1076" s="26" t="s">
        <v>1499</v>
      </c>
      <c r="B1076" s="26" t="s">
        <v>55</v>
      </c>
      <c r="C1076" s="26" t="str">
        <f t="shared" si="106"/>
        <v>Ricardo Carvalho</v>
      </c>
      <c r="D1076" s="37" t="s">
        <v>560</v>
      </c>
      <c r="E1076" s="27">
        <f t="shared" si="107"/>
        <v>45693</v>
      </c>
      <c r="F1076" s="26" t="s">
        <v>39</v>
      </c>
      <c r="G1076" s="26" t="str">
        <f t="shared" si="108"/>
        <v>Rodrigo Mello</v>
      </c>
      <c r="H1076" s="26" t="s">
        <v>52</v>
      </c>
      <c r="I1076" s="26" t="s">
        <v>75</v>
      </c>
      <c r="J1076" s="28">
        <v>2</v>
      </c>
      <c r="K1076" s="29">
        <v>249</v>
      </c>
      <c r="L1076" s="29">
        <v>0</v>
      </c>
      <c r="M1076" s="30">
        <f t="shared" si="104"/>
        <v>498</v>
      </c>
      <c r="N1076" s="26" t="s">
        <v>32</v>
      </c>
      <c r="Q1076" s="42" t="s">
        <v>1499</v>
      </c>
      <c r="R1076" s="42" t="s">
        <v>55</v>
      </c>
      <c r="S1076" s="57">
        <f t="shared" si="109"/>
        <v>45693</v>
      </c>
      <c r="T1076" s="44" t="s">
        <v>39</v>
      </c>
      <c r="U1076" s="43" t="s">
        <v>52</v>
      </c>
      <c r="V1076" s="42" t="s">
        <v>75</v>
      </c>
      <c r="W1076" s="45">
        <v>2</v>
      </c>
      <c r="X1076" s="46">
        <v>249</v>
      </c>
      <c r="Y1076" s="46">
        <v>0</v>
      </c>
      <c r="Z1076" s="47">
        <f t="shared" si="105"/>
        <v>498</v>
      </c>
      <c r="AA1076" s="48" t="s">
        <v>32</v>
      </c>
      <c r="AB1076"/>
    </row>
    <row r="1077" spans="1:28" x14ac:dyDescent="0.25">
      <c r="A1077" s="31" t="s">
        <v>1500</v>
      </c>
      <c r="B1077" s="31" t="s">
        <v>55</v>
      </c>
      <c r="C1077" s="32" t="str">
        <f t="shared" si="106"/>
        <v>Ricardo Carvalho</v>
      </c>
      <c r="D1077" s="38" t="s">
        <v>601</v>
      </c>
      <c r="E1077" s="33">
        <f t="shared" si="107"/>
        <v>45831</v>
      </c>
      <c r="F1077" s="32" t="s">
        <v>47</v>
      </c>
      <c r="G1077" s="32" t="str">
        <f t="shared" si="108"/>
        <v>Bruno Martins</v>
      </c>
      <c r="H1077" s="32" t="s">
        <v>52</v>
      </c>
      <c r="I1077" s="32" t="s">
        <v>53</v>
      </c>
      <c r="J1077" s="34">
        <v>4</v>
      </c>
      <c r="K1077" s="35">
        <v>149</v>
      </c>
      <c r="L1077" s="35">
        <v>0</v>
      </c>
      <c r="M1077" s="36">
        <f t="shared" si="104"/>
        <v>596</v>
      </c>
      <c r="N1077" s="32" t="s">
        <v>49</v>
      </c>
      <c r="Q1077" s="49" t="s">
        <v>1500</v>
      </c>
      <c r="R1077" s="49" t="s">
        <v>55</v>
      </c>
      <c r="S1077" s="58">
        <f t="shared" si="109"/>
        <v>45831</v>
      </c>
      <c r="T1077" s="51" t="s">
        <v>47</v>
      </c>
      <c r="U1077" s="50" t="s">
        <v>52</v>
      </c>
      <c r="V1077" s="52" t="s">
        <v>53</v>
      </c>
      <c r="W1077" s="53">
        <v>4</v>
      </c>
      <c r="X1077" s="54">
        <v>149</v>
      </c>
      <c r="Y1077" s="54">
        <v>0</v>
      </c>
      <c r="Z1077" s="55">
        <f t="shared" si="105"/>
        <v>596</v>
      </c>
      <c r="AA1077" s="56" t="s">
        <v>49</v>
      </c>
      <c r="AB1077"/>
    </row>
    <row r="1078" spans="1:28" x14ac:dyDescent="0.25">
      <c r="A1078" s="26" t="s">
        <v>1501</v>
      </c>
      <c r="B1078" s="26" t="s">
        <v>277</v>
      </c>
      <c r="C1078" s="26" t="str">
        <f t="shared" si="106"/>
        <v>Carlos Silva</v>
      </c>
      <c r="D1078" s="37" t="s">
        <v>716</v>
      </c>
      <c r="E1078" s="27">
        <f t="shared" si="107"/>
        <v>45781</v>
      </c>
      <c r="F1078" s="26" t="s">
        <v>22</v>
      </c>
      <c r="G1078" s="26" t="str">
        <f t="shared" si="108"/>
        <v>Amanda Costa</v>
      </c>
      <c r="H1078" s="26" t="s">
        <v>23</v>
      </c>
      <c r="I1078" s="26" t="s">
        <v>43</v>
      </c>
      <c r="J1078" s="28">
        <v>1</v>
      </c>
      <c r="K1078" s="29">
        <v>350</v>
      </c>
      <c r="L1078" s="29">
        <v>48.09</v>
      </c>
      <c r="M1078" s="30">
        <f t="shared" si="104"/>
        <v>301.90999999999997</v>
      </c>
      <c r="N1078" s="26" t="s">
        <v>49</v>
      </c>
      <c r="Q1078" s="42" t="s">
        <v>1501</v>
      </c>
      <c r="R1078" s="42" t="s">
        <v>34</v>
      </c>
      <c r="S1078" s="57">
        <f t="shared" si="109"/>
        <v>45781</v>
      </c>
      <c r="T1078" s="44" t="s">
        <v>22</v>
      </c>
      <c r="U1078" s="43" t="s">
        <v>23</v>
      </c>
      <c r="V1078" s="42" t="s">
        <v>43</v>
      </c>
      <c r="W1078" s="45">
        <v>1</v>
      </c>
      <c r="X1078" s="46">
        <v>350</v>
      </c>
      <c r="Y1078" s="46">
        <v>48.09</v>
      </c>
      <c r="Z1078" s="47">
        <f t="shared" si="105"/>
        <v>301.90999999999997</v>
      </c>
      <c r="AA1078" s="48" t="s">
        <v>49</v>
      </c>
      <c r="AB1078"/>
    </row>
    <row r="1079" spans="1:28" x14ac:dyDescent="0.25">
      <c r="A1079" s="31" t="s">
        <v>1502</v>
      </c>
      <c r="B1079" s="31" t="s">
        <v>63</v>
      </c>
      <c r="C1079" s="32" t="str">
        <f t="shared" si="106"/>
        <v>Marcos Rodrigues</v>
      </c>
      <c r="D1079" s="38" t="s">
        <v>764</v>
      </c>
      <c r="E1079" s="33">
        <f t="shared" si="107"/>
        <v>45775</v>
      </c>
      <c r="F1079" s="32" t="s">
        <v>29</v>
      </c>
      <c r="G1079" s="32" t="str">
        <f t="shared" si="108"/>
        <v>Camila Rocha</v>
      </c>
      <c r="H1079" s="32" t="s">
        <v>30</v>
      </c>
      <c r="I1079" s="32" t="s">
        <v>152</v>
      </c>
      <c r="J1079" s="34">
        <v>1</v>
      </c>
      <c r="K1079" s="35">
        <v>4500</v>
      </c>
      <c r="L1079" s="35">
        <v>36.81</v>
      </c>
      <c r="M1079" s="36">
        <f t="shared" si="104"/>
        <v>4463.1899999999996</v>
      </c>
      <c r="N1079" s="32" t="s">
        <v>49</v>
      </c>
      <c r="Q1079" s="49" t="s">
        <v>1502</v>
      </c>
      <c r="R1079" s="49" t="s">
        <v>63</v>
      </c>
      <c r="S1079" s="58">
        <f t="shared" si="109"/>
        <v>45775</v>
      </c>
      <c r="T1079" s="51" t="s">
        <v>29</v>
      </c>
      <c r="U1079" s="50" t="s">
        <v>30</v>
      </c>
      <c r="V1079" s="52" t="s">
        <v>152</v>
      </c>
      <c r="W1079" s="53">
        <v>1</v>
      </c>
      <c r="X1079" s="54">
        <v>4500</v>
      </c>
      <c r="Y1079" s="54">
        <v>36.81</v>
      </c>
      <c r="Z1079" s="55">
        <f t="shared" si="105"/>
        <v>4463.1899999999996</v>
      </c>
      <c r="AA1079" s="56" t="s">
        <v>49</v>
      </c>
      <c r="AB1079"/>
    </row>
    <row r="1080" spans="1:28" x14ac:dyDescent="0.25">
      <c r="A1080" s="26" t="s">
        <v>1503</v>
      </c>
      <c r="B1080" s="26" t="s">
        <v>55</v>
      </c>
      <c r="C1080" s="26" t="str">
        <f t="shared" si="106"/>
        <v>Ricardo Carvalho</v>
      </c>
      <c r="D1080" s="37" t="s">
        <v>260</v>
      </c>
      <c r="E1080" s="27">
        <f t="shared" si="107"/>
        <v>45722</v>
      </c>
      <c r="F1080" s="26" t="s">
        <v>39</v>
      </c>
      <c r="G1080" s="26" t="str">
        <f t="shared" si="108"/>
        <v>Rodrigo Mello</v>
      </c>
      <c r="H1080" s="26" t="s">
        <v>23</v>
      </c>
      <c r="I1080" s="26" t="s">
        <v>24</v>
      </c>
      <c r="J1080" s="28">
        <v>2</v>
      </c>
      <c r="K1080" s="29">
        <v>180</v>
      </c>
      <c r="L1080" s="29">
        <v>48.27</v>
      </c>
      <c r="M1080" s="30">
        <f t="shared" si="104"/>
        <v>311.73</v>
      </c>
      <c r="N1080" s="26" t="s">
        <v>69</v>
      </c>
      <c r="Q1080" s="42" t="s">
        <v>1503</v>
      </c>
      <c r="R1080" s="42" t="s">
        <v>55</v>
      </c>
      <c r="S1080" s="57">
        <f t="shared" si="109"/>
        <v>45722</v>
      </c>
      <c r="T1080" s="44" t="s">
        <v>39</v>
      </c>
      <c r="U1080" s="43" t="s">
        <v>23</v>
      </c>
      <c r="V1080" s="42" t="s">
        <v>24</v>
      </c>
      <c r="W1080" s="45">
        <v>2</v>
      </c>
      <c r="X1080" s="46">
        <v>180</v>
      </c>
      <c r="Y1080" s="46">
        <v>48.27</v>
      </c>
      <c r="Z1080" s="47">
        <f t="shared" si="105"/>
        <v>311.73</v>
      </c>
      <c r="AA1080" s="48" t="s">
        <v>69</v>
      </c>
      <c r="AB1080"/>
    </row>
    <row r="1081" spans="1:28" x14ac:dyDescent="0.25">
      <c r="A1081" s="31" t="s">
        <v>1504</v>
      </c>
      <c r="B1081" s="31" t="s">
        <v>34</v>
      </c>
      <c r="C1081" s="32" t="str">
        <f t="shared" si="106"/>
        <v>Carlos Silva</v>
      </c>
      <c r="D1081" s="38" t="s">
        <v>716</v>
      </c>
      <c r="E1081" s="33">
        <f t="shared" si="107"/>
        <v>45781</v>
      </c>
      <c r="F1081" s="32" t="s">
        <v>39</v>
      </c>
      <c r="G1081" s="32" t="str">
        <f t="shared" si="108"/>
        <v>Rodrigo Mello</v>
      </c>
      <c r="H1081" s="32" t="s">
        <v>52</v>
      </c>
      <c r="I1081" s="32" t="s">
        <v>75</v>
      </c>
      <c r="J1081" s="34">
        <v>1</v>
      </c>
      <c r="K1081" s="35">
        <v>249</v>
      </c>
      <c r="L1081" s="35">
        <v>30.87</v>
      </c>
      <c r="M1081" s="36">
        <f t="shared" si="104"/>
        <v>218.13</v>
      </c>
      <c r="N1081" s="32" t="s">
        <v>25</v>
      </c>
      <c r="Q1081" s="49" t="s">
        <v>1504</v>
      </c>
      <c r="R1081" s="49" t="s">
        <v>34</v>
      </c>
      <c r="S1081" s="58">
        <f t="shared" si="109"/>
        <v>45781</v>
      </c>
      <c r="T1081" s="51" t="s">
        <v>39</v>
      </c>
      <c r="U1081" s="50" t="s">
        <v>52</v>
      </c>
      <c r="V1081" s="52" t="s">
        <v>75</v>
      </c>
      <c r="W1081" s="53">
        <v>1</v>
      </c>
      <c r="X1081" s="54">
        <v>249</v>
      </c>
      <c r="Y1081" s="54">
        <v>30.87</v>
      </c>
      <c r="Z1081" s="55">
        <f t="shared" si="105"/>
        <v>218.13</v>
      </c>
      <c r="AA1081" s="56" t="s">
        <v>25</v>
      </c>
      <c r="AB1081"/>
    </row>
    <row r="1082" spans="1:28" x14ac:dyDescent="0.25">
      <c r="A1082" s="26" t="s">
        <v>1505</v>
      </c>
      <c r="B1082" s="26" t="s">
        <v>71</v>
      </c>
      <c r="C1082" s="26" t="str">
        <f t="shared" si="106"/>
        <v>Juliana Costa</v>
      </c>
      <c r="D1082" s="37" t="s">
        <v>105</v>
      </c>
      <c r="E1082" s="27">
        <f t="shared" si="107"/>
        <v>45902</v>
      </c>
      <c r="F1082" s="26" t="s">
        <v>39</v>
      </c>
      <c r="G1082" s="26" t="str">
        <f t="shared" si="108"/>
        <v>Rodrigo Mello</v>
      </c>
      <c r="H1082" s="26" t="s">
        <v>52</v>
      </c>
      <c r="I1082" s="26" t="s">
        <v>99</v>
      </c>
      <c r="J1082" s="28">
        <v>2</v>
      </c>
      <c r="K1082" s="29">
        <v>79</v>
      </c>
      <c r="L1082" s="29">
        <v>10.71</v>
      </c>
      <c r="M1082" s="30">
        <f t="shared" ref="M1082:M1145" si="110">(J1082*K1082)-L1082</f>
        <v>147.29</v>
      </c>
      <c r="N1082" s="26" t="s">
        <v>65</v>
      </c>
      <c r="Q1082" s="42" t="s">
        <v>1505</v>
      </c>
      <c r="R1082" s="42" t="s">
        <v>71</v>
      </c>
      <c r="S1082" s="57">
        <f t="shared" si="109"/>
        <v>45902</v>
      </c>
      <c r="T1082" s="44" t="s">
        <v>39</v>
      </c>
      <c r="U1082" s="43" t="s">
        <v>52</v>
      </c>
      <c r="V1082" s="42" t="s">
        <v>99</v>
      </c>
      <c r="W1082" s="45">
        <v>2</v>
      </c>
      <c r="X1082" s="46">
        <v>79</v>
      </c>
      <c r="Y1082" s="46">
        <v>10.71</v>
      </c>
      <c r="Z1082" s="47">
        <f t="shared" ref="Z1082:Z1145" si="111">(W1082*X1082)-Y1082</f>
        <v>147.29</v>
      </c>
      <c r="AA1082" s="48" t="s">
        <v>65</v>
      </c>
      <c r="AB1082"/>
    </row>
    <row r="1083" spans="1:28" x14ac:dyDescent="0.25">
      <c r="A1083" s="31" t="s">
        <v>1506</v>
      </c>
      <c r="B1083" s="31" t="s">
        <v>37</v>
      </c>
      <c r="C1083" s="32" t="str">
        <f t="shared" si="106"/>
        <v>Patricia Gomes</v>
      </c>
      <c r="D1083" s="38" t="s">
        <v>748</v>
      </c>
      <c r="E1083" s="33">
        <f t="shared" si="107"/>
        <v>45900</v>
      </c>
      <c r="F1083" s="32" t="s">
        <v>15</v>
      </c>
      <c r="G1083" s="32" t="str">
        <f t="shared" si="108"/>
        <v>Larissa Dias</v>
      </c>
      <c r="H1083" s="32" t="s">
        <v>30</v>
      </c>
      <c r="I1083" s="32" t="s">
        <v>152</v>
      </c>
      <c r="J1083" s="34">
        <v>4</v>
      </c>
      <c r="K1083" s="35">
        <v>4500</v>
      </c>
      <c r="L1083" s="35">
        <v>63.97</v>
      </c>
      <c r="M1083" s="36">
        <f t="shared" si="110"/>
        <v>17936.03</v>
      </c>
      <c r="N1083" s="32" t="s">
        <v>89</v>
      </c>
      <c r="Q1083" s="49" t="s">
        <v>1506</v>
      </c>
      <c r="R1083" s="49" t="s">
        <v>37</v>
      </c>
      <c r="S1083" s="58">
        <f t="shared" si="109"/>
        <v>45900</v>
      </c>
      <c r="T1083" s="51" t="s">
        <v>15</v>
      </c>
      <c r="U1083" s="50" t="s">
        <v>30</v>
      </c>
      <c r="V1083" s="52" t="s">
        <v>152</v>
      </c>
      <c r="W1083" s="53">
        <v>4</v>
      </c>
      <c r="X1083" s="54">
        <v>4500</v>
      </c>
      <c r="Y1083" s="54">
        <v>63.97</v>
      </c>
      <c r="Z1083" s="55">
        <f t="shared" si="111"/>
        <v>17936.03</v>
      </c>
      <c r="AA1083" s="56" t="s">
        <v>89</v>
      </c>
      <c r="AB1083"/>
    </row>
    <row r="1084" spans="1:28" x14ac:dyDescent="0.25">
      <c r="A1084" s="26" t="s">
        <v>1507</v>
      </c>
      <c r="B1084" s="26" t="s">
        <v>63</v>
      </c>
      <c r="C1084" s="26" t="str">
        <f t="shared" si="106"/>
        <v>Marcos Rodrigues</v>
      </c>
      <c r="D1084" s="37" t="s">
        <v>1084</v>
      </c>
      <c r="E1084" s="27">
        <f t="shared" si="107"/>
        <v>45988</v>
      </c>
      <c r="F1084" s="26" t="s">
        <v>29</v>
      </c>
      <c r="G1084" s="26" t="str">
        <f t="shared" si="108"/>
        <v>Camila Rocha</v>
      </c>
      <c r="H1084" s="26" t="s">
        <v>16</v>
      </c>
      <c r="I1084" s="26" t="s">
        <v>103</v>
      </c>
      <c r="J1084" s="28">
        <v>4</v>
      </c>
      <c r="K1084" s="29">
        <v>89</v>
      </c>
      <c r="L1084" s="29">
        <v>0</v>
      </c>
      <c r="M1084" s="30">
        <f t="shared" si="110"/>
        <v>356</v>
      </c>
      <c r="N1084" s="26" t="s">
        <v>18</v>
      </c>
      <c r="Q1084" s="42" t="s">
        <v>1507</v>
      </c>
      <c r="R1084" s="42" t="s">
        <v>63</v>
      </c>
      <c r="S1084" s="57">
        <f t="shared" si="109"/>
        <v>45988</v>
      </c>
      <c r="T1084" s="44" t="s">
        <v>29</v>
      </c>
      <c r="U1084" s="43" t="s">
        <v>16</v>
      </c>
      <c r="V1084" s="42" t="s">
        <v>103</v>
      </c>
      <c r="W1084" s="45">
        <v>4</v>
      </c>
      <c r="X1084" s="46">
        <v>89</v>
      </c>
      <c r="Y1084" s="46">
        <v>0</v>
      </c>
      <c r="Z1084" s="47">
        <f t="shared" si="111"/>
        <v>356</v>
      </c>
      <c r="AA1084" s="48" t="s">
        <v>18</v>
      </c>
      <c r="AB1084"/>
    </row>
    <row r="1085" spans="1:28" x14ac:dyDescent="0.25">
      <c r="A1085" s="31" t="s">
        <v>1508</v>
      </c>
      <c r="B1085" s="31" t="s">
        <v>110</v>
      </c>
      <c r="C1085" s="32" t="str">
        <f t="shared" si="106"/>
        <v>Fernanda Lima</v>
      </c>
      <c r="D1085" s="38" t="s">
        <v>938</v>
      </c>
      <c r="E1085" s="33">
        <f t="shared" si="107"/>
        <v>45845</v>
      </c>
      <c r="F1085" s="32" t="s">
        <v>47</v>
      </c>
      <c r="G1085" s="32" t="str">
        <f t="shared" si="108"/>
        <v>Bruno Martins</v>
      </c>
      <c r="H1085" s="32" t="s">
        <v>23</v>
      </c>
      <c r="I1085" s="32" t="s">
        <v>88</v>
      </c>
      <c r="J1085" s="34">
        <v>5</v>
      </c>
      <c r="K1085" s="35">
        <v>650</v>
      </c>
      <c r="L1085" s="35">
        <v>427.4</v>
      </c>
      <c r="M1085" s="36">
        <f t="shared" si="110"/>
        <v>2822.6</v>
      </c>
      <c r="N1085" s="32" t="s">
        <v>89</v>
      </c>
      <c r="Q1085" s="49" t="s">
        <v>1508</v>
      </c>
      <c r="R1085" s="49" t="s">
        <v>110</v>
      </c>
      <c r="S1085" s="58">
        <f t="shared" si="109"/>
        <v>45845</v>
      </c>
      <c r="T1085" s="51" t="s">
        <v>47</v>
      </c>
      <c r="U1085" s="50" t="s">
        <v>23</v>
      </c>
      <c r="V1085" s="52" t="s">
        <v>88</v>
      </c>
      <c r="W1085" s="53">
        <v>5</v>
      </c>
      <c r="X1085" s="54">
        <v>650</v>
      </c>
      <c r="Y1085" s="54">
        <v>427.4</v>
      </c>
      <c r="Z1085" s="55">
        <f t="shared" si="111"/>
        <v>2822.6</v>
      </c>
      <c r="AA1085" s="56" t="s">
        <v>89</v>
      </c>
      <c r="AB1085"/>
    </row>
    <row r="1086" spans="1:28" x14ac:dyDescent="0.25">
      <c r="A1086" s="26" t="s">
        <v>1509</v>
      </c>
      <c r="B1086" s="26" t="s">
        <v>95</v>
      </c>
      <c r="C1086" s="26" t="str">
        <f t="shared" si="106"/>
        <v>Maria Oliveira</v>
      </c>
      <c r="D1086" s="37" t="s">
        <v>1285</v>
      </c>
      <c r="E1086" s="27">
        <f t="shared" si="107"/>
        <v>45844</v>
      </c>
      <c r="F1086" s="26" t="s">
        <v>15</v>
      </c>
      <c r="G1086" s="26" t="str">
        <f t="shared" si="108"/>
        <v>Larissa Dias</v>
      </c>
      <c r="H1086" s="26" t="s">
        <v>23</v>
      </c>
      <c r="I1086" s="26" t="s">
        <v>43</v>
      </c>
      <c r="J1086" s="28">
        <v>3</v>
      </c>
      <c r="K1086" s="29">
        <v>350</v>
      </c>
      <c r="L1086" s="29">
        <v>0</v>
      </c>
      <c r="M1086" s="30">
        <f t="shared" si="110"/>
        <v>1050</v>
      </c>
      <c r="N1086" s="26" t="s">
        <v>25</v>
      </c>
      <c r="Q1086" s="42" t="s">
        <v>1509</v>
      </c>
      <c r="R1086" s="42" t="s">
        <v>95</v>
      </c>
      <c r="S1086" s="57">
        <f t="shared" si="109"/>
        <v>45844</v>
      </c>
      <c r="T1086" s="44" t="s">
        <v>15</v>
      </c>
      <c r="U1086" s="43" t="s">
        <v>23</v>
      </c>
      <c r="V1086" s="42" t="s">
        <v>43</v>
      </c>
      <c r="W1086" s="45">
        <v>3</v>
      </c>
      <c r="X1086" s="46">
        <v>350</v>
      </c>
      <c r="Y1086" s="46">
        <v>0</v>
      </c>
      <c r="Z1086" s="47">
        <f t="shared" si="111"/>
        <v>1050</v>
      </c>
      <c r="AA1086" s="48" t="s">
        <v>25</v>
      </c>
      <c r="AB1086"/>
    </row>
    <row r="1087" spans="1:28" x14ac:dyDescent="0.25">
      <c r="A1087" s="31" t="s">
        <v>1510</v>
      </c>
      <c r="B1087" s="31" t="s">
        <v>41</v>
      </c>
      <c r="C1087" s="32" t="str">
        <f t="shared" si="106"/>
        <v>João Pereira</v>
      </c>
      <c r="D1087" s="38" t="s">
        <v>140</v>
      </c>
      <c r="E1087" s="33">
        <f t="shared" si="107"/>
        <v>45852</v>
      </c>
      <c r="F1087" s="32" t="s">
        <v>29</v>
      </c>
      <c r="G1087" s="32" t="str">
        <f t="shared" si="108"/>
        <v>Camila Rocha</v>
      </c>
      <c r="H1087" s="32" t="s">
        <v>16</v>
      </c>
      <c r="I1087" s="32" t="s">
        <v>78</v>
      </c>
      <c r="J1087" s="34">
        <v>3</v>
      </c>
      <c r="K1087" s="35">
        <v>59</v>
      </c>
      <c r="L1087" s="35">
        <v>21.25</v>
      </c>
      <c r="M1087" s="36">
        <f t="shared" si="110"/>
        <v>155.75</v>
      </c>
      <c r="N1087" s="32" t="s">
        <v>89</v>
      </c>
      <c r="Q1087" s="49" t="s">
        <v>1510</v>
      </c>
      <c r="R1087" s="49" t="s">
        <v>41</v>
      </c>
      <c r="S1087" s="58">
        <f t="shared" si="109"/>
        <v>45852</v>
      </c>
      <c r="T1087" s="51" t="s">
        <v>29</v>
      </c>
      <c r="U1087" s="50" t="s">
        <v>16</v>
      </c>
      <c r="V1087" s="52" t="s">
        <v>78</v>
      </c>
      <c r="W1087" s="53">
        <v>3</v>
      </c>
      <c r="X1087" s="54">
        <v>59</v>
      </c>
      <c r="Y1087" s="54">
        <v>21.25</v>
      </c>
      <c r="Z1087" s="55">
        <f t="shared" si="111"/>
        <v>155.75</v>
      </c>
      <c r="AA1087" s="56" t="s">
        <v>89</v>
      </c>
      <c r="AB1087"/>
    </row>
    <row r="1088" spans="1:28" x14ac:dyDescent="0.25">
      <c r="A1088" s="26" t="s">
        <v>1511</v>
      </c>
      <c r="B1088" s="26" t="s">
        <v>110</v>
      </c>
      <c r="C1088" s="26" t="str">
        <f t="shared" si="106"/>
        <v>Fernanda Lima</v>
      </c>
      <c r="D1088" s="37" t="s">
        <v>650</v>
      </c>
      <c r="E1088" s="27">
        <f t="shared" si="107"/>
        <v>45974</v>
      </c>
      <c r="F1088" s="26" t="s">
        <v>22</v>
      </c>
      <c r="G1088" s="26" t="str">
        <f t="shared" si="108"/>
        <v>Amanda Costa</v>
      </c>
      <c r="H1088" s="26" t="s">
        <v>23</v>
      </c>
      <c r="I1088" s="26" t="s">
        <v>24</v>
      </c>
      <c r="J1088" s="28">
        <v>5</v>
      </c>
      <c r="K1088" s="29">
        <v>180</v>
      </c>
      <c r="L1088" s="29">
        <v>97.38</v>
      </c>
      <c r="M1088" s="30">
        <f t="shared" si="110"/>
        <v>802.62</v>
      </c>
      <c r="N1088" s="26" t="s">
        <v>18</v>
      </c>
      <c r="Q1088" s="42" t="s">
        <v>1511</v>
      </c>
      <c r="R1088" s="42" t="s">
        <v>110</v>
      </c>
      <c r="S1088" s="57">
        <f t="shared" si="109"/>
        <v>45974</v>
      </c>
      <c r="T1088" s="44" t="s">
        <v>22</v>
      </c>
      <c r="U1088" s="43" t="s">
        <v>23</v>
      </c>
      <c r="V1088" s="42" t="s">
        <v>24</v>
      </c>
      <c r="W1088" s="45">
        <v>5</v>
      </c>
      <c r="X1088" s="46">
        <v>180</v>
      </c>
      <c r="Y1088" s="46">
        <v>97.38</v>
      </c>
      <c r="Z1088" s="47">
        <f t="shared" si="111"/>
        <v>802.62</v>
      </c>
      <c r="AA1088" s="48" t="s">
        <v>18</v>
      </c>
      <c r="AB1088"/>
    </row>
    <row r="1089" spans="1:28" x14ac:dyDescent="0.25">
      <c r="A1089" s="31" t="s">
        <v>1512</v>
      </c>
      <c r="B1089" s="31" t="s">
        <v>13</v>
      </c>
      <c r="C1089" s="32" t="str">
        <f t="shared" si="106"/>
        <v>Lucas Almeida</v>
      </c>
      <c r="D1089" s="38" t="s">
        <v>1010</v>
      </c>
      <c r="E1089" s="33">
        <f t="shared" si="107"/>
        <v>45766</v>
      </c>
      <c r="F1089" s="32" t="s">
        <v>29</v>
      </c>
      <c r="G1089" s="32" t="str">
        <f t="shared" si="108"/>
        <v>Camila Rocha</v>
      </c>
      <c r="H1089" s="32" t="s">
        <v>52</v>
      </c>
      <c r="I1089" s="32" t="s">
        <v>99</v>
      </c>
      <c r="J1089" s="34">
        <v>3</v>
      </c>
      <c r="K1089" s="35">
        <v>79</v>
      </c>
      <c r="L1089" s="35">
        <v>0</v>
      </c>
      <c r="M1089" s="36">
        <f t="shared" si="110"/>
        <v>237</v>
      </c>
      <c r="N1089" s="32" t="s">
        <v>44</v>
      </c>
      <c r="Q1089" s="49" t="s">
        <v>1512</v>
      </c>
      <c r="R1089" s="49" t="s">
        <v>13</v>
      </c>
      <c r="S1089" s="58">
        <f t="shared" si="109"/>
        <v>45766</v>
      </c>
      <c r="T1089" s="51" t="s">
        <v>29</v>
      </c>
      <c r="U1089" s="50" t="s">
        <v>52</v>
      </c>
      <c r="V1089" s="52" t="s">
        <v>99</v>
      </c>
      <c r="W1089" s="53">
        <v>3</v>
      </c>
      <c r="X1089" s="54">
        <v>79</v>
      </c>
      <c r="Y1089" s="54">
        <v>0</v>
      </c>
      <c r="Z1089" s="55">
        <f t="shared" si="111"/>
        <v>237</v>
      </c>
      <c r="AA1089" s="56" t="s">
        <v>44</v>
      </c>
      <c r="AB1089"/>
    </row>
    <row r="1090" spans="1:28" x14ac:dyDescent="0.25">
      <c r="A1090" s="26" t="s">
        <v>1513</v>
      </c>
      <c r="B1090" s="26" t="s">
        <v>20</v>
      </c>
      <c r="C1090" s="26" t="str">
        <f t="shared" si="106"/>
        <v>Beatriz Ribeiro</v>
      </c>
      <c r="D1090" s="37" t="s">
        <v>1238</v>
      </c>
      <c r="E1090" s="27">
        <f t="shared" si="107"/>
        <v>45667</v>
      </c>
      <c r="F1090" s="26" t="s">
        <v>15</v>
      </c>
      <c r="G1090" s="26" t="str">
        <f t="shared" si="108"/>
        <v>Larissa Dias</v>
      </c>
      <c r="H1090" s="26" t="s">
        <v>23</v>
      </c>
      <c r="I1090" s="26" t="s">
        <v>24</v>
      </c>
      <c r="J1090" s="28">
        <v>4</v>
      </c>
      <c r="K1090" s="29">
        <v>180</v>
      </c>
      <c r="L1090" s="29">
        <v>76.069999999999993</v>
      </c>
      <c r="M1090" s="30">
        <f t="shared" si="110"/>
        <v>643.93000000000006</v>
      </c>
      <c r="N1090" s="26" t="s">
        <v>32</v>
      </c>
      <c r="Q1090" s="42" t="s">
        <v>1513</v>
      </c>
      <c r="R1090" s="42" t="s">
        <v>20</v>
      </c>
      <c r="S1090" s="57">
        <f t="shared" si="109"/>
        <v>45667</v>
      </c>
      <c r="T1090" s="44" t="s">
        <v>15</v>
      </c>
      <c r="U1090" s="43" t="s">
        <v>23</v>
      </c>
      <c r="V1090" s="42" t="s">
        <v>24</v>
      </c>
      <c r="W1090" s="45">
        <v>4</v>
      </c>
      <c r="X1090" s="46">
        <v>180</v>
      </c>
      <c r="Y1090" s="46">
        <v>76.069999999999993</v>
      </c>
      <c r="Z1090" s="47">
        <f t="shared" si="111"/>
        <v>643.93000000000006</v>
      </c>
      <c r="AA1090" s="48" t="s">
        <v>32</v>
      </c>
      <c r="AB1090"/>
    </row>
    <row r="1091" spans="1:28" x14ac:dyDescent="0.25">
      <c r="A1091" s="31" t="s">
        <v>1514</v>
      </c>
      <c r="B1091" s="31" t="s">
        <v>13</v>
      </c>
      <c r="C1091" s="32" t="str">
        <f t="shared" ref="C1091:C1154" si="112">SUBSTITUTE(SUBSTITUTE(SUBSTITUTE(SUBSTITUTE(PROPER(B1091)," Da "," ")," De "," ")," Do "," ")," Dos "," ")</f>
        <v>Lucas Almeida</v>
      </c>
      <c r="D1091" s="38" t="s">
        <v>234</v>
      </c>
      <c r="E1091" s="33">
        <f t="shared" ref="E1091:E1154" si="113">DATEVALUE(D1091)</f>
        <v>45683</v>
      </c>
      <c r="F1091" s="32" t="s">
        <v>29</v>
      </c>
      <c r="G1091" s="32" t="str">
        <f t="shared" ref="G1091:G1154" si="114">SUBSTITUTE(SUBSTITUTE(SUBSTITUTE(SUBSTITUTE(PROPER(F1091)," Da "," ")," De "," ")," Do "," ")," Dos "," ")</f>
        <v>Camila Rocha</v>
      </c>
      <c r="H1091" s="32" t="s">
        <v>23</v>
      </c>
      <c r="I1091" s="32" t="s">
        <v>48</v>
      </c>
      <c r="J1091" s="34">
        <v>3</v>
      </c>
      <c r="K1091" s="35">
        <v>450</v>
      </c>
      <c r="L1091" s="35">
        <v>57.06</v>
      </c>
      <c r="M1091" s="36">
        <f t="shared" si="110"/>
        <v>1292.94</v>
      </c>
      <c r="N1091" s="32" t="s">
        <v>49</v>
      </c>
      <c r="Q1091" s="49" t="s">
        <v>1514</v>
      </c>
      <c r="R1091" s="49" t="s">
        <v>13</v>
      </c>
      <c r="S1091" s="58">
        <f t="shared" si="109"/>
        <v>45683</v>
      </c>
      <c r="T1091" s="51" t="s">
        <v>29</v>
      </c>
      <c r="U1091" s="50" t="s">
        <v>23</v>
      </c>
      <c r="V1091" s="52" t="s">
        <v>48</v>
      </c>
      <c r="W1091" s="53">
        <v>3</v>
      </c>
      <c r="X1091" s="54">
        <v>450</v>
      </c>
      <c r="Y1091" s="54">
        <v>57.06</v>
      </c>
      <c r="Z1091" s="55">
        <f t="shared" si="111"/>
        <v>1292.94</v>
      </c>
      <c r="AA1091" s="56" t="s">
        <v>49</v>
      </c>
      <c r="AB1091"/>
    </row>
    <row r="1092" spans="1:28" x14ac:dyDescent="0.25">
      <c r="A1092" s="26" t="s">
        <v>1515</v>
      </c>
      <c r="B1092" s="26" t="s">
        <v>41</v>
      </c>
      <c r="C1092" s="26" t="str">
        <f t="shared" si="112"/>
        <v>João Pereira</v>
      </c>
      <c r="D1092" s="37" t="s">
        <v>1516</v>
      </c>
      <c r="E1092" s="27">
        <f t="shared" si="113"/>
        <v>45910</v>
      </c>
      <c r="F1092" s="26" t="s">
        <v>29</v>
      </c>
      <c r="G1092" s="26" t="str">
        <f t="shared" si="114"/>
        <v>Camila Rocha</v>
      </c>
      <c r="H1092" s="26" t="s">
        <v>30</v>
      </c>
      <c r="I1092" s="26" t="s">
        <v>106</v>
      </c>
      <c r="J1092" s="28">
        <v>3</v>
      </c>
      <c r="K1092" s="29">
        <v>299</v>
      </c>
      <c r="L1092" s="29">
        <v>0</v>
      </c>
      <c r="M1092" s="30">
        <f t="shared" si="110"/>
        <v>897</v>
      </c>
      <c r="N1092" s="26" t="s">
        <v>89</v>
      </c>
      <c r="Q1092" s="42" t="s">
        <v>1515</v>
      </c>
      <c r="R1092" s="42" t="s">
        <v>41</v>
      </c>
      <c r="S1092" s="57">
        <f t="shared" si="109"/>
        <v>45910</v>
      </c>
      <c r="T1092" s="44" t="s">
        <v>29</v>
      </c>
      <c r="U1092" s="43" t="s">
        <v>30</v>
      </c>
      <c r="V1092" s="42" t="s">
        <v>106</v>
      </c>
      <c r="W1092" s="45">
        <v>3</v>
      </c>
      <c r="X1092" s="46">
        <v>299</v>
      </c>
      <c r="Y1092" s="46">
        <v>0</v>
      </c>
      <c r="Z1092" s="47">
        <f t="shared" si="111"/>
        <v>897</v>
      </c>
      <c r="AA1092" s="48" t="s">
        <v>89</v>
      </c>
      <c r="AB1092"/>
    </row>
    <row r="1093" spans="1:28" x14ac:dyDescent="0.25">
      <c r="A1093" s="31" t="s">
        <v>1517</v>
      </c>
      <c r="B1093" s="31" t="s">
        <v>34</v>
      </c>
      <c r="C1093" s="32" t="str">
        <f t="shared" si="112"/>
        <v>Carlos Silva</v>
      </c>
      <c r="D1093" s="38" t="s">
        <v>290</v>
      </c>
      <c r="E1093" s="33">
        <f t="shared" si="113"/>
        <v>45884</v>
      </c>
      <c r="F1093" s="32" t="s">
        <v>47</v>
      </c>
      <c r="G1093" s="32" t="str">
        <f t="shared" si="114"/>
        <v>Bruno Martins</v>
      </c>
      <c r="H1093" s="32" t="s">
        <v>52</v>
      </c>
      <c r="I1093" s="32" t="s">
        <v>53</v>
      </c>
      <c r="J1093" s="34">
        <v>5</v>
      </c>
      <c r="K1093" s="35">
        <v>149</v>
      </c>
      <c r="L1093" s="35">
        <v>0</v>
      </c>
      <c r="M1093" s="36">
        <f t="shared" si="110"/>
        <v>745</v>
      </c>
      <c r="N1093" s="32" t="s">
        <v>69</v>
      </c>
      <c r="Q1093" s="49" t="s">
        <v>1517</v>
      </c>
      <c r="R1093" s="49" t="s">
        <v>34</v>
      </c>
      <c r="S1093" s="58">
        <f t="shared" si="109"/>
        <v>45884</v>
      </c>
      <c r="T1093" s="51" t="s">
        <v>47</v>
      </c>
      <c r="U1093" s="50" t="s">
        <v>52</v>
      </c>
      <c r="V1093" s="52" t="s">
        <v>53</v>
      </c>
      <c r="W1093" s="53">
        <v>5</v>
      </c>
      <c r="X1093" s="54">
        <v>149</v>
      </c>
      <c r="Y1093" s="54">
        <v>0</v>
      </c>
      <c r="Z1093" s="55">
        <f t="shared" si="111"/>
        <v>745</v>
      </c>
      <c r="AA1093" s="56" t="s">
        <v>69</v>
      </c>
      <c r="AB1093"/>
    </row>
    <row r="1094" spans="1:28" x14ac:dyDescent="0.25">
      <c r="A1094" s="26" t="s">
        <v>1518</v>
      </c>
      <c r="B1094" s="26" t="s">
        <v>37</v>
      </c>
      <c r="C1094" s="26" t="str">
        <f t="shared" si="112"/>
        <v>Patricia Gomes</v>
      </c>
      <c r="D1094" s="37" t="s">
        <v>38</v>
      </c>
      <c r="E1094" s="27">
        <f t="shared" si="113"/>
        <v>45662</v>
      </c>
      <c r="F1094" s="26" t="s">
        <v>39</v>
      </c>
      <c r="G1094" s="26" t="str">
        <f t="shared" si="114"/>
        <v>Rodrigo Mello</v>
      </c>
      <c r="H1094" s="26" t="s">
        <v>30</v>
      </c>
      <c r="I1094" s="26" t="s">
        <v>106</v>
      </c>
      <c r="J1094" s="28">
        <v>1</v>
      </c>
      <c r="K1094" s="29">
        <v>299</v>
      </c>
      <c r="L1094" s="29">
        <v>27.17</v>
      </c>
      <c r="M1094" s="30">
        <f t="shared" si="110"/>
        <v>271.83</v>
      </c>
      <c r="N1094" s="26" t="s">
        <v>89</v>
      </c>
      <c r="Q1094" s="42" t="s">
        <v>1518</v>
      </c>
      <c r="R1094" s="42" t="s">
        <v>37</v>
      </c>
      <c r="S1094" s="57">
        <f t="shared" ref="S1094:S1157" si="115">DATEVALUE(D1094)</f>
        <v>45662</v>
      </c>
      <c r="T1094" s="44" t="s">
        <v>39</v>
      </c>
      <c r="U1094" s="43" t="s">
        <v>30</v>
      </c>
      <c r="V1094" s="42" t="s">
        <v>106</v>
      </c>
      <c r="W1094" s="45">
        <v>1</v>
      </c>
      <c r="X1094" s="46">
        <v>299</v>
      </c>
      <c r="Y1094" s="46">
        <v>27.17</v>
      </c>
      <c r="Z1094" s="47">
        <f t="shared" si="111"/>
        <v>271.83</v>
      </c>
      <c r="AA1094" s="48" t="s">
        <v>89</v>
      </c>
      <c r="AB1094"/>
    </row>
    <row r="1095" spans="1:28" x14ac:dyDescent="0.25">
      <c r="A1095" s="31" t="s">
        <v>1519</v>
      </c>
      <c r="B1095" s="31" t="s">
        <v>13</v>
      </c>
      <c r="C1095" s="32" t="str">
        <f t="shared" si="112"/>
        <v>Lucas Almeida</v>
      </c>
      <c r="D1095" s="38" t="s">
        <v>761</v>
      </c>
      <c r="E1095" s="33">
        <f t="shared" si="113"/>
        <v>45761</v>
      </c>
      <c r="F1095" s="32" t="s">
        <v>39</v>
      </c>
      <c r="G1095" s="32" t="str">
        <f t="shared" si="114"/>
        <v>Rodrigo Mello</v>
      </c>
      <c r="H1095" s="32" t="s">
        <v>52</v>
      </c>
      <c r="I1095" s="32" t="s">
        <v>75</v>
      </c>
      <c r="J1095" s="34">
        <v>4</v>
      </c>
      <c r="K1095" s="35">
        <v>249</v>
      </c>
      <c r="L1095" s="35">
        <v>0</v>
      </c>
      <c r="M1095" s="36">
        <f t="shared" si="110"/>
        <v>996</v>
      </c>
      <c r="N1095" s="32" t="s">
        <v>49</v>
      </c>
      <c r="Q1095" s="49" t="s">
        <v>1519</v>
      </c>
      <c r="R1095" s="49" t="s">
        <v>13</v>
      </c>
      <c r="S1095" s="58">
        <f t="shared" si="115"/>
        <v>45761</v>
      </c>
      <c r="T1095" s="51" t="s">
        <v>39</v>
      </c>
      <c r="U1095" s="50" t="s">
        <v>52</v>
      </c>
      <c r="V1095" s="52" t="s">
        <v>75</v>
      </c>
      <c r="W1095" s="53">
        <v>4</v>
      </c>
      <c r="X1095" s="54">
        <v>249</v>
      </c>
      <c r="Y1095" s="54">
        <v>0</v>
      </c>
      <c r="Z1095" s="55">
        <f t="shared" si="111"/>
        <v>996</v>
      </c>
      <c r="AA1095" s="56" t="s">
        <v>49</v>
      </c>
      <c r="AB1095"/>
    </row>
    <row r="1096" spans="1:28" x14ac:dyDescent="0.25">
      <c r="A1096" s="26" t="s">
        <v>1520</v>
      </c>
      <c r="B1096" s="26" t="s">
        <v>110</v>
      </c>
      <c r="C1096" s="26" t="str">
        <f t="shared" si="112"/>
        <v>Fernanda Lima</v>
      </c>
      <c r="D1096" s="37" t="s">
        <v>278</v>
      </c>
      <c r="E1096" s="27">
        <f t="shared" si="113"/>
        <v>45916</v>
      </c>
      <c r="F1096" s="26" t="s">
        <v>29</v>
      </c>
      <c r="G1096" s="26" t="str">
        <f t="shared" si="114"/>
        <v>Camila Rocha</v>
      </c>
      <c r="H1096" s="26" t="s">
        <v>16</v>
      </c>
      <c r="I1096" s="26" t="s">
        <v>17</v>
      </c>
      <c r="J1096" s="28">
        <v>1</v>
      </c>
      <c r="K1096" s="29">
        <v>39</v>
      </c>
      <c r="L1096" s="29">
        <v>0</v>
      </c>
      <c r="M1096" s="30">
        <f t="shared" si="110"/>
        <v>39</v>
      </c>
      <c r="N1096" s="26" t="s">
        <v>89</v>
      </c>
      <c r="Q1096" s="42" t="s">
        <v>1520</v>
      </c>
      <c r="R1096" s="42" t="s">
        <v>110</v>
      </c>
      <c r="S1096" s="57">
        <f t="shared" si="115"/>
        <v>45916</v>
      </c>
      <c r="T1096" s="44" t="s">
        <v>29</v>
      </c>
      <c r="U1096" s="43" t="s">
        <v>16</v>
      </c>
      <c r="V1096" s="42" t="s">
        <v>17</v>
      </c>
      <c r="W1096" s="45">
        <v>1</v>
      </c>
      <c r="X1096" s="46">
        <v>39</v>
      </c>
      <c r="Y1096" s="46">
        <v>0</v>
      </c>
      <c r="Z1096" s="47">
        <f t="shared" si="111"/>
        <v>39</v>
      </c>
      <c r="AA1096" s="48" t="s">
        <v>89</v>
      </c>
      <c r="AB1096"/>
    </row>
    <row r="1097" spans="1:28" x14ac:dyDescent="0.25">
      <c r="A1097" s="31" t="s">
        <v>1521</v>
      </c>
      <c r="B1097" s="31" t="s">
        <v>27</v>
      </c>
      <c r="C1097" s="32" t="str">
        <f t="shared" si="112"/>
        <v>Roberto Santos</v>
      </c>
      <c r="D1097" s="38" t="s">
        <v>510</v>
      </c>
      <c r="E1097" s="33">
        <f t="shared" si="113"/>
        <v>45678</v>
      </c>
      <c r="F1097" s="32" t="s">
        <v>22</v>
      </c>
      <c r="G1097" s="32" t="str">
        <f t="shared" si="114"/>
        <v>Amanda Costa</v>
      </c>
      <c r="H1097" s="32" t="s">
        <v>52</v>
      </c>
      <c r="I1097" s="32" t="s">
        <v>61</v>
      </c>
      <c r="J1097" s="34">
        <v>1</v>
      </c>
      <c r="K1097" s="35">
        <v>199</v>
      </c>
      <c r="L1097" s="35">
        <v>0</v>
      </c>
      <c r="M1097" s="36">
        <f t="shared" si="110"/>
        <v>199</v>
      </c>
      <c r="N1097" s="32" t="s">
        <v>44</v>
      </c>
      <c r="Q1097" s="49" t="s">
        <v>1521</v>
      </c>
      <c r="R1097" s="49" t="s">
        <v>27</v>
      </c>
      <c r="S1097" s="58">
        <f t="shared" si="115"/>
        <v>45678</v>
      </c>
      <c r="T1097" s="51" t="s">
        <v>22</v>
      </c>
      <c r="U1097" s="50" t="s">
        <v>52</v>
      </c>
      <c r="V1097" s="52" t="s">
        <v>61</v>
      </c>
      <c r="W1097" s="53">
        <v>1</v>
      </c>
      <c r="X1097" s="54">
        <v>199</v>
      </c>
      <c r="Y1097" s="54">
        <v>0</v>
      </c>
      <c r="Z1097" s="55">
        <f t="shared" si="111"/>
        <v>199</v>
      </c>
      <c r="AA1097" s="56" t="s">
        <v>44</v>
      </c>
      <c r="AB1097"/>
    </row>
    <row r="1098" spans="1:28" x14ac:dyDescent="0.25">
      <c r="A1098" s="26" t="s">
        <v>1521</v>
      </c>
      <c r="B1098" s="26" t="s">
        <v>27</v>
      </c>
      <c r="C1098" s="26" t="str">
        <f t="shared" si="112"/>
        <v>Roberto Santos</v>
      </c>
      <c r="D1098" s="37" t="s">
        <v>510</v>
      </c>
      <c r="E1098" s="27">
        <f t="shared" si="113"/>
        <v>45678</v>
      </c>
      <c r="F1098" s="26" t="s">
        <v>29</v>
      </c>
      <c r="G1098" s="26" t="str">
        <f t="shared" si="114"/>
        <v>Camila Rocha</v>
      </c>
      <c r="H1098" s="26" t="s">
        <v>30</v>
      </c>
      <c r="I1098" s="26" t="s">
        <v>106</v>
      </c>
      <c r="J1098" s="28">
        <v>2</v>
      </c>
      <c r="K1098" s="29">
        <v>299</v>
      </c>
      <c r="L1098" s="29">
        <v>69.010000000000005</v>
      </c>
      <c r="M1098" s="30">
        <f t="shared" si="110"/>
        <v>528.99</v>
      </c>
      <c r="N1098" s="26" t="s">
        <v>49</v>
      </c>
      <c r="Q1098" s="42" t="s">
        <v>1521</v>
      </c>
      <c r="R1098" s="42" t="s">
        <v>27</v>
      </c>
      <c r="S1098" s="57">
        <f t="shared" si="115"/>
        <v>45678</v>
      </c>
      <c r="T1098" s="44" t="s">
        <v>29</v>
      </c>
      <c r="U1098" s="43" t="s">
        <v>30</v>
      </c>
      <c r="V1098" s="42" t="s">
        <v>106</v>
      </c>
      <c r="W1098" s="45">
        <v>2</v>
      </c>
      <c r="X1098" s="46">
        <v>299</v>
      </c>
      <c r="Y1098" s="46">
        <v>69.010000000000005</v>
      </c>
      <c r="Z1098" s="47">
        <f t="shared" si="111"/>
        <v>528.99</v>
      </c>
      <c r="AA1098" s="48" t="s">
        <v>49</v>
      </c>
      <c r="AB1098"/>
    </row>
    <row r="1099" spans="1:28" x14ac:dyDescent="0.25">
      <c r="A1099" s="31" t="s">
        <v>1522</v>
      </c>
      <c r="B1099" s="31" t="s">
        <v>277</v>
      </c>
      <c r="C1099" s="32" t="str">
        <f t="shared" si="112"/>
        <v>Carlos Silva</v>
      </c>
      <c r="D1099" s="38" t="s">
        <v>77</v>
      </c>
      <c r="E1099" s="33">
        <f t="shared" si="113"/>
        <v>45708</v>
      </c>
      <c r="F1099" s="32" t="s">
        <v>15</v>
      </c>
      <c r="G1099" s="32" t="str">
        <f t="shared" si="114"/>
        <v>Larissa Dias</v>
      </c>
      <c r="H1099" s="32" t="s">
        <v>52</v>
      </c>
      <c r="I1099" s="32" t="s">
        <v>61</v>
      </c>
      <c r="J1099" s="34">
        <v>2</v>
      </c>
      <c r="K1099" s="35">
        <v>199</v>
      </c>
      <c r="L1099" s="35">
        <v>0</v>
      </c>
      <c r="M1099" s="36">
        <f t="shared" si="110"/>
        <v>398</v>
      </c>
      <c r="N1099" s="32" t="s">
        <v>44</v>
      </c>
      <c r="Q1099" s="49" t="s">
        <v>1522</v>
      </c>
      <c r="R1099" s="49" t="s">
        <v>34</v>
      </c>
      <c r="S1099" s="58">
        <f t="shared" si="115"/>
        <v>45708</v>
      </c>
      <c r="T1099" s="51" t="s">
        <v>15</v>
      </c>
      <c r="U1099" s="50" t="s">
        <v>52</v>
      </c>
      <c r="V1099" s="52" t="s">
        <v>61</v>
      </c>
      <c r="W1099" s="53">
        <v>2</v>
      </c>
      <c r="X1099" s="54">
        <v>199</v>
      </c>
      <c r="Y1099" s="54">
        <v>0</v>
      </c>
      <c r="Z1099" s="55">
        <f t="shared" si="111"/>
        <v>398</v>
      </c>
      <c r="AA1099" s="56" t="s">
        <v>44</v>
      </c>
      <c r="AB1099"/>
    </row>
    <row r="1100" spans="1:28" x14ac:dyDescent="0.25">
      <c r="A1100" s="26" t="s">
        <v>1523</v>
      </c>
      <c r="B1100" s="26" t="s">
        <v>95</v>
      </c>
      <c r="C1100" s="26" t="str">
        <f t="shared" si="112"/>
        <v>Maria Oliveira</v>
      </c>
      <c r="D1100" s="37" t="s">
        <v>516</v>
      </c>
      <c r="E1100" s="27">
        <f t="shared" si="113"/>
        <v>45706</v>
      </c>
      <c r="F1100" s="26" t="s">
        <v>47</v>
      </c>
      <c r="G1100" s="26" t="str">
        <f t="shared" si="114"/>
        <v>Bruno Martins</v>
      </c>
      <c r="H1100" s="26" t="s">
        <v>23</v>
      </c>
      <c r="I1100" s="26" t="s">
        <v>24</v>
      </c>
      <c r="J1100" s="28">
        <v>5</v>
      </c>
      <c r="K1100" s="29">
        <v>180</v>
      </c>
      <c r="L1100" s="29">
        <v>0</v>
      </c>
      <c r="M1100" s="30">
        <f t="shared" si="110"/>
        <v>900</v>
      </c>
      <c r="N1100" s="26" t="s">
        <v>89</v>
      </c>
      <c r="Q1100" s="42" t="s">
        <v>1523</v>
      </c>
      <c r="R1100" s="42" t="s">
        <v>95</v>
      </c>
      <c r="S1100" s="57">
        <f t="shared" si="115"/>
        <v>45706</v>
      </c>
      <c r="T1100" s="44" t="s">
        <v>47</v>
      </c>
      <c r="U1100" s="43" t="s">
        <v>23</v>
      </c>
      <c r="V1100" s="42" t="s">
        <v>24</v>
      </c>
      <c r="W1100" s="45">
        <v>5</v>
      </c>
      <c r="X1100" s="46">
        <v>180</v>
      </c>
      <c r="Y1100" s="46">
        <v>0</v>
      </c>
      <c r="Z1100" s="47">
        <f t="shared" si="111"/>
        <v>900</v>
      </c>
      <c r="AA1100" s="48" t="s">
        <v>89</v>
      </c>
      <c r="AB1100"/>
    </row>
    <row r="1101" spans="1:28" x14ac:dyDescent="0.25">
      <c r="A1101" s="31" t="s">
        <v>1524</v>
      </c>
      <c r="B1101" s="31" t="s">
        <v>37</v>
      </c>
      <c r="C1101" s="32" t="str">
        <f t="shared" si="112"/>
        <v>Patricia Gomes</v>
      </c>
      <c r="D1101" s="38" t="s">
        <v>220</v>
      </c>
      <c r="E1101" s="33">
        <f t="shared" si="113"/>
        <v>45760</v>
      </c>
      <c r="F1101" s="32" t="s">
        <v>29</v>
      </c>
      <c r="G1101" s="32" t="str">
        <f t="shared" si="114"/>
        <v>Camila Rocha</v>
      </c>
      <c r="H1101" s="32" t="s">
        <v>30</v>
      </c>
      <c r="I1101" s="32" t="s">
        <v>106</v>
      </c>
      <c r="J1101" s="34">
        <v>3</v>
      </c>
      <c r="K1101" s="35">
        <v>299</v>
      </c>
      <c r="L1101" s="35">
        <v>0</v>
      </c>
      <c r="M1101" s="36">
        <f t="shared" si="110"/>
        <v>897</v>
      </c>
      <c r="N1101" s="32" t="s">
        <v>89</v>
      </c>
      <c r="Q1101" s="49" t="s">
        <v>1524</v>
      </c>
      <c r="R1101" s="49" t="s">
        <v>37</v>
      </c>
      <c r="S1101" s="58">
        <f t="shared" si="115"/>
        <v>45760</v>
      </c>
      <c r="T1101" s="51" t="s">
        <v>29</v>
      </c>
      <c r="U1101" s="50" t="s">
        <v>30</v>
      </c>
      <c r="V1101" s="52" t="s">
        <v>106</v>
      </c>
      <c r="W1101" s="53">
        <v>3</v>
      </c>
      <c r="X1101" s="54">
        <v>299</v>
      </c>
      <c r="Y1101" s="54">
        <v>0</v>
      </c>
      <c r="Z1101" s="55">
        <f t="shared" si="111"/>
        <v>897</v>
      </c>
      <c r="AA1101" s="56" t="s">
        <v>89</v>
      </c>
      <c r="AB1101"/>
    </row>
    <row r="1102" spans="1:28" x14ac:dyDescent="0.25">
      <c r="A1102" s="26" t="s">
        <v>1525</v>
      </c>
      <c r="B1102" s="26" t="s">
        <v>71</v>
      </c>
      <c r="C1102" s="26" t="str">
        <f t="shared" si="112"/>
        <v>Juliana Costa</v>
      </c>
      <c r="D1102" s="37" t="s">
        <v>298</v>
      </c>
      <c r="E1102" s="27">
        <f t="shared" si="113"/>
        <v>45697</v>
      </c>
      <c r="F1102" s="26" t="s">
        <v>15</v>
      </c>
      <c r="G1102" s="26" t="str">
        <f t="shared" si="114"/>
        <v>Larissa Dias</v>
      </c>
      <c r="H1102" s="26" t="s">
        <v>52</v>
      </c>
      <c r="I1102" s="26" t="s">
        <v>61</v>
      </c>
      <c r="J1102" s="28">
        <v>1</v>
      </c>
      <c r="K1102" s="29">
        <v>199</v>
      </c>
      <c r="L1102" s="29">
        <v>0</v>
      </c>
      <c r="M1102" s="30">
        <f t="shared" si="110"/>
        <v>199</v>
      </c>
      <c r="N1102" s="26" t="s">
        <v>89</v>
      </c>
      <c r="Q1102" s="42" t="s">
        <v>1525</v>
      </c>
      <c r="R1102" s="42" t="s">
        <v>71</v>
      </c>
      <c r="S1102" s="57">
        <f t="shared" si="115"/>
        <v>45697</v>
      </c>
      <c r="T1102" s="44" t="s">
        <v>15</v>
      </c>
      <c r="U1102" s="43" t="s">
        <v>52</v>
      </c>
      <c r="V1102" s="42" t="s">
        <v>61</v>
      </c>
      <c r="W1102" s="45">
        <v>1</v>
      </c>
      <c r="X1102" s="46">
        <v>199</v>
      </c>
      <c r="Y1102" s="46">
        <v>0</v>
      </c>
      <c r="Z1102" s="47">
        <f t="shared" si="111"/>
        <v>199</v>
      </c>
      <c r="AA1102" s="48" t="s">
        <v>89</v>
      </c>
      <c r="AB1102"/>
    </row>
    <row r="1103" spans="1:28" x14ac:dyDescent="0.25">
      <c r="A1103" s="31" t="s">
        <v>1526</v>
      </c>
      <c r="B1103" s="31" t="s">
        <v>71</v>
      </c>
      <c r="C1103" s="32" t="str">
        <f t="shared" si="112"/>
        <v>Juliana Costa</v>
      </c>
      <c r="D1103" s="38" t="s">
        <v>151</v>
      </c>
      <c r="E1103" s="33">
        <f t="shared" si="113"/>
        <v>45843</v>
      </c>
      <c r="F1103" s="32" t="s">
        <v>15</v>
      </c>
      <c r="G1103" s="32" t="str">
        <f t="shared" si="114"/>
        <v>Larissa Dias</v>
      </c>
      <c r="H1103" s="32" t="s">
        <v>23</v>
      </c>
      <c r="I1103" s="32" t="s">
        <v>43</v>
      </c>
      <c r="J1103" s="34">
        <v>2</v>
      </c>
      <c r="K1103" s="35">
        <v>350</v>
      </c>
      <c r="L1103" s="35">
        <v>0</v>
      </c>
      <c r="M1103" s="36">
        <f t="shared" si="110"/>
        <v>700</v>
      </c>
      <c r="N1103" s="32" t="s">
        <v>65</v>
      </c>
      <c r="Q1103" s="49" t="s">
        <v>1526</v>
      </c>
      <c r="R1103" s="49" t="s">
        <v>71</v>
      </c>
      <c r="S1103" s="58">
        <f t="shared" si="115"/>
        <v>45843</v>
      </c>
      <c r="T1103" s="51" t="s">
        <v>15</v>
      </c>
      <c r="U1103" s="50" t="s">
        <v>23</v>
      </c>
      <c r="V1103" s="52" t="s">
        <v>43</v>
      </c>
      <c r="W1103" s="53">
        <v>2</v>
      </c>
      <c r="X1103" s="54">
        <v>350</v>
      </c>
      <c r="Y1103" s="54">
        <v>0</v>
      </c>
      <c r="Z1103" s="55">
        <f t="shared" si="111"/>
        <v>700</v>
      </c>
      <c r="AA1103" s="56" t="s">
        <v>65</v>
      </c>
      <c r="AB1103"/>
    </row>
    <row r="1104" spans="1:28" x14ac:dyDescent="0.25">
      <c r="A1104" s="26" t="s">
        <v>1527</v>
      </c>
      <c r="B1104" s="26" t="s">
        <v>101</v>
      </c>
      <c r="C1104" s="26" t="str">
        <f t="shared" si="112"/>
        <v>Ana Souza</v>
      </c>
      <c r="D1104" s="37" t="s">
        <v>664</v>
      </c>
      <c r="E1104" s="27">
        <f t="shared" si="113"/>
        <v>45783</v>
      </c>
      <c r="F1104" s="26" t="s">
        <v>39</v>
      </c>
      <c r="G1104" s="26" t="str">
        <f t="shared" si="114"/>
        <v>Rodrigo Mello</v>
      </c>
      <c r="H1104" s="26" t="s">
        <v>23</v>
      </c>
      <c r="I1104" s="26" t="s">
        <v>88</v>
      </c>
      <c r="J1104" s="28">
        <v>2</v>
      </c>
      <c r="K1104" s="29">
        <v>650</v>
      </c>
      <c r="L1104" s="29">
        <v>185.2</v>
      </c>
      <c r="M1104" s="30">
        <f t="shared" si="110"/>
        <v>1114.8</v>
      </c>
      <c r="N1104" s="26" t="s">
        <v>25</v>
      </c>
      <c r="Q1104" s="42" t="s">
        <v>1527</v>
      </c>
      <c r="R1104" s="42" t="s">
        <v>101</v>
      </c>
      <c r="S1104" s="57">
        <f t="shared" si="115"/>
        <v>45783</v>
      </c>
      <c r="T1104" s="44" t="s">
        <v>39</v>
      </c>
      <c r="U1104" s="43" t="s">
        <v>23</v>
      </c>
      <c r="V1104" s="42" t="s">
        <v>88</v>
      </c>
      <c r="W1104" s="45">
        <v>2</v>
      </c>
      <c r="X1104" s="46">
        <v>650</v>
      </c>
      <c r="Y1104" s="46">
        <v>185.2</v>
      </c>
      <c r="Z1104" s="47">
        <f t="shared" si="111"/>
        <v>1114.8</v>
      </c>
      <c r="AA1104" s="48" t="s">
        <v>25</v>
      </c>
      <c r="AB1104"/>
    </row>
    <row r="1105" spans="1:28" x14ac:dyDescent="0.25">
      <c r="A1105" s="31" t="s">
        <v>1528</v>
      </c>
      <c r="B1105" s="31" t="s">
        <v>34</v>
      </c>
      <c r="C1105" s="32" t="str">
        <f t="shared" si="112"/>
        <v>Carlos Silva</v>
      </c>
      <c r="D1105" s="38" t="s">
        <v>85</v>
      </c>
      <c r="E1105" s="33">
        <f t="shared" si="113"/>
        <v>45715</v>
      </c>
      <c r="F1105" s="32" t="s">
        <v>29</v>
      </c>
      <c r="G1105" s="32" t="str">
        <f t="shared" si="114"/>
        <v>Camila Rocha</v>
      </c>
      <c r="H1105" s="32" t="s">
        <v>30</v>
      </c>
      <c r="I1105" s="32" t="s">
        <v>106</v>
      </c>
      <c r="J1105" s="34">
        <v>1</v>
      </c>
      <c r="K1105" s="35">
        <v>299</v>
      </c>
      <c r="L1105" s="35">
        <v>9.1999999999999993</v>
      </c>
      <c r="M1105" s="36">
        <f t="shared" si="110"/>
        <v>289.8</v>
      </c>
      <c r="N1105" s="32" t="s">
        <v>44</v>
      </c>
      <c r="Q1105" s="49" t="s">
        <v>1528</v>
      </c>
      <c r="R1105" s="49" t="s">
        <v>34</v>
      </c>
      <c r="S1105" s="58">
        <f t="shared" si="115"/>
        <v>45715</v>
      </c>
      <c r="T1105" s="51" t="s">
        <v>29</v>
      </c>
      <c r="U1105" s="50" t="s">
        <v>30</v>
      </c>
      <c r="V1105" s="52" t="s">
        <v>106</v>
      </c>
      <c r="W1105" s="53">
        <v>1</v>
      </c>
      <c r="X1105" s="54">
        <v>299</v>
      </c>
      <c r="Y1105" s="54">
        <v>9.1999999999999993</v>
      </c>
      <c r="Z1105" s="55">
        <f t="shared" si="111"/>
        <v>289.8</v>
      </c>
      <c r="AA1105" s="56" t="s">
        <v>44</v>
      </c>
      <c r="AB1105"/>
    </row>
    <row r="1106" spans="1:28" x14ac:dyDescent="0.25">
      <c r="A1106" s="26" t="s">
        <v>1529</v>
      </c>
      <c r="B1106" s="26" t="s">
        <v>55</v>
      </c>
      <c r="C1106" s="26" t="str">
        <f t="shared" si="112"/>
        <v>Ricardo Carvalho</v>
      </c>
      <c r="D1106" s="37" t="s">
        <v>433</v>
      </c>
      <c r="E1106" s="27">
        <f t="shared" si="113"/>
        <v>45738</v>
      </c>
      <c r="F1106" s="26" t="s">
        <v>39</v>
      </c>
      <c r="G1106" s="26" t="str">
        <f t="shared" si="114"/>
        <v>Rodrigo Mello</v>
      </c>
      <c r="H1106" s="26" t="s">
        <v>23</v>
      </c>
      <c r="I1106" s="26" t="s">
        <v>88</v>
      </c>
      <c r="J1106" s="28">
        <v>3</v>
      </c>
      <c r="K1106" s="29">
        <v>650</v>
      </c>
      <c r="L1106" s="29">
        <v>0</v>
      </c>
      <c r="M1106" s="30">
        <f t="shared" si="110"/>
        <v>1950</v>
      </c>
      <c r="N1106" s="26" t="s">
        <v>18</v>
      </c>
      <c r="Q1106" s="42" t="s">
        <v>1529</v>
      </c>
      <c r="R1106" s="42" t="s">
        <v>55</v>
      </c>
      <c r="S1106" s="57">
        <f t="shared" si="115"/>
        <v>45738</v>
      </c>
      <c r="T1106" s="44" t="s">
        <v>39</v>
      </c>
      <c r="U1106" s="43" t="s">
        <v>23</v>
      </c>
      <c r="V1106" s="42" t="s">
        <v>88</v>
      </c>
      <c r="W1106" s="45">
        <v>3</v>
      </c>
      <c r="X1106" s="46">
        <v>650</v>
      </c>
      <c r="Y1106" s="46">
        <v>0</v>
      </c>
      <c r="Z1106" s="47">
        <f t="shared" si="111"/>
        <v>1950</v>
      </c>
      <c r="AA1106" s="48" t="s">
        <v>18</v>
      </c>
      <c r="AB1106"/>
    </row>
    <row r="1107" spans="1:28" x14ac:dyDescent="0.25">
      <c r="A1107" s="31" t="s">
        <v>1530</v>
      </c>
      <c r="B1107" s="31" t="s">
        <v>27</v>
      </c>
      <c r="C1107" s="32" t="str">
        <f t="shared" si="112"/>
        <v>Roberto Santos</v>
      </c>
      <c r="D1107" s="38" t="s">
        <v>401</v>
      </c>
      <c r="E1107" s="33">
        <f t="shared" si="113"/>
        <v>45772</v>
      </c>
      <c r="F1107" s="32" t="s">
        <v>29</v>
      </c>
      <c r="G1107" s="32" t="str">
        <f t="shared" si="114"/>
        <v>Camila Rocha</v>
      </c>
      <c r="H1107" s="32" t="s">
        <v>16</v>
      </c>
      <c r="I1107" s="32" t="s">
        <v>103</v>
      </c>
      <c r="J1107" s="34">
        <v>1</v>
      </c>
      <c r="K1107" s="35">
        <v>89</v>
      </c>
      <c r="L1107" s="35">
        <v>0</v>
      </c>
      <c r="M1107" s="36">
        <f t="shared" si="110"/>
        <v>89</v>
      </c>
      <c r="N1107" s="32" t="s">
        <v>65</v>
      </c>
      <c r="Q1107" s="49" t="s">
        <v>1530</v>
      </c>
      <c r="R1107" s="49" t="s">
        <v>27</v>
      </c>
      <c r="S1107" s="58">
        <f t="shared" si="115"/>
        <v>45772</v>
      </c>
      <c r="T1107" s="51" t="s">
        <v>29</v>
      </c>
      <c r="U1107" s="50" t="s">
        <v>16</v>
      </c>
      <c r="V1107" s="52" t="s">
        <v>103</v>
      </c>
      <c r="W1107" s="53">
        <v>1</v>
      </c>
      <c r="X1107" s="54">
        <v>89</v>
      </c>
      <c r="Y1107" s="54">
        <v>0</v>
      </c>
      <c r="Z1107" s="55">
        <f t="shared" si="111"/>
        <v>89</v>
      </c>
      <c r="AA1107" s="56" t="s">
        <v>65</v>
      </c>
      <c r="AB1107"/>
    </row>
    <row r="1108" spans="1:28" x14ac:dyDescent="0.25">
      <c r="A1108" s="26" t="s">
        <v>1531</v>
      </c>
      <c r="B1108" s="26" t="s">
        <v>71</v>
      </c>
      <c r="C1108" s="26" t="str">
        <f t="shared" si="112"/>
        <v>Juliana Costa</v>
      </c>
      <c r="D1108" s="37" t="s">
        <v>549</v>
      </c>
      <c r="E1108" s="27">
        <f t="shared" si="113"/>
        <v>45950</v>
      </c>
      <c r="F1108" s="26" t="s">
        <v>15</v>
      </c>
      <c r="G1108" s="26" t="str">
        <f t="shared" si="114"/>
        <v>Larissa Dias</v>
      </c>
      <c r="H1108" s="26" t="s">
        <v>30</v>
      </c>
      <c r="I1108" s="26" t="s">
        <v>68</v>
      </c>
      <c r="J1108" s="28">
        <v>1</v>
      </c>
      <c r="K1108" s="29">
        <v>799</v>
      </c>
      <c r="L1108" s="29">
        <v>92.28</v>
      </c>
      <c r="M1108" s="30">
        <f t="shared" si="110"/>
        <v>706.72</v>
      </c>
      <c r="N1108" s="26" t="s">
        <v>89</v>
      </c>
      <c r="Q1108" s="42" t="s">
        <v>1531</v>
      </c>
      <c r="R1108" s="42" t="s">
        <v>71</v>
      </c>
      <c r="S1108" s="57">
        <f t="shared" si="115"/>
        <v>45950</v>
      </c>
      <c r="T1108" s="44" t="s">
        <v>15</v>
      </c>
      <c r="U1108" s="43" t="s">
        <v>30</v>
      </c>
      <c r="V1108" s="42" t="s">
        <v>68</v>
      </c>
      <c r="W1108" s="45">
        <v>1</v>
      </c>
      <c r="X1108" s="46">
        <v>799</v>
      </c>
      <c r="Y1108" s="46">
        <v>92.28</v>
      </c>
      <c r="Z1108" s="47">
        <f t="shared" si="111"/>
        <v>706.72</v>
      </c>
      <c r="AA1108" s="48" t="s">
        <v>89</v>
      </c>
      <c r="AB1108"/>
    </row>
    <row r="1109" spans="1:28" x14ac:dyDescent="0.25">
      <c r="A1109" s="31" t="s">
        <v>1532</v>
      </c>
      <c r="B1109" s="31" t="s">
        <v>55</v>
      </c>
      <c r="C1109" s="32" t="str">
        <f t="shared" si="112"/>
        <v>Ricardo Carvalho</v>
      </c>
      <c r="D1109" s="38" t="s">
        <v>60</v>
      </c>
      <c r="E1109" s="33">
        <f t="shared" si="113"/>
        <v>45763</v>
      </c>
      <c r="F1109" s="32" t="s">
        <v>15</v>
      </c>
      <c r="G1109" s="32" t="str">
        <f t="shared" si="114"/>
        <v>Larissa Dias</v>
      </c>
      <c r="H1109" s="32" t="s">
        <v>52</v>
      </c>
      <c r="I1109" s="32" t="s">
        <v>61</v>
      </c>
      <c r="J1109" s="34">
        <v>4</v>
      </c>
      <c r="K1109" s="35">
        <v>199</v>
      </c>
      <c r="L1109" s="35">
        <v>0</v>
      </c>
      <c r="M1109" s="36">
        <f t="shared" si="110"/>
        <v>796</v>
      </c>
      <c r="N1109" s="32" t="s">
        <v>25</v>
      </c>
      <c r="Q1109" s="49" t="s">
        <v>1532</v>
      </c>
      <c r="R1109" s="49" t="s">
        <v>55</v>
      </c>
      <c r="S1109" s="58">
        <f t="shared" si="115"/>
        <v>45763</v>
      </c>
      <c r="T1109" s="51" t="s">
        <v>15</v>
      </c>
      <c r="U1109" s="50" t="s">
        <v>52</v>
      </c>
      <c r="V1109" s="52" t="s">
        <v>61</v>
      </c>
      <c r="W1109" s="53">
        <v>4</v>
      </c>
      <c r="X1109" s="54">
        <v>199</v>
      </c>
      <c r="Y1109" s="54">
        <v>0</v>
      </c>
      <c r="Z1109" s="55">
        <f t="shared" si="111"/>
        <v>796</v>
      </c>
      <c r="AA1109" s="56" t="s">
        <v>25</v>
      </c>
      <c r="AB1109"/>
    </row>
    <row r="1110" spans="1:28" x14ac:dyDescent="0.25">
      <c r="A1110" s="26" t="s">
        <v>1533</v>
      </c>
      <c r="B1110" s="26" t="s">
        <v>20</v>
      </c>
      <c r="C1110" s="26" t="str">
        <f t="shared" si="112"/>
        <v>Beatriz Ribeiro</v>
      </c>
      <c r="D1110" s="37" t="s">
        <v>223</v>
      </c>
      <c r="E1110" s="27">
        <f t="shared" si="113"/>
        <v>46021</v>
      </c>
      <c r="F1110" s="26" t="s">
        <v>29</v>
      </c>
      <c r="G1110" s="26" t="str">
        <f t="shared" si="114"/>
        <v>Camila Rocha</v>
      </c>
      <c r="H1110" s="26" t="s">
        <v>16</v>
      </c>
      <c r="I1110" s="26" t="s">
        <v>78</v>
      </c>
      <c r="J1110" s="28">
        <v>1</v>
      </c>
      <c r="K1110" s="29">
        <v>59</v>
      </c>
      <c r="L1110" s="29">
        <v>0</v>
      </c>
      <c r="M1110" s="30">
        <f t="shared" si="110"/>
        <v>59</v>
      </c>
      <c r="N1110" s="26" t="s">
        <v>65</v>
      </c>
      <c r="Q1110" s="42" t="s">
        <v>1533</v>
      </c>
      <c r="R1110" s="42" t="s">
        <v>20</v>
      </c>
      <c r="S1110" s="57">
        <f t="shared" si="115"/>
        <v>46021</v>
      </c>
      <c r="T1110" s="44" t="s">
        <v>29</v>
      </c>
      <c r="U1110" s="43" t="s">
        <v>16</v>
      </c>
      <c r="V1110" s="42" t="s">
        <v>78</v>
      </c>
      <c r="W1110" s="45">
        <v>1</v>
      </c>
      <c r="X1110" s="46">
        <v>59</v>
      </c>
      <c r="Y1110" s="46">
        <v>0</v>
      </c>
      <c r="Z1110" s="47">
        <f t="shared" si="111"/>
        <v>59</v>
      </c>
      <c r="AA1110" s="48" t="s">
        <v>65</v>
      </c>
      <c r="AB1110"/>
    </row>
    <row r="1111" spans="1:28" x14ac:dyDescent="0.25">
      <c r="A1111" s="31" t="s">
        <v>1534</v>
      </c>
      <c r="B1111" s="31" t="s">
        <v>41</v>
      </c>
      <c r="C1111" s="32" t="str">
        <f t="shared" si="112"/>
        <v>João Pereira</v>
      </c>
      <c r="D1111" s="38" t="s">
        <v>599</v>
      </c>
      <c r="E1111" s="33">
        <f t="shared" si="113"/>
        <v>45944</v>
      </c>
      <c r="F1111" s="32" t="s">
        <v>39</v>
      </c>
      <c r="G1111" s="32" t="str">
        <f t="shared" si="114"/>
        <v>Rodrigo Mello</v>
      </c>
      <c r="H1111" s="32" t="s">
        <v>23</v>
      </c>
      <c r="I1111" s="32" t="s">
        <v>43</v>
      </c>
      <c r="J1111" s="34">
        <v>2</v>
      </c>
      <c r="K1111" s="35">
        <v>350</v>
      </c>
      <c r="L1111" s="35">
        <v>71.5</v>
      </c>
      <c r="M1111" s="36">
        <f t="shared" si="110"/>
        <v>628.5</v>
      </c>
      <c r="N1111" s="32" t="s">
        <v>69</v>
      </c>
      <c r="Q1111" s="49" t="s">
        <v>1534</v>
      </c>
      <c r="R1111" s="49" t="s">
        <v>41</v>
      </c>
      <c r="S1111" s="58">
        <f t="shared" si="115"/>
        <v>45944</v>
      </c>
      <c r="T1111" s="51" t="s">
        <v>39</v>
      </c>
      <c r="U1111" s="50" t="s">
        <v>23</v>
      </c>
      <c r="V1111" s="52" t="s">
        <v>43</v>
      </c>
      <c r="W1111" s="53">
        <v>2</v>
      </c>
      <c r="X1111" s="54">
        <v>350</v>
      </c>
      <c r="Y1111" s="54">
        <v>71.5</v>
      </c>
      <c r="Z1111" s="55">
        <f t="shared" si="111"/>
        <v>628.5</v>
      </c>
      <c r="AA1111" s="56" t="s">
        <v>69</v>
      </c>
      <c r="AB1111"/>
    </row>
    <row r="1112" spans="1:28" x14ac:dyDescent="0.25">
      <c r="A1112" s="26" t="s">
        <v>1535</v>
      </c>
      <c r="B1112" s="26" t="s">
        <v>55</v>
      </c>
      <c r="C1112" s="26" t="str">
        <f t="shared" si="112"/>
        <v>Ricardo Carvalho</v>
      </c>
      <c r="D1112" s="37" t="s">
        <v>497</v>
      </c>
      <c r="E1112" s="27">
        <f t="shared" si="113"/>
        <v>45679</v>
      </c>
      <c r="F1112" s="26" t="s">
        <v>39</v>
      </c>
      <c r="G1112" s="26" t="str">
        <f t="shared" si="114"/>
        <v>Rodrigo Mello</v>
      </c>
      <c r="H1112" s="26" t="s">
        <v>30</v>
      </c>
      <c r="I1112" s="26" t="s">
        <v>31</v>
      </c>
      <c r="J1112" s="28">
        <v>1</v>
      </c>
      <c r="K1112" s="29">
        <v>2500</v>
      </c>
      <c r="L1112" s="29">
        <v>197.65</v>
      </c>
      <c r="M1112" s="30">
        <f t="shared" si="110"/>
        <v>2302.35</v>
      </c>
      <c r="N1112" s="26" t="s">
        <v>32</v>
      </c>
      <c r="Q1112" s="42" t="s">
        <v>1535</v>
      </c>
      <c r="R1112" s="42" t="s">
        <v>55</v>
      </c>
      <c r="S1112" s="57">
        <f t="shared" si="115"/>
        <v>45679</v>
      </c>
      <c r="T1112" s="44" t="s">
        <v>39</v>
      </c>
      <c r="U1112" s="43" t="s">
        <v>30</v>
      </c>
      <c r="V1112" s="42" t="s">
        <v>31</v>
      </c>
      <c r="W1112" s="45">
        <v>1</v>
      </c>
      <c r="X1112" s="46">
        <v>2500</v>
      </c>
      <c r="Y1112" s="46">
        <v>197.65</v>
      </c>
      <c r="Z1112" s="47">
        <f t="shared" si="111"/>
        <v>2302.35</v>
      </c>
      <c r="AA1112" s="48" t="s">
        <v>32</v>
      </c>
      <c r="AB1112"/>
    </row>
    <row r="1113" spans="1:28" x14ac:dyDescent="0.25">
      <c r="A1113" s="31" t="s">
        <v>1536</v>
      </c>
      <c r="B1113" s="31" t="s">
        <v>110</v>
      </c>
      <c r="C1113" s="32" t="str">
        <f t="shared" si="112"/>
        <v>Fernanda Lima</v>
      </c>
      <c r="D1113" s="38" t="s">
        <v>638</v>
      </c>
      <c r="E1113" s="33">
        <f t="shared" si="113"/>
        <v>45752</v>
      </c>
      <c r="F1113" s="32" t="s">
        <v>47</v>
      </c>
      <c r="G1113" s="32" t="str">
        <f t="shared" si="114"/>
        <v>Bruno Martins</v>
      </c>
      <c r="H1113" s="32" t="s">
        <v>23</v>
      </c>
      <c r="I1113" s="32" t="s">
        <v>24</v>
      </c>
      <c r="J1113" s="34">
        <v>1</v>
      </c>
      <c r="K1113" s="35">
        <v>180</v>
      </c>
      <c r="L1113" s="35">
        <v>24.59</v>
      </c>
      <c r="M1113" s="36">
        <f t="shared" si="110"/>
        <v>155.41</v>
      </c>
      <c r="N1113" s="32" t="s">
        <v>18</v>
      </c>
      <c r="Q1113" s="49" t="s">
        <v>1536</v>
      </c>
      <c r="R1113" s="49" t="s">
        <v>110</v>
      </c>
      <c r="S1113" s="58">
        <f t="shared" si="115"/>
        <v>45752</v>
      </c>
      <c r="T1113" s="51" t="s">
        <v>47</v>
      </c>
      <c r="U1113" s="50" t="s">
        <v>23</v>
      </c>
      <c r="V1113" s="52" t="s">
        <v>24</v>
      </c>
      <c r="W1113" s="53">
        <v>1</v>
      </c>
      <c r="X1113" s="54">
        <v>180</v>
      </c>
      <c r="Y1113" s="54">
        <v>24.59</v>
      </c>
      <c r="Z1113" s="55">
        <f t="shared" si="111"/>
        <v>155.41</v>
      </c>
      <c r="AA1113" s="56" t="s">
        <v>18</v>
      </c>
      <c r="AB1113"/>
    </row>
    <row r="1114" spans="1:28" x14ac:dyDescent="0.25">
      <c r="A1114" s="26" t="s">
        <v>1537</v>
      </c>
      <c r="B1114" s="26" t="s">
        <v>13</v>
      </c>
      <c r="C1114" s="26" t="str">
        <f t="shared" si="112"/>
        <v>Lucas Almeida</v>
      </c>
      <c r="D1114" s="37" t="s">
        <v>288</v>
      </c>
      <c r="E1114" s="27">
        <f t="shared" si="113"/>
        <v>45744</v>
      </c>
      <c r="F1114" s="26" t="s">
        <v>29</v>
      </c>
      <c r="G1114" s="26" t="str">
        <f t="shared" si="114"/>
        <v>Camila Rocha</v>
      </c>
      <c r="H1114" s="26" t="s">
        <v>30</v>
      </c>
      <c r="I1114" s="26" t="s">
        <v>152</v>
      </c>
      <c r="J1114" s="28">
        <v>2</v>
      </c>
      <c r="K1114" s="29">
        <v>4500</v>
      </c>
      <c r="L1114" s="29">
        <v>1249.77</v>
      </c>
      <c r="M1114" s="30">
        <f t="shared" si="110"/>
        <v>7750.23</v>
      </c>
      <c r="N1114" s="26" t="s">
        <v>49</v>
      </c>
      <c r="Q1114" s="42" t="s">
        <v>1537</v>
      </c>
      <c r="R1114" s="42" t="s">
        <v>13</v>
      </c>
      <c r="S1114" s="57">
        <f t="shared" si="115"/>
        <v>45744</v>
      </c>
      <c r="T1114" s="44" t="s">
        <v>29</v>
      </c>
      <c r="U1114" s="43" t="s">
        <v>30</v>
      </c>
      <c r="V1114" s="42" t="s">
        <v>152</v>
      </c>
      <c r="W1114" s="45">
        <v>2</v>
      </c>
      <c r="X1114" s="46">
        <v>4500</v>
      </c>
      <c r="Y1114" s="46">
        <v>1249.77</v>
      </c>
      <c r="Z1114" s="47">
        <f t="shared" si="111"/>
        <v>7750.23</v>
      </c>
      <c r="AA1114" s="48" t="s">
        <v>49</v>
      </c>
      <c r="AB1114"/>
    </row>
    <row r="1115" spans="1:28" x14ac:dyDescent="0.25">
      <c r="A1115" s="31" t="s">
        <v>1538</v>
      </c>
      <c r="B1115" s="31" t="s">
        <v>101</v>
      </c>
      <c r="C1115" s="32" t="str">
        <f t="shared" si="112"/>
        <v>Ana Souza</v>
      </c>
      <c r="D1115" s="38" t="s">
        <v>307</v>
      </c>
      <c r="E1115" s="33">
        <f t="shared" si="113"/>
        <v>45822</v>
      </c>
      <c r="F1115" s="32" t="s">
        <v>15</v>
      </c>
      <c r="G1115" s="32" t="str">
        <f t="shared" si="114"/>
        <v>Larissa Dias</v>
      </c>
      <c r="H1115" s="32" t="s">
        <v>23</v>
      </c>
      <c r="I1115" s="32" t="s">
        <v>48</v>
      </c>
      <c r="J1115" s="34">
        <v>4</v>
      </c>
      <c r="K1115" s="35">
        <v>450</v>
      </c>
      <c r="L1115" s="35">
        <v>0</v>
      </c>
      <c r="M1115" s="36">
        <f t="shared" si="110"/>
        <v>1800</v>
      </c>
      <c r="N1115" s="32" t="s">
        <v>65</v>
      </c>
      <c r="Q1115" s="49" t="s">
        <v>1538</v>
      </c>
      <c r="R1115" s="49" t="s">
        <v>101</v>
      </c>
      <c r="S1115" s="58">
        <f t="shared" si="115"/>
        <v>45822</v>
      </c>
      <c r="T1115" s="51" t="s">
        <v>15</v>
      </c>
      <c r="U1115" s="50" t="s">
        <v>23</v>
      </c>
      <c r="V1115" s="52" t="s">
        <v>48</v>
      </c>
      <c r="W1115" s="53">
        <v>4</v>
      </c>
      <c r="X1115" s="54">
        <v>450</v>
      </c>
      <c r="Y1115" s="54">
        <v>0</v>
      </c>
      <c r="Z1115" s="55">
        <f t="shared" si="111"/>
        <v>1800</v>
      </c>
      <c r="AA1115" s="56" t="s">
        <v>65</v>
      </c>
      <c r="AB1115"/>
    </row>
    <row r="1116" spans="1:28" x14ac:dyDescent="0.25">
      <c r="A1116" s="26" t="s">
        <v>1539</v>
      </c>
      <c r="B1116" s="26" t="s">
        <v>101</v>
      </c>
      <c r="C1116" s="26" t="str">
        <f t="shared" si="112"/>
        <v>Ana Souza</v>
      </c>
      <c r="D1116" s="37" t="s">
        <v>126</v>
      </c>
      <c r="E1116" s="27">
        <f t="shared" si="113"/>
        <v>45861</v>
      </c>
      <c r="F1116" s="26" t="s">
        <v>22</v>
      </c>
      <c r="G1116" s="26" t="str">
        <f t="shared" si="114"/>
        <v>Amanda Costa</v>
      </c>
      <c r="H1116" s="26" t="s">
        <v>23</v>
      </c>
      <c r="I1116" s="26" t="s">
        <v>43</v>
      </c>
      <c r="J1116" s="28">
        <v>1</v>
      </c>
      <c r="K1116" s="29">
        <v>350</v>
      </c>
      <c r="L1116" s="29">
        <v>0</v>
      </c>
      <c r="M1116" s="30">
        <f t="shared" si="110"/>
        <v>350</v>
      </c>
      <c r="N1116" s="26" t="s">
        <v>44</v>
      </c>
      <c r="Q1116" s="42" t="s">
        <v>1539</v>
      </c>
      <c r="R1116" s="42" t="s">
        <v>101</v>
      </c>
      <c r="S1116" s="57">
        <f t="shared" si="115"/>
        <v>45861</v>
      </c>
      <c r="T1116" s="44" t="s">
        <v>22</v>
      </c>
      <c r="U1116" s="43" t="s">
        <v>23</v>
      </c>
      <c r="V1116" s="42" t="s">
        <v>43</v>
      </c>
      <c r="W1116" s="45">
        <v>1</v>
      </c>
      <c r="X1116" s="46">
        <v>350</v>
      </c>
      <c r="Y1116" s="46">
        <v>0</v>
      </c>
      <c r="Z1116" s="47">
        <f t="shared" si="111"/>
        <v>350</v>
      </c>
      <c r="AA1116" s="48" t="s">
        <v>44</v>
      </c>
      <c r="AB1116"/>
    </row>
    <row r="1117" spans="1:28" x14ac:dyDescent="0.25">
      <c r="A1117" s="31" t="s">
        <v>1540</v>
      </c>
      <c r="B1117" s="31" t="s">
        <v>41</v>
      </c>
      <c r="C1117" s="32" t="str">
        <f t="shared" si="112"/>
        <v>João Pereira</v>
      </c>
      <c r="D1117" s="38" t="s">
        <v>98</v>
      </c>
      <c r="E1117" s="33">
        <f t="shared" si="113"/>
        <v>45666</v>
      </c>
      <c r="F1117" s="32" t="s">
        <v>47</v>
      </c>
      <c r="G1117" s="32" t="str">
        <f t="shared" si="114"/>
        <v>Bruno Martins</v>
      </c>
      <c r="H1117" s="32" t="s">
        <v>23</v>
      </c>
      <c r="I1117" s="32" t="s">
        <v>48</v>
      </c>
      <c r="J1117" s="34">
        <v>3</v>
      </c>
      <c r="K1117" s="35">
        <v>450</v>
      </c>
      <c r="L1117" s="35">
        <v>0</v>
      </c>
      <c r="M1117" s="36">
        <f t="shared" si="110"/>
        <v>1350</v>
      </c>
      <c r="N1117" s="32" t="s">
        <v>49</v>
      </c>
      <c r="Q1117" s="49" t="s">
        <v>1540</v>
      </c>
      <c r="R1117" s="49" t="s">
        <v>41</v>
      </c>
      <c r="S1117" s="58">
        <f t="shared" si="115"/>
        <v>45666</v>
      </c>
      <c r="T1117" s="51" t="s">
        <v>47</v>
      </c>
      <c r="U1117" s="50" t="s">
        <v>23</v>
      </c>
      <c r="V1117" s="52" t="s">
        <v>48</v>
      </c>
      <c r="W1117" s="53">
        <v>3</v>
      </c>
      <c r="X1117" s="54">
        <v>450</v>
      </c>
      <c r="Y1117" s="54">
        <v>0</v>
      </c>
      <c r="Z1117" s="55">
        <f t="shared" si="111"/>
        <v>1350</v>
      </c>
      <c r="AA1117" s="56" t="s">
        <v>49</v>
      </c>
      <c r="AB1117"/>
    </row>
    <row r="1118" spans="1:28" x14ac:dyDescent="0.25">
      <c r="A1118" s="26" t="s">
        <v>1541</v>
      </c>
      <c r="B1118" s="26" t="s">
        <v>34</v>
      </c>
      <c r="C1118" s="26" t="str">
        <f t="shared" si="112"/>
        <v>Carlos Silva</v>
      </c>
      <c r="D1118" s="37" t="s">
        <v>1542</v>
      </c>
      <c r="E1118" s="27">
        <f t="shared" si="113"/>
        <v>45737</v>
      </c>
      <c r="F1118" s="26" t="s">
        <v>39</v>
      </c>
      <c r="G1118" s="26" t="str">
        <f t="shared" si="114"/>
        <v>Rodrigo Mello</v>
      </c>
      <c r="H1118" s="26" t="s">
        <v>52</v>
      </c>
      <c r="I1118" s="26" t="s">
        <v>61</v>
      </c>
      <c r="J1118" s="28">
        <v>3</v>
      </c>
      <c r="K1118" s="29">
        <v>199</v>
      </c>
      <c r="L1118" s="29">
        <v>0</v>
      </c>
      <c r="M1118" s="30">
        <f t="shared" si="110"/>
        <v>597</v>
      </c>
      <c r="N1118" s="26" t="s">
        <v>18</v>
      </c>
      <c r="Q1118" s="42" t="s">
        <v>1541</v>
      </c>
      <c r="R1118" s="42" t="s">
        <v>34</v>
      </c>
      <c r="S1118" s="57">
        <f t="shared" si="115"/>
        <v>45737</v>
      </c>
      <c r="T1118" s="44" t="s">
        <v>39</v>
      </c>
      <c r="U1118" s="43" t="s">
        <v>52</v>
      </c>
      <c r="V1118" s="42" t="s">
        <v>61</v>
      </c>
      <c r="W1118" s="45">
        <v>3</v>
      </c>
      <c r="X1118" s="46">
        <v>199</v>
      </c>
      <c r="Y1118" s="46">
        <v>0</v>
      </c>
      <c r="Z1118" s="47">
        <f t="shared" si="111"/>
        <v>597</v>
      </c>
      <c r="AA1118" s="48" t="s">
        <v>18</v>
      </c>
      <c r="AB1118"/>
    </row>
    <row r="1119" spans="1:28" x14ac:dyDescent="0.25">
      <c r="A1119" s="31" t="s">
        <v>1543</v>
      </c>
      <c r="B1119" s="31" t="s">
        <v>41</v>
      </c>
      <c r="C1119" s="32" t="str">
        <f t="shared" si="112"/>
        <v>João Pereira</v>
      </c>
      <c r="D1119" s="38" t="s">
        <v>190</v>
      </c>
      <c r="E1119" s="33">
        <f t="shared" si="113"/>
        <v>45928</v>
      </c>
      <c r="F1119" s="32" t="s">
        <v>22</v>
      </c>
      <c r="G1119" s="32" t="str">
        <f t="shared" si="114"/>
        <v>Amanda Costa</v>
      </c>
      <c r="H1119" s="32" t="s">
        <v>16</v>
      </c>
      <c r="I1119" s="32" t="s">
        <v>103</v>
      </c>
      <c r="J1119" s="34">
        <v>3</v>
      </c>
      <c r="K1119" s="35">
        <v>89</v>
      </c>
      <c r="L1119" s="35">
        <v>33.229999999999997</v>
      </c>
      <c r="M1119" s="36">
        <f t="shared" si="110"/>
        <v>233.77</v>
      </c>
      <c r="N1119" s="32" t="s">
        <v>49</v>
      </c>
      <c r="Q1119" s="49" t="s">
        <v>1543</v>
      </c>
      <c r="R1119" s="49" t="s">
        <v>41</v>
      </c>
      <c r="S1119" s="58">
        <f t="shared" si="115"/>
        <v>45928</v>
      </c>
      <c r="T1119" s="51" t="s">
        <v>22</v>
      </c>
      <c r="U1119" s="50" t="s">
        <v>16</v>
      </c>
      <c r="V1119" s="52" t="s">
        <v>103</v>
      </c>
      <c r="W1119" s="53">
        <v>3</v>
      </c>
      <c r="X1119" s="54">
        <v>89</v>
      </c>
      <c r="Y1119" s="54">
        <v>33.229999999999997</v>
      </c>
      <c r="Z1119" s="55">
        <f t="shared" si="111"/>
        <v>233.77</v>
      </c>
      <c r="AA1119" s="56" t="s">
        <v>49</v>
      </c>
      <c r="AB1119"/>
    </row>
    <row r="1120" spans="1:28" x14ac:dyDescent="0.25">
      <c r="A1120" s="26" t="s">
        <v>1544</v>
      </c>
      <c r="B1120" s="26" t="s">
        <v>63</v>
      </c>
      <c r="C1120" s="26" t="str">
        <f t="shared" si="112"/>
        <v>Marcos Rodrigues</v>
      </c>
      <c r="D1120" s="37" t="s">
        <v>684</v>
      </c>
      <c r="E1120" s="27">
        <f t="shared" si="113"/>
        <v>45756</v>
      </c>
      <c r="F1120" s="26" t="s">
        <v>39</v>
      </c>
      <c r="G1120" s="26" t="str">
        <f t="shared" si="114"/>
        <v>Rodrigo Mello</v>
      </c>
      <c r="H1120" s="26" t="s">
        <v>23</v>
      </c>
      <c r="I1120" s="26" t="s">
        <v>43</v>
      </c>
      <c r="J1120" s="28">
        <v>5</v>
      </c>
      <c r="K1120" s="29">
        <v>350</v>
      </c>
      <c r="L1120" s="29">
        <v>0</v>
      </c>
      <c r="M1120" s="30">
        <f t="shared" si="110"/>
        <v>1750</v>
      </c>
      <c r="N1120" s="26" t="s">
        <v>18</v>
      </c>
      <c r="Q1120" s="42" t="s">
        <v>1544</v>
      </c>
      <c r="R1120" s="42" t="s">
        <v>63</v>
      </c>
      <c r="S1120" s="57">
        <f t="shared" si="115"/>
        <v>45756</v>
      </c>
      <c r="T1120" s="44" t="s">
        <v>39</v>
      </c>
      <c r="U1120" s="43" t="s">
        <v>23</v>
      </c>
      <c r="V1120" s="42" t="s">
        <v>43</v>
      </c>
      <c r="W1120" s="45">
        <v>5</v>
      </c>
      <c r="X1120" s="46">
        <v>350</v>
      </c>
      <c r="Y1120" s="46">
        <v>0</v>
      </c>
      <c r="Z1120" s="47">
        <f t="shared" si="111"/>
        <v>1750</v>
      </c>
      <c r="AA1120" s="48" t="s">
        <v>18</v>
      </c>
      <c r="AB1120"/>
    </row>
    <row r="1121" spans="1:28" x14ac:dyDescent="0.25">
      <c r="A1121" s="31" t="s">
        <v>1545</v>
      </c>
      <c r="B1121" s="31" t="s">
        <v>37</v>
      </c>
      <c r="C1121" s="32" t="str">
        <f t="shared" si="112"/>
        <v>Patricia Gomes</v>
      </c>
      <c r="D1121" s="38" t="s">
        <v>275</v>
      </c>
      <c r="E1121" s="33">
        <f t="shared" si="113"/>
        <v>45795</v>
      </c>
      <c r="F1121" s="32" t="s">
        <v>29</v>
      </c>
      <c r="G1121" s="32" t="str">
        <f t="shared" si="114"/>
        <v>Camila Rocha</v>
      </c>
      <c r="H1121" s="32" t="s">
        <v>52</v>
      </c>
      <c r="I1121" s="32" t="s">
        <v>75</v>
      </c>
      <c r="J1121" s="34">
        <v>1</v>
      </c>
      <c r="K1121" s="35">
        <v>249</v>
      </c>
      <c r="L1121" s="35">
        <v>8.74</v>
      </c>
      <c r="M1121" s="36">
        <f t="shared" si="110"/>
        <v>240.26</v>
      </c>
      <c r="N1121" s="32" t="s">
        <v>89</v>
      </c>
      <c r="Q1121" s="49" t="s">
        <v>1545</v>
      </c>
      <c r="R1121" s="49" t="s">
        <v>37</v>
      </c>
      <c r="S1121" s="58">
        <f t="shared" si="115"/>
        <v>45795</v>
      </c>
      <c r="T1121" s="51" t="s">
        <v>29</v>
      </c>
      <c r="U1121" s="50" t="s">
        <v>52</v>
      </c>
      <c r="V1121" s="52" t="s">
        <v>75</v>
      </c>
      <c r="W1121" s="53">
        <v>1</v>
      </c>
      <c r="X1121" s="54">
        <v>249</v>
      </c>
      <c r="Y1121" s="54">
        <v>8.74</v>
      </c>
      <c r="Z1121" s="55">
        <f t="shared" si="111"/>
        <v>240.26</v>
      </c>
      <c r="AA1121" s="56" t="s">
        <v>89</v>
      </c>
      <c r="AB1121"/>
    </row>
    <row r="1122" spans="1:28" x14ac:dyDescent="0.25">
      <c r="A1122" s="26" t="s">
        <v>1546</v>
      </c>
      <c r="B1122" s="26" t="s">
        <v>37</v>
      </c>
      <c r="C1122" s="26" t="str">
        <f t="shared" si="112"/>
        <v>Patricia Gomes</v>
      </c>
      <c r="D1122" s="37" t="s">
        <v>539</v>
      </c>
      <c r="E1122" s="27">
        <f t="shared" si="113"/>
        <v>46011</v>
      </c>
      <c r="F1122" s="26" t="s">
        <v>29</v>
      </c>
      <c r="G1122" s="26" t="str">
        <f t="shared" si="114"/>
        <v>Camila Rocha</v>
      </c>
      <c r="H1122" s="26" t="s">
        <v>30</v>
      </c>
      <c r="I1122" s="26" t="s">
        <v>68</v>
      </c>
      <c r="J1122" s="28">
        <v>2</v>
      </c>
      <c r="K1122" s="29">
        <v>799</v>
      </c>
      <c r="L1122" s="29">
        <v>0</v>
      </c>
      <c r="M1122" s="30">
        <f t="shared" si="110"/>
        <v>1598</v>
      </c>
      <c r="N1122" s="26" t="s">
        <v>69</v>
      </c>
      <c r="Q1122" s="42" t="s">
        <v>1546</v>
      </c>
      <c r="R1122" s="42" t="s">
        <v>37</v>
      </c>
      <c r="S1122" s="57">
        <f t="shared" si="115"/>
        <v>46011</v>
      </c>
      <c r="T1122" s="44" t="s">
        <v>29</v>
      </c>
      <c r="U1122" s="43" t="s">
        <v>30</v>
      </c>
      <c r="V1122" s="42" t="s">
        <v>68</v>
      </c>
      <c r="W1122" s="45">
        <v>2</v>
      </c>
      <c r="X1122" s="46">
        <v>799</v>
      </c>
      <c r="Y1122" s="46">
        <v>0</v>
      </c>
      <c r="Z1122" s="47">
        <f t="shared" si="111"/>
        <v>1598</v>
      </c>
      <c r="AA1122" s="48" t="s">
        <v>69</v>
      </c>
      <c r="AB1122"/>
    </row>
    <row r="1123" spans="1:28" x14ac:dyDescent="0.25">
      <c r="A1123" s="31" t="s">
        <v>1547</v>
      </c>
      <c r="B1123" s="31" t="s">
        <v>34</v>
      </c>
      <c r="C1123" s="32" t="str">
        <f t="shared" si="112"/>
        <v>Carlos Silva</v>
      </c>
      <c r="D1123" s="38" t="s">
        <v>309</v>
      </c>
      <c r="E1123" s="33">
        <f t="shared" si="113"/>
        <v>45868</v>
      </c>
      <c r="F1123" s="32" t="s">
        <v>47</v>
      </c>
      <c r="G1123" s="32" t="str">
        <f t="shared" si="114"/>
        <v>Bruno Martins</v>
      </c>
      <c r="H1123" s="32" t="s">
        <v>23</v>
      </c>
      <c r="I1123" s="32" t="s">
        <v>24</v>
      </c>
      <c r="J1123" s="34">
        <v>2</v>
      </c>
      <c r="K1123" s="35">
        <v>180</v>
      </c>
      <c r="L1123" s="35">
        <v>32.799999999999997</v>
      </c>
      <c r="M1123" s="36">
        <f t="shared" si="110"/>
        <v>327.2</v>
      </c>
      <c r="N1123" s="32" t="s">
        <v>25</v>
      </c>
      <c r="Q1123" s="49" t="s">
        <v>1547</v>
      </c>
      <c r="R1123" s="49" t="s">
        <v>34</v>
      </c>
      <c r="S1123" s="58">
        <f t="shared" si="115"/>
        <v>45868</v>
      </c>
      <c r="T1123" s="51" t="s">
        <v>47</v>
      </c>
      <c r="U1123" s="50" t="s">
        <v>23</v>
      </c>
      <c r="V1123" s="52" t="s">
        <v>24</v>
      </c>
      <c r="W1123" s="53">
        <v>2</v>
      </c>
      <c r="X1123" s="54">
        <v>180</v>
      </c>
      <c r="Y1123" s="54">
        <v>32.799999999999997</v>
      </c>
      <c r="Z1123" s="55">
        <f t="shared" si="111"/>
        <v>327.2</v>
      </c>
      <c r="AA1123" s="56" t="s">
        <v>25</v>
      </c>
      <c r="AB1123"/>
    </row>
    <row r="1124" spans="1:28" x14ac:dyDescent="0.25">
      <c r="A1124" s="26" t="s">
        <v>1548</v>
      </c>
      <c r="B1124" s="26" t="s">
        <v>20</v>
      </c>
      <c r="C1124" s="26" t="str">
        <f t="shared" si="112"/>
        <v>Beatriz Ribeiro</v>
      </c>
      <c r="D1124" s="37" t="s">
        <v>1265</v>
      </c>
      <c r="E1124" s="27">
        <f t="shared" si="113"/>
        <v>45948</v>
      </c>
      <c r="F1124" s="26" t="s">
        <v>15</v>
      </c>
      <c r="G1124" s="26" t="str">
        <f t="shared" si="114"/>
        <v>Larissa Dias</v>
      </c>
      <c r="H1124" s="26" t="s">
        <v>30</v>
      </c>
      <c r="I1124" s="26" t="s">
        <v>152</v>
      </c>
      <c r="J1124" s="28">
        <v>1</v>
      </c>
      <c r="K1124" s="29">
        <v>4500</v>
      </c>
      <c r="L1124" s="29">
        <v>0</v>
      </c>
      <c r="M1124" s="30">
        <f t="shared" si="110"/>
        <v>4500</v>
      </c>
      <c r="N1124" s="26" t="s">
        <v>44</v>
      </c>
      <c r="Q1124" s="42" t="s">
        <v>1548</v>
      </c>
      <c r="R1124" s="42" t="s">
        <v>20</v>
      </c>
      <c r="S1124" s="57">
        <f t="shared" si="115"/>
        <v>45948</v>
      </c>
      <c r="T1124" s="44" t="s">
        <v>15</v>
      </c>
      <c r="U1124" s="43" t="s">
        <v>30</v>
      </c>
      <c r="V1124" s="42" t="s">
        <v>152</v>
      </c>
      <c r="W1124" s="45">
        <v>1</v>
      </c>
      <c r="X1124" s="46">
        <v>4500</v>
      </c>
      <c r="Y1124" s="46">
        <v>0</v>
      </c>
      <c r="Z1124" s="47">
        <f t="shared" si="111"/>
        <v>4500</v>
      </c>
      <c r="AA1124" s="48" t="s">
        <v>44</v>
      </c>
      <c r="AB1124"/>
    </row>
    <row r="1125" spans="1:28" x14ac:dyDescent="0.25">
      <c r="A1125" s="31" t="s">
        <v>1549</v>
      </c>
      <c r="B1125" s="31" t="s">
        <v>95</v>
      </c>
      <c r="C1125" s="32" t="str">
        <f t="shared" si="112"/>
        <v>Maria Oliveira</v>
      </c>
      <c r="D1125" s="38" t="s">
        <v>909</v>
      </c>
      <c r="E1125" s="33">
        <f t="shared" si="113"/>
        <v>45864</v>
      </c>
      <c r="F1125" s="32" t="s">
        <v>39</v>
      </c>
      <c r="G1125" s="32" t="str">
        <f t="shared" si="114"/>
        <v>Rodrigo Mello</v>
      </c>
      <c r="H1125" s="32" t="s">
        <v>23</v>
      </c>
      <c r="I1125" s="32" t="s">
        <v>48</v>
      </c>
      <c r="J1125" s="34">
        <v>5</v>
      </c>
      <c r="K1125" s="35">
        <v>450</v>
      </c>
      <c r="L1125" s="35">
        <v>111.63</v>
      </c>
      <c r="M1125" s="36">
        <f t="shared" si="110"/>
        <v>2138.37</v>
      </c>
      <c r="N1125" s="32" t="s">
        <v>25</v>
      </c>
      <c r="Q1125" s="49" t="s">
        <v>1549</v>
      </c>
      <c r="R1125" s="49" t="s">
        <v>95</v>
      </c>
      <c r="S1125" s="58">
        <f t="shared" si="115"/>
        <v>45864</v>
      </c>
      <c r="T1125" s="51" t="s">
        <v>39</v>
      </c>
      <c r="U1125" s="50" t="s">
        <v>23</v>
      </c>
      <c r="V1125" s="52" t="s">
        <v>48</v>
      </c>
      <c r="W1125" s="53">
        <v>5</v>
      </c>
      <c r="X1125" s="54">
        <v>450</v>
      </c>
      <c r="Y1125" s="54">
        <v>111.63</v>
      </c>
      <c r="Z1125" s="55">
        <f t="shared" si="111"/>
        <v>2138.37</v>
      </c>
      <c r="AA1125" s="56" t="s">
        <v>25</v>
      </c>
      <c r="AB1125"/>
    </row>
    <row r="1126" spans="1:28" x14ac:dyDescent="0.25">
      <c r="A1126" s="26" t="s">
        <v>1550</v>
      </c>
      <c r="B1126" s="26" t="s">
        <v>41</v>
      </c>
      <c r="C1126" s="26" t="str">
        <f t="shared" si="112"/>
        <v>João Pereira</v>
      </c>
      <c r="D1126" s="37" t="s">
        <v>1691</v>
      </c>
      <c r="E1126" s="27">
        <f t="shared" si="113"/>
        <v>46023</v>
      </c>
      <c r="F1126" s="26" t="s">
        <v>29</v>
      </c>
      <c r="G1126" s="26" t="str">
        <f t="shared" si="114"/>
        <v>Camila Rocha</v>
      </c>
      <c r="H1126" s="26" t="s">
        <v>52</v>
      </c>
      <c r="I1126" s="26" t="s">
        <v>61</v>
      </c>
      <c r="J1126" s="28">
        <v>5</v>
      </c>
      <c r="K1126" s="29">
        <v>199</v>
      </c>
      <c r="L1126" s="29">
        <v>90.53</v>
      </c>
      <c r="M1126" s="30">
        <f t="shared" si="110"/>
        <v>904.47</v>
      </c>
      <c r="N1126" s="26" t="s">
        <v>25</v>
      </c>
      <c r="Q1126" s="42" t="s">
        <v>1550</v>
      </c>
      <c r="R1126" s="42" t="s">
        <v>41</v>
      </c>
      <c r="S1126" s="57">
        <f t="shared" si="115"/>
        <v>46023</v>
      </c>
      <c r="T1126" s="44" t="s">
        <v>29</v>
      </c>
      <c r="U1126" s="43" t="s">
        <v>52</v>
      </c>
      <c r="V1126" s="42" t="s">
        <v>61</v>
      </c>
      <c r="W1126" s="45">
        <v>5</v>
      </c>
      <c r="X1126" s="46">
        <v>199</v>
      </c>
      <c r="Y1126" s="46">
        <v>90.53</v>
      </c>
      <c r="Z1126" s="47">
        <f t="shared" si="111"/>
        <v>904.47</v>
      </c>
      <c r="AA1126" s="48" t="s">
        <v>25</v>
      </c>
      <c r="AB1126"/>
    </row>
    <row r="1127" spans="1:28" x14ac:dyDescent="0.25">
      <c r="A1127" s="31" t="s">
        <v>1551</v>
      </c>
      <c r="B1127" s="31" t="s">
        <v>55</v>
      </c>
      <c r="C1127" s="32" t="str">
        <f t="shared" si="112"/>
        <v>Ricardo Carvalho</v>
      </c>
      <c r="D1127" s="38" t="s">
        <v>355</v>
      </c>
      <c r="E1127" s="33">
        <f t="shared" si="113"/>
        <v>45895</v>
      </c>
      <c r="F1127" s="32" t="s">
        <v>47</v>
      </c>
      <c r="G1127" s="32" t="str">
        <f t="shared" si="114"/>
        <v>Bruno Martins</v>
      </c>
      <c r="H1127" s="32" t="s">
        <v>23</v>
      </c>
      <c r="I1127" s="32" t="s">
        <v>88</v>
      </c>
      <c r="J1127" s="34">
        <v>5</v>
      </c>
      <c r="K1127" s="35">
        <v>650</v>
      </c>
      <c r="L1127" s="35">
        <v>0</v>
      </c>
      <c r="M1127" s="36">
        <f t="shared" si="110"/>
        <v>3250</v>
      </c>
      <c r="N1127" s="32" t="s">
        <v>32</v>
      </c>
      <c r="Q1127" s="49" t="s">
        <v>1551</v>
      </c>
      <c r="R1127" s="49" t="s">
        <v>55</v>
      </c>
      <c r="S1127" s="58">
        <f t="shared" si="115"/>
        <v>45895</v>
      </c>
      <c r="T1127" s="51" t="s">
        <v>47</v>
      </c>
      <c r="U1127" s="50" t="s">
        <v>23</v>
      </c>
      <c r="V1127" s="52" t="s">
        <v>88</v>
      </c>
      <c r="W1127" s="53">
        <v>5</v>
      </c>
      <c r="X1127" s="54">
        <v>650</v>
      </c>
      <c r="Y1127" s="54">
        <v>0</v>
      </c>
      <c r="Z1127" s="55">
        <f t="shared" si="111"/>
        <v>3250</v>
      </c>
      <c r="AA1127" s="56" t="s">
        <v>32</v>
      </c>
      <c r="AB1127"/>
    </row>
    <row r="1128" spans="1:28" x14ac:dyDescent="0.25">
      <c r="A1128" s="26" t="s">
        <v>1552</v>
      </c>
      <c r="B1128" s="26" t="s">
        <v>13</v>
      </c>
      <c r="C1128" s="26" t="str">
        <f t="shared" si="112"/>
        <v>Lucas Almeida</v>
      </c>
      <c r="D1128" s="37" t="s">
        <v>1553</v>
      </c>
      <c r="E1128" s="27">
        <f t="shared" si="113"/>
        <v>46010</v>
      </c>
      <c r="F1128" s="26" t="s">
        <v>15</v>
      </c>
      <c r="G1128" s="26" t="str">
        <f t="shared" si="114"/>
        <v>Larissa Dias</v>
      </c>
      <c r="H1128" s="26" t="s">
        <v>16</v>
      </c>
      <c r="I1128" s="26" t="s">
        <v>103</v>
      </c>
      <c r="J1128" s="28">
        <v>3</v>
      </c>
      <c r="K1128" s="29">
        <v>89</v>
      </c>
      <c r="L1128" s="29">
        <v>4.68</v>
      </c>
      <c r="M1128" s="30">
        <f t="shared" si="110"/>
        <v>262.32</v>
      </c>
      <c r="N1128" s="26" t="s">
        <v>49</v>
      </c>
      <c r="Q1128" s="42" t="s">
        <v>1552</v>
      </c>
      <c r="R1128" s="42" t="s">
        <v>13</v>
      </c>
      <c r="S1128" s="57">
        <f t="shared" si="115"/>
        <v>46010</v>
      </c>
      <c r="T1128" s="44" t="s">
        <v>15</v>
      </c>
      <c r="U1128" s="43" t="s">
        <v>16</v>
      </c>
      <c r="V1128" s="42" t="s">
        <v>103</v>
      </c>
      <c r="W1128" s="45">
        <v>3</v>
      </c>
      <c r="X1128" s="46">
        <v>89</v>
      </c>
      <c r="Y1128" s="46">
        <v>4.68</v>
      </c>
      <c r="Z1128" s="47">
        <f t="shared" si="111"/>
        <v>262.32</v>
      </c>
      <c r="AA1128" s="48" t="s">
        <v>49</v>
      </c>
      <c r="AB1128"/>
    </row>
    <row r="1129" spans="1:28" x14ac:dyDescent="0.25">
      <c r="A1129" s="31" t="s">
        <v>1554</v>
      </c>
      <c r="B1129" s="31" t="s">
        <v>101</v>
      </c>
      <c r="C1129" s="32" t="str">
        <f t="shared" si="112"/>
        <v>Ana Souza</v>
      </c>
      <c r="D1129" s="38" t="s">
        <v>1555</v>
      </c>
      <c r="E1129" s="33">
        <f t="shared" si="113"/>
        <v>45930</v>
      </c>
      <c r="F1129" s="32" t="s">
        <v>15</v>
      </c>
      <c r="G1129" s="32" t="str">
        <f t="shared" si="114"/>
        <v>Larissa Dias</v>
      </c>
      <c r="H1129" s="32" t="s">
        <v>30</v>
      </c>
      <c r="I1129" s="32" t="s">
        <v>106</v>
      </c>
      <c r="J1129" s="34">
        <v>3</v>
      </c>
      <c r="K1129" s="35">
        <v>299</v>
      </c>
      <c r="L1129" s="35">
        <v>0</v>
      </c>
      <c r="M1129" s="36">
        <f t="shared" si="110"/>
        <v>897</v>
      </c>
      <c r="N1129" s="32" t="s">
        <v>89</v>
      </c>
      <c r="Q1129" s="49" t="s">
        <v>1554</v>
      </c>
      <c r="R1129" s="49" t="s">
        <v>101</v>
      </c>
      <c r="S1129" s="58">
        <f t="shared" si="115"/>
        <v>45930</v>
      </c>
      <c r="T1129" s="51" t="s">
        <v>15</v>
      </c>
      <c r="U1129" s="50" t="s">
        <v>30</v>
      </c>
      <c r="V1129" s="52" t="s">
        <v>106</v>
      </c>
      <c r="W1129" s="53">
        <v>3</v>
      </c>
      <c r="X1129" s="54">
        <v>299</v>
      </c>
      <c r="Y1129" s="54">
        <v>0</v>
      </c>
      <c r="Z1129" s="55">
        <f t="shared" si="111"/>
        <v>897</v>
      </c>
      <c r="AA1129" s="56" t="s">
        <v>89</v>
      </c>
      <c r="AB1129"/>
    </row>
    <row r="1130" spans="1:28" x14ac:dyDescent="0.25">
      <c r="A1130" s="26" t="s">
        <v>1556</v>
      </c>
      <c r="B1130" s="26" t="s">
        <v>37</v>
      </c>
      <c r="C1130" s="26" t="str">
        <f t="shared" si="112"/>
        <v>Patricia Gomes</v>
      </c>
      <c r="D1130" s="37" t="s">
        <v>72</v>
      </c>
      <c r="E1130" s="27">
        <f t="shared" si="113"/>
        <v>45765</v>
      </c>
      <c r="F1130" s="26" t="s">
        <v>29</v>
      </c>
      <c r="G1130" s="26" t="str">
        <f t="shared" si="114"/>
        <v>Camila Rocha</v>
      </c>
      <c r="H1130" s="26" t="s">
        <v>16</v>
      </c>
      <c r="I1130" s="26" t="s">
        <v>17</v>
      </c>
      <c r="J1130" s="28">
        <v>1</v>
      </c>
      <c r="K1130" s="29">
        <v>39</v>
      </c>
      <c r="L1130" s="29">
        <v>0</v>
      </c>
      <c r="M1130" s="30">
        <f t="shared" si="110"/>
        <v>39</v>
      </c>
      <c r="N1130" s="26" t="s">
        <v>65</v>
      </c>
      <c r="Q1130" s="42" t="s">
        <v>1556</v>
      </c>
      <c r="R1130" s="42" t="s">
        <v>37</v>
      </c>
      <c r="S1130" s="57">
        <f t="shared" si="115"/>
        <v>45765</v>
      </c>
      <c r="T1130" s="44" t="s">
        <v>29</v>
      </c>
      <c r="U1130" s="43" t="s">
        <v>16</v>
      </c>
      <c r="V1130" s="42" t="s">
        <v>17</v>
      </c>
      <c r="W1130" s="45">
        <v>1</v>
      </c>
      <c r="X1130" s="46">
        <v>39</v>
      </c>
      <c r="Y1130" s="46">
        <v>0</v>
      </c>
      <c r="Z1130" s="47">
        <f t="shared" si="111"/>
        <v>39</v>
      </c>
      <c r="AA1130" s="48" t="s">
        <v>65</v>
      </c>
      <c r="AB1130"/>
    </row>
    <row r="1131" spans="1:28" x14ac:dyDescent="0.25">
      <c r="A1131" s="31" t="s">
        <v>1557</v>
      </c>
      <c r="B1131" s="31" t="s">
        <v>34</v>
      </c>
      <c r="C1131" s="32" t="str">
        <f t="shared" si="112"/>
        <v>Carlos Silva</v>
      </c>
      <c r="D1131" s="38" t="s">
        <v>488</v>
      </c>
      <c r="E1131" s="33">
        <f t="shared" si="113"/>
        <v>45896</v>
      </c>
      <c r="F1131" s="32" t="s">
        <v>15</v>
      </c>
      <c r="G1131" s="32" t="str">
        <f t="shared" si="114"/>
        <v>Larissa Dias</v>
      </c>
      <c r="H1131" s="32" t="s">
        <v>23</v>
      </c>
      <c r="I1131" s="32" t="s">
        <v>88</v>
      </c>
      <c r="J1131" s="34">
        <v>5</v>
      </c>
      <c r="K1131" s="35">
        <v>650</v>
      </c>
      <c r="L1131" s="35">
        <v>145.6</v>
      </c>
      <c r="M1131" s="36">
        <f t="shared" si="110"/>
        <v>3104.4</v>
      </c>
      <c r="N1131" s="32" t="s">
        <v>49</v>
      </c>
      <c r="Q1131" s="49" t="s">
        <v>1557</v>
      </c>
      <c r="R1131" s="49" t="s">
        <v>34</v>
      </c>
      <c r="S1131" s="58">
        <f t="shared" si="115"/>
        <v>45896</v>
      </c>
      <c r="T1131" s="51" t="s">
        <v>15</v>
      </c>
      <c r="U1131" s="50" t="s">
        <v>23</v>
      </c>
      <c r="V1131" s="52" t="s">
        <v>88</v>
      </c>
      <c r="W1131" s="53">
        <v>5</v>
      </c>
      <c r="X1131" s="54">
        <v>650</v>
      </c>
      <c r="Y1131" s="54">
        <v>145.6</v>
      </c>
      <c r="Z1131" s="55">
        <f t="shared" si="111"/>
        <v>3104.4</v>
      </c>
      <c r="AA1131" s="56" t="s">
        <v>49</v>
      </c>
      <c r="AB1131"/>
    </row>
    <row r="1132" spans="1:28" x14ac:dyDescent="0.25">
      <c r="A1132" s="26" t="s">
        <v>1558</v>
      </c>
      <c r="B1132" s="26" t="s">
        <v>55</v>
      </c>
      <c r="C1132" s="26" t="str">
        <f t="shared" si="112"/>
        <v>Ricardo Carvalho</v>
      </c>
      <c r="D1132" s="37" t="s">
        <v>1516</v>
      </c>
      <c r="E1132" s="27">
        <f t="shared" si="113"/>
        <v>45910</v>
      </c>
      <c r="F1132" s="26" t="s">
        <v>15</v>
      </c>
      <c r="G1132" s="26" t="str">
        <f t="shared" si="114"/>
        <v>Larissa Dias</v>
      </c>
      <c r="H1132" s="26" t="s">
        <v>52</v>
      </c>
      <c r="I1132" s="26" t="s">
        <v>53</v>
      </c>
      <c r="J1132" s="28">
        <v>3</v>
      </c>
      <c r="K1132" s="29">
        <v>149</v>
      </c>
      <c r="L1132" s="29">
        <v>6.29</v>
      </c>
      <c r="M1132" s="30">
        <f t="shared" si="110"/>
        <v>440.71</v>
      </c>
      <c r="N1132" s="26" t="s">
        <v>32</v>
      </c>
      <c r="Q1132" s="42" t="s">
        <v>1558</v>
      </c>
      <c r="R1132" s="42" t="s">
        <v>55</v>
      </c>
      <c r="S1132" s="57">
        <f t="shared" si="115"/>
        <v>45910</v>
      </c>
      <c r="T1132" s="44" t="s">
        <v>15</v>
      </c>
      <c r="U1132" s="43" t="s">
        <v>52</v>
      </c>
      <c r="V1132" s="42" t="s">
        <v>53</v>
      </c>
      <c r="W1132" s="45">
        <v>3</v>
      </c>
      <c r="X1132" s="46">
        <v>149</v>
      </c>
      <c r="Y1132" s="46">
        <v>6.29</v>
      </c>
      <c r="Z1132" s="47">
        <f t="shared" si="111"/>
        <v>440.71</v>
      </c>
      <c r="AA1132" s="48" t="s">
        <v>32</v>
      </c>
      <c r="AB1132"/>
    </row>
    <row r="1133" spans="1:28" x14ac:dyDescent="0.25">
      <c r="A1133" s="31" t="s">
        <v>1559</v>
      </c>
      <c r="B1133" s="31" t="s">
        <v>20</v>
      </c>
      <c r="C1133" s="32" t="str">
        <f t="shared" si="112"/>
        <v>Beatriz Ribeiro</v>
      </c>
      <c r="D1133" s="38" t="s">
        <v>756</v>
      </c>
      <c r="E1133" s="33">
        <f t="shared" si="113"/>
        <v>45731</v>
      </c>
      <c r="F1133" s="32" t="s">
        <v>29</v>
      </c>
      <c r="G1133" s="32" t="str">
        <f t="shared" si="114"/>
        <v>Camila Rocha</v>
      </c>
      <c r="H1133" s="32" t="s">
        <v>16</v>
      </c>
      <c r="I1133" s="32" t="s">
        <v>17</v>
      </c>
      <c r="J1133" s="34">
        <v>4</v>
      </c>
      <c r="K1133" s="35">
        <v>39</v>
      </c>
      <c r="L1133" s="35">
        <v>0</v>
      </c>
      <c r="M1133" s="36">
        <f t="shared" si="110"/>
        <v>156</v>
      </c>
      <c r="N1133" s="32" t="s">
        <v>49</v>
      </c>
      <c r="Q1133" s="49" t="s">
        <v>1559</v>
      </c>
      <c r="R1133" s="49" t="s">
        <v>20</v>
      </c>
      <c r="S1133" s="58">
        <f t="shared" si="115"/>
        <v>45731</v>
      </c>
      <c r="T1133" s="51" t="s">
        <v>29</v>
      </c>
      <c r="U1133" s="50" t="s">
        <v>16</v>
      </c>
      <c r="V1133" s="52" t="s">
        <v>17</v>
      </c>
      <c r="W1133" s="53">
        <v>4</v>
      </c>
      <c r="X1133" s="54">
        <v>39</v>
      </c>
      <c r="Y1133" s="54">
        <v>0</v>
      </c>
      <c r="Z1133" s="55">
        <f t="shared" si="111"/>
        <v>156</v>
      </c>
      <c r="AA1133" s="56" t="s">
        <v>49</v>
      </c>
      <c r="AB1133"/>
    </row>
    <row r="1134" spans="1:28" x14ac:dyDescent="0.25">
      <c r="A1134" s="26" t="s">
        <v>1560</v>
      </c>
      <c r="B1134" s="26" t="s">
        <v>95</v>
      </c>
      <c r="C1134" s="26" t="str">
        <f t="shared" si="112"/>
        <v>Maria Oliveira</v>
      </c>
      <c r="D1134" s="37" t="s">
        <v>716</v>
      </c>
      <c r="E1134" s="27">
        <f t="shared" si="113"/>
        <v>45781</v>
      </c>
      <c r="F1134" s="26" t="s">
        <v>39</v>
      </c>
      <c r="G1134" s="26" t="str">
        <f t="shared" si="114"/>
        <v>Rodrigo Mello</v>
      </c>
      <c r="H1134" s="26" t="s">
        <v>23</v>
      </c>
      <c r="I1134" s="26" t="s">
        <v>88</v>
      </c>
      <c r="J1134" s="28">
        <v>1</v>
      </c>
      <c r="K1134" s="29">
        <v>650</v>
      </c>
      <c r="L1134" s="29">
        <v>60.23</v>
      </c>
      <c r="M1134" s="30">
        <f t="shared" si="110"/>
        <v>589.77</v>
      </c>
      <c r="N1134" s="26" t="s">
        <v>18</v>
      </c>
      <c r="Q1134" s="42" t="s">
        <v>1560</v>
      </c>
      <c r="R1134" s="42" t="s">
        <v>95</v>
      </c>
      <c r="S1134" s="57">
        <f t="shared" si="115"/>
        <v>45781</v>
      </c>
      <c r="T1134" s="44" t="s">
        <v>39</v>
      </c>
      <c r="U1134" s="43" t="s">
        <v>23</v>
      </c>
      <c r="V1134" s="42" t="s">
        <v>88</v>
      </c>
      <c r="W1134" s="45">
        <v>1</v>
      </c>
      <c r="X1134" s="46">
        <v>650</v>
      </c>
      <c r="Y1134" s="46">
        <v>60.23</v>
      </c>
      <c r="Z1134" s="47">
        <f t="shared" si="111"/>
        <v>589.77</v>
      </c>
      <c r="AA1134" s="48" t="s">
        <v>18</v>
      </c>
      <c r="AB1134"/>
    </row>
    <row r="1135" spans="1:28" x14ac:dyDescent="0.25">
      <c r="A1135" s="31" t="s">
        <v>1561</v>
      </c>
      <c r="B1135" s="31" t="s">
        <v>37</v>
      </c>
      <c r="C1135" s="32" t="str">
        <f t="shared" si="112"/>
        <v>Patricia Gomes</v>
      </c>
      <c r="D1135" s="38" t="s">
        <v>239</v>
      </c>
      <c r="E1135" s="33">
        <f t="shared" si="113"/>
        <v>45818</v>
      </c>
      <c r="F1135" s="32" t="s">
        <v>47</v>
      </c>
      <c r="G1135" s="32" t="str">
        <f t="shared" si="114"/>
        <v>Bruno Martins</v>
      </c>
      <c r="H1135" s="32" t="s">
        <v>23</v>
      </c>
      <c r="I1135" s="32" t="s">
        <v>48</v>
      </c>
      <c r="J1135" s="34">
        <v>2</v>
      </c>
      <c r="K1135" s="35">
        <v>450</v>
      </c>
      <c r="L1135" s="35">
        <v>0</v>
      </c>
      <c r="M1135" s="36">
        <f t="shared" si="110"/>
        <v>900</v>
      </c>
      <c r="N1135" s="32" t="s">
        <v>65</v>
      </c>
      <c r="Q1135" s="49" t="s">
        <v>1561</v>
      </c>
      <c r="R1135" s="49" t="s">
        <v>37</v>
      </c>
      <c r="S1135" s="58">
        <f t="shared" si="115"/>
        <v>45818</v>
      </c>
      <c r="T1135" s="51" t="s">
        <v>47</v>
      </c>
      <c r="U1135" s="50" t="s">
        <v>23</v>
      </c>
      <c r="V1135" s="52" t="s">
        <v>48</v>
      </c>
      <c r="W1135" s="53">
        <v>2</v>
      </c>
      <c r="X1135" s="54">
        <v>450</v>
      </c>
      <c r="Y1135" s="54">
        <v>0</v>
      </c>
      <c r="Z1135" s="55">
        <f t="shared" si="111"/>
        <v>900</v>
      </c>
      <c r="AA1135" s="56" t="s">
        <v>65</v>
      </c>
      <c r="AB1135"/>
    </row>
    <row r="1136" spans="1:28" x14ac:dyDescent="0.25">
      <c r="A1136" s="26" t="s">
        <v>1562</v>
      </c>
      <c r="B1136" s="26" t="s">
        <v>101</v>
      </c>
      <c r="C1136" s="26" t="str">
        <f t="shared" si="112"/>
        <v>Ana Souza</v>
      </c>
      <c r="D1136" s="37" t="s">
        <v>857</v>
      </c>
      <c r="E1136" s="27">
        <f t="shared" si="113"/>
        <v>45837</v>
      </c>
      <c r="F1136" s="26" t="s">
        <v>29</v>
      </c>
      <c r="G1136" s="26" t="str">
        <f t="shared" si="114"/>
        <v>Camila Rocha</v>
      </c>
      <c r="H1136" s="26" t="s">
        <v>16</v>
      </c>
      <c r="I1136" s="26" t="s">
        <v>17</v>
      </c>
      <c r="J1136" s="28">
        <v>4</v>
      </c>
      <c r="K1136" s="29">
        <v>39</v>
      </c>
      <c r="L1136" s="29">
        <v>5.92</v>
      </c>
      <c r="M1136" s="30">
        <f t="shared" si="110"/>
        <v>150.08000000000001</v>
      </c>
      <c r="N1136" s="26" t="s">
        <v>44</v>
      </c>
      <c r="Q1136" s="42" t="s">
        <v>1562</v>
      </c>
      <c r="R1136" s="42" t="s">
        <v>101</v>
      </c>
      <c r="S1136" s="57">
        <f t="shared" si="115"/>
        <v>45837</v>
      </c>
      <c r="T1136" s="44" t="s">
        <v>29</v>
      </c>
      <c r="U1136" s="43" t="s">
        <v>16</v>
      </c>
      <c r="V1136" s="42" t="s">
        <v>17</v>
      </c>
      <c r="W1136" s="45">
        <v>4</v>
      </c>
      <c r="X1136" s="46">
        <v>39</v>
      </c>
      <c r="Y1136" s="46">
        <v>5.92</v>
      </c>
      <c r="Z1136" s="47">
        <f t="shared" si="111"/>
        <v>150.08000000000001</v>
      </c>
      <c r="AA1136" s="48" t="s">
        <v>44</v>
      </c>
      <c r="AB1136"/>
    </row>
    <row r="1137" spans="1:28" x14ac:dyDescent="0.25">
      <c r="A1137" s="31" t="s">
        <v>1563</v>
      </c>
      <c r="B1137" s="31" t="s">
        <v>101</v>
      </c>
      <c r="C1137" s="32" t="str">
        <f t="shared" si="112"/>
        <v>Ana Souza</v>
      </c>
      <c r="D1137" s="38" t="s">
        <v>373</v>
      </c>
      <c r="E1137" s="33">
        <f t="shared" si="113"/>
        <v>46024</v>
      </c>
      <c r="F1137" s="32" t="s">
        <v>47</v>
      </c>
      <c r="G1137" s="32" t="str">
        <f t="shared" si="114"/>
        <v>Bruno Martins</v>
      </c>
      <c r="H1137" s="32" t="s">
        <v>52</v>
      </c>
      <c r="I1137" s="32" t="s">
        <v>75</v>
      </c>
      <c r="J1137" s="34">
        <v>4</v>
      </c>
      <c r="K1137" s="35">
        <v>249</v>
      </c>
      <c r="L1137" s="35">
        <v>132.52000000000001</v>
      </c>
      <c r="M1137" s="36">
        <f t="shared" si="110"/>
        <v>863.48</v>
      </c>
      <c r="N1137" s="32" t="s">
        <v>65</v>
      </c>
      <c r="Q1137" s="49" t="s">
        <v>1563</v>
      </c>
      <c r="R1137" s="49" t="s">
        <v>101</v>
      </c>
      <c r="S1137" s="58">
        <f t="shared" si="115"/>
        <v>46024</v>
      </c>
      <c r="T1137" s="51" t="s">
        <v>47</v>
      </c>
      <c r="U1137" s="50" t="s">
        <v>52</v>
      </c>
      <c r="V1137" s="52" t="s">
        <v>75</v>
      </c>
      <c r="W1137" s="53">
        <v>4</v>
      </c>
      <c r="X1137" s="54">
        <v>249</v>
      </c>
      <c r="Y1137" s="54">
        <v>132.52000000000001</v>
      </c>
      <c r="Z1137" s="55">
        <f t="shared" si="111"/>
        <v>863.48</v>
      </c>
      <c r="AA1137" s="56" t="s">
        <v>65</v>
      </c>
      <c r="AB1137"/>
    </row>
    <row r="1138" spans="1:28" x14ac:dyDescent="0.25">
      <c r="A1138" s="26" t="s">
        <v>1564</v>
      </c>
      <c r="B1138" s="26" t="s">
        <v>37</v>
      </c>
      <c r="C1138" s="26" t="str">
        <f t="shared" si="112"/>
        <v>Patricia Gomes</v>
      </c>
      <c r="D1138" s="37" t="s">
        <v>673</v>
      </c>
      <c r="E1138" s="27">
        <f t="shared" si="113"/>
        <v>45904</v>
      </c>
      <c r="F1138" s="26" t="s">
        <v>22</v>
      </c>
      <c r="G1138" s="26" t="str">
        <f t="shared" si="114"/>
        <v>Amanda Costa</v>
      </c>
      <c r="H1138" s="26" t="s">
        <v>52</v>
      </c>
      <c r="I1138" s="26" t="s">
        <v>75</v>
      </c>
      <c r="J1138" s="28">
        <v>3</v>
      </c>
      <c r="K1138" s="29">
        <v>249</v>
      </c>
      <c r="L1138" s="29">
        <v>111.89</v>
      </c>
      <c r="M1138" s="30">
        <f t="shared" si="110"/>
        <v>635.11</v>
      </c>
      <c r="N1138" s="26" t="s">
        <v>44</v>
      </c>
      <c r="Q1138" s="42" t="s">
        <v>1564</v>
      </c>
      <c r="R1138" s="42" t="s">
        <v>37</v>
      </c>
      <c r="S1138" s="57">
        <f t="shared" si="115"/>
        <v>45904</v>
      </c>
      <c r="T1138" s="44" t="s">
        <v>22</v>
      </c>
      <c r="U1138" s="43" t="s">
        <v>52</v>
      </c>
      <c r="V1138" s="42" t="s">
        <v>75</v>
      </c>
      <c r="W1138" s="45">
        <v>3</v>
      </c>
      <c r="X1138" s="46">
        <v>249</v>
      </c>
      <c r="Y1138" s="46">
        <v>111.89</v>
      </c>
      <c r="Z1138" s="47">
        <f t="shared" si="111"/>
        <v>635.11</v>
      </c>
      <c r="AA1138" s="48" t="s">
        <v>44</v>
      </c>
      <c r="AB1138"/>
    </row>
    <row r="1139" spans="1:28" x14ac:dyDescent="0.25">
      <c r="A1139" s="31" t="s">
        <v>1565</v>
      </c>
      <c r="B1139" s="31" t="s">
        <v>95</v>
      </c>
      <c r="C1139" s="32" t="str">
        <f t="shared" si="112"/>
        <v>Maria Oliveira</v>
      </c>
      <c r="D1139" s="38" t="s">
        <v>74</v>
      </c>
      <c r="E1139" s="33">
        <f t="shared" si="113"/>
        <v>45942</v>
      </c>
      <c r="F1139" s="32" t="s">
        <v>47</v>
      </c>
      <c r="G1139" s="32" t="str">
        <f t="shared" si="114"/>
        <v>Bruno Martins</v>
      </c>
      <c r="H1139" s="32" t="s">
        <v>30</v>
      </c>
      <c r="I1139" s="32" t="s">
        <v>106</v>
      </c>
      <c r="J1139" s="34">
        <v>4</v>
      </c>
      <c r="K1139" s="35">
        <v>299</v>
      </c>
      <c r="L1139" s="35">
        <v>0</v>
      </c>
      <c r="M1139" s="36">
        <f t="shared" si="110"/>
        <v>1196</v>
      </c>
      <c r="N1139" s="32" t="s">
        <v>69</v>
      </c>
      <c r="Q1139" s="49" t="s">
        <v>1565</v>
      </c>
      <c r="R1139" s="49" t="s">
        <v>95</v>
      </c>
      <c r="S1139" s="58">
        <f t="shared" si="115"/>
        <v>45942</v>
      </c>
      <c r="T1139" s="51" t="s">
        <v>47</v>
      </c>
      <c r="U1139" s="50" t="s">
        <v>30</v>
      </c>
      <c r="V1139" s="52" t="s">
        <v>106</v>
      </c>
      <c r="W1139" s="53">
        <v>4</v>
      </c>
      <c r="X1139" s="54">
        <v>299</v>
      </c>
      <c r="Y1139" s="54">
        <v>0</v>
      </c>
      <c r="Z1139" s="55">
        <f t="shared" si="111"/>
        <v>1196</v>
      </c>
      <c r="AA1139" s="56" t="s">
        <v>69</v>
      </c>
      <c r="AB1139"/>
    </row>
    <row r="1140" spans="1:28" x14ac:dyDescent="0.25">
      <c r="A1140" s="26" t="s">
        <v>1566</v>
      </c>
      <c r="B1140" s="26" t="s">
        <v>95</v>
      </c>
      <c r="C1140" s="26" t="str">
        <f t="shared" si="112"/>
        <v>Maria Oliveira</v>
      </c>
      <c r="D1140" s="37" t="s">
        <v>527</v>
      </c>
      <c r="E1140" s="27">
        <f t="shared" si="113"/>
        <v>45767</v>
      </c>
      <c r="F1140" s="26" t="s">
        <v>29</v>
      </c>
      <c r="G1140" s="26" t="str">
        <f t="shared" si="114"/>
        <v>Camila Rocha</v>
      </c>
      <c r="H1140" s="26" t="s">
        <v>52</v>
      </c>
      <c r="I1140" s="26" t="s">
        <v>53</v>
      </c>
      <c r="J1140" s="28">
        <v>5</v>
      </c>
      <c r="K1140" s="29">
        <v>149</v>
      </c>
      <c r="L1140" s="29">
        <v>11.26</v>
      </c>
      <c r="M1140" s="30">
        <f t="shared" si="110"/>
        <v>733.74</v>
      </c>
      <c r="N1140" s="26" t="s">
        <v>44</v>
      </c>
      <c r="Q1140" s="42" t="s">
        <v>1566</v>
      </c>
      <c r="R1140" s="42" t="s">
        <v>95</v>
      </c>
      <c r="S1140" s="57">
        <f t="shared" si="115"/>
        <v>45767</v>
      </c>
      <c r="T1140" s="44" t="s">
        <v>29</v>
      </c>
      <c r="U1140" s="43" t="s">
        <v>52</v>
      </c>
      <c r="V1140" s="42" t="s">
        <v>53</v>
      </c>
      <c r="W1140" s="45">
        <v>5</v>
      </c>
      <c r="X1140" s="46">
        <v>149</v>
      </c>
      <c r="Y1140" s="46">
        <v>11.26</v>
      </c>
      <c r="Z1140" s="47">
        <f t="shared" si="111"/>
        <v>733.74</v>
      </c>
      <c r="AA1140" s="48" t="s">
        <v>44</v>
      </c>
      <c r="AB1140"/>
    </row>
    <row r="1141" spans="1:28" x14ac:dyDescent="0.25">
      <c r="A1141" s="31" t="s">
        <v>1567</v>
      </c>
      <c r="B1141" s="31" t="s">
        <v>71</v>
      </c>
      <c r="C1141" s="32" t="str">
        <f t="shared" si="112"/>
        <v>Juliana Costa</v>
      </c>
      <c r="D1141" s="38" t="s">
        <v>415</v>
      </c>
      <c r="E1141" s="33">
        <f t="shared" si="113"/>
        <v>45842</v>
      </c>
      <c r="F1141" s="32" t="s">
        <v>29</v>
      </c>
      <c r="G1141" s="32" t="str">
        <f t="shared" si="114"/>
        <v>Camila Rocha</v>
      </c>
      <c r="H1141" s="32" t="s">
        <v>16</v>
      </c>
      <c r="I1141" s="32" t="s">
        <v>17</v>
      </c>
      <c r="J1141" s="34">
        <v>3</v>
      </c>
      <c r="K1141" s="35">
        <v>39</v>
      </c>
      <c r="L1141" s="35">
        <v>16.72</v>
      </c>
      <c r="M1141" s="36">
        <f t="shared" si="110"/>
        <v>100.28</v>
      </c>
      <c r="N1141" s="32" t="s">
        <v>44</v>
      </c>
      <c r="Q1141" s="49" t="s">
        <v>1567</v>
      </c>
      <c r="R1141" s="49" t="s">
        <v>71</v>
      </c>
      <c r="S1141" s="58">
        <f t="shared" si="115"/>
        <v>45842</v>
      </c>
      <c r="T1141" s="51" t="s">
        <v>29</v>
      </c>
      <c r="U1141" s="50" t="s">
        <v>16</v>
      </c>
      <c r="V1141" s="52" t="s">
        <v>17</v>
      </c>
      <c r="W1141" s="53">
        <v>3</v>
      </c>
      <c r="X1141" s="54">
        <v>39</v>
      </c>
      <c r="Y1141" s="54">
        <v>16.72</v>
      </c>
      <c r="Z1141" s="55">
        <f t="shared" si="111"/>
        <v>100.28</v>
      </c>
      <c r="AA1141" s="56" t="s">
        <v>44</v>
      </c>
      <c r="AB1141"/>
    </row>
    <row r="1142" spans="1:28" x14ac:dyDescent="0.25">
      <c r="A1142" s="26" t="s">
        <v>1568</v>
      </c>
      <c r="B1142" s="26" t="s">
        <v>37</v>
      </c>
      <c r="C1142" s="26" t="str">
        <f t="shared" si="112"/>
        <v>Patricia Gomes</v>
      </c>
      <c r="D1142" s="37" t="s">
        <v>458</v>
      </c>
      <c r="E1142" s="27">
        <f t="shared" si="113"/>
        <v>45707</v>
      </c>
      <c r="F1142" s="26" t="s">
        <v>29</v>
      </c>
      <c r="G1142" s="26" t="str">
        <f t="shared" si="114"/>
        <v>Camila Rocha</v>
      </c>
      <c r="H1142" s="26" t="s">
        <v>16</v>
      </c>
      <c r="I1142" s="26" t="s">
        <v>17</v>
      </c>
      <c r="J1142" s="28">
        <v>2</v>
      </c>
      <c r="K1142" s="29">
        <v>39</v>
      </c>
      <c r="L1142" s="29">
        <v>9.3699999999999992</v>
      </c>
      <c r="M1142" s="30">
        <f t="shared" si="110"/>
        <v>68.63</v>
      </c>
      <c r="N1142" s="26" t="s">
        <v>25</v>
      </c>
      <c r="Q1142" s="42" t="s">
        <v>1568</v>
      </c>
      <c r="R1142" s="42" t="s">
        <v>37</v>
      </c>
      <c r="S1142" s="57">
        <f t="shared" si="115"/>
        <v>45707</v>
      </c>
      <c r="T1142" s="44" t="s">
        <v>29</v>
      </c>
      <c r="U1142" s="43" t="s">
        <v>16</v>
      </c>
      <c r="V1142" s="42" t="s">
        <v>17</v>
      </c>
      <c r="W1142" s="45">
        <v>2</v>
      </c>
      <c r="X1142" s="46">
        <v>39</v>
      </c>
      <c r="Y1142" s="46">
        <v>9.3699999999999992</v>
      </c>
      <c r="Z1142" s="47">
        <f t="shared" si="111"/>
        <v>68.63</v>
      </c>
      <c r="AA1142" s="48" t="s">
        <v>25</v>
      </c>
      <c r="AB1142"/>
    </row>
    <row r="1143" spans="1:28" x14ac:dyDescent="0.25">
      <c r="A1143" s="31" t="s">
        <v>1569</v>
      </c>
      <c r="B1143" s="31" t="s">
        <v>110</v>
      </c>
      <c r="C1143" s="32" t="str">
        <f t="shared" si="112"/>
        <v>Fernanda Lima</v>
      </c>
      <c r="D1143" s="38" t="s">
        <v>784</v>
      </c>
      <c r="E1143" s="33">
        <f t="shared" si="113"/>
        <v>45787</v>
      </c>
      <c r="F1143" s="32" t="s">
        <v>39</v>
      </c>
      <c r="G1143" s="32" t="str">
        <f t="shared" si="114"/>
        <v>Rodrigo Mello</v>
      </c>
      <c r="H1143" s="32" t="s">
        <v>16</v>
      </c>
      <c r="I1143" s="32" t="s">
        <v>103</v>
      </c>
      <c r="J1143" s="34">
        <v>4</v>
      </c>
      <c r="K1143" s="35">
        <v>89</v>
      </c>
      <c r="L1143" s="35">
        <v>0</v>
      </c>
      <c r="M1143" s="36">
        <f t="shared" si="110"/>
        <v>356</v>
      </c>
      <c r="N1143" s="32" t="s">
        <v>69</v>
      </c>
      <c r="Q1143" s="49" t="s">
        <v>1569</v>
      </c>
      <c r="R1143" s="49" t="s">
        <v>110</v>
      </c>
      <c r="S1143" s="58">
        <f t="shared" si="115"/>
        <v>45787</v>
      </c>
      <c r="T1143" s="51" t="s">
        <v>39</v>
      </c>
      <c r="U1143" s="50" t="s">
        <v>16</v>
      </c>
      <c r="V1143" s="52" t="s">
        <v>103</v>
      </c>
      <c r="W1143" s="53">
        <v>4</v>
      </c>
      <c r="X1143" s="54">
        <v>89</v>
      </c>
      <c r="Y1143" s="54">
        <v>0</v>
      </c>
      <c r="Z1143" s="55">
        <f t="shared" si="111"/>
        <v>356</v>
      </c>
      <c r="AA1143" s="56" t="s">
        <v>69</v>
      </c>
      <c r="AB1143"/>
    </row>
    <row r="1144" spans="1:28" x14ac:dyDescent="0.25">
      <c r="A1144" s="26" t="s">
        <v>1570</v>
      </c>
      <c r="B1144" s="26" t="s">
        <v>110</v>
      </c>
      <c r="C1144" s="26" t="str">
        <f t="shared" si="112"/>
        <v>Fernanda Lima</v>
      </c>
      <c r="D1144" s="37" t="s">
        <v>146</v>
      </c>
      <c r="E1144" s="27">
        <f t="shared" si="113"/>
        <v>45857</v>
      </c>
      <c r="F1144" s="26" t="s">
        <v>39</v>
      </c>
      <c r="G1144" s="26" t="str">
        <f t="shared" si="114"/>
        <v>Rodrigo Mello</v>
      </c>
      <c r="H1144" s="26" t="s">
        <v>30</v>
      </c>
      <c r="I1144" s="26" t="s">
        <v>68</v>
      </c>
      <c r="J1144" s="28">
        <v>1</v>
      </c>
      <c r="K1144" s="29">
        <v>799</v>
      </c>
      <c r="L1144" s="29">
        <v>0</v>
      </c>
      <c r="M1144" s="30">
        <f t="shared" si="110"/>
        <v>799</v>
      </c>
      <c r="N1144" s="26" t="s">
        <v>49</v>
      </c>
      <c r="Q1144" s="42" t="s">
        <v>1570</v>
      </c>
      <c r="R1144" s="42" t="s">
        <v>110</v>
      </c>
      <c r="S1144" s="57">
        <f t="shared" si="115"/>
        <v>45857</v>
      </c>
      <c r="T1144" s="44" t="s">
        <v>39</v>
      </c>
      <c r="U1144" s="43" t="s">
        <v>30</v>
      </c>
      <c r="V1144" s="42" t="s">
        <v>68</v>
      </c>
      <c r="W1144" s="45">
        <v>1</v>
      </c>
      <c r="X1144" s="46">
        <v>799</v>
      </c>
      <c r="Y1144" s="46">
        <v>0</v>
      </c>
      <c r="Z1144" s="47">
        <f t="shared" si="111"/>
        <v>799</v>
      </c>
      <c r="AA1144" s="48" t="s">
        <v>49</v>
      </c>
      <c r="AB1144"/>
    </row>
    <row r="1145" spans="1:28" x14ac:dyDescent="0.25">
      <c r="A1145" s="31" t="s">
        <v>1571</v>
      </c>
      <c r="B1145" s="31" t="s">
        <v>63</v>
      </c>
      <c r="C1145" s="32" t="str">
        <f t="shared" si="112"/>
        <v>Marcos Rodrigues</v>
      </c>
      <c r="D1145" s="38" t="s">
        <v>499</v>
      </c>
      <c r="E1145" s="33">
        <f t="shared" si="113"/>
        <v>45938</v>
      </c>
      <c r="F1145" s="32" t="s">
        <v>29</v>
      </c>
      <c r="G1145" s="32" t="str">
        <f t="shared" si="114"/>
        <v>Camila Rocha</v>
      </c>
      <c r="H1145" s="32" t="s">
        <v>16</v>
      </c>
      <c r="I1145" s="32" t="s">
        <v>17</v>
      </c>
      <c r="J1145" s="34">
        <v>1</v>
      </c>
      <c r="K1145" s="35">
        <v>39</v>
      </c>
      <c r="L1145" s="35">
        <v>0.99</v>
      </c>
      <c r="M1145" s="36">
        <f t="shared" si="110"/>
        <v>38.01</v>
      </c>
      <c r="N1145" s="32" t="s">
        <v>32</v>
      </c>
      <c r="Q1145" s="49" t="s">
        <v>1571</v>
      </c>
      <c r="R1145" s="49" t="s">
        <v>63</v>
      </c>
      <c r="S1145" s="58">
        <f t="shared" si="115"/>
        <v>45938</v>
      </c>
      <c r="T1145" s="51" t="s">
        <v>29</v>
      </c>
      <c r="U1145" s="50" t="s">
        <v>16</v>
      </c>
      <c r="V1145" s="52" t="s">
        <v>17</v>
      </c>
      <c r="W1145" s="53">
        <v>1</v>
      </c>
      <c r="X1145" s="54">
        <v>39</v>
      </c>
      <c r="Y1145" s="54">
        <v>0.99</v>
      </c>
      <c r="Z1145" s="55">
        <f t="shared" si="111"/>
        <v>38.01</v>
      </c>
      <c r="AA1145" s="56" t="s">
        <v>32</v>
      </c>
      <c r="AB1145"/>
    </row>
    <row r="1146" spans="1:28" x14ac:dyDescent="0.25">
      <c r="A1146" s="26" t="s">
        <v>1572</v>
      </c>
      <c r="B1146" s="26" t="s">
        <v>13</v>
      </c>
      <c r="C1146" s="26" t="str">
        <f t="shared" si="112"/>
        <v>Lucas Almeida</v>
      </c>
      <c r="D1146" s="37" t="s">
        <v>298</v>
      </c>
      <c r="E1146" s="27">
        <f t="shared" si="113"/>
        <v>45697</v>
      </c>
      <c r="F1146" s="26" t="s">
        <v>15</v>
      </c>
      <c r="G1146" s="26" t="str">
        <f t="shared" si="114"/>
        <v>Larissa Dias</v>
      </c>
      <c r="H1146" s="26" t="s">
        <v>16</v>
      </c>
      <c r="I1146" s="26" t="s">
        <v>116</v>
      </c>
      <c r="J1146" s="28">
        <v>4</v>
      </c>
      <c r="K1146" s="29">
        <v>45</v>
      </c>
      <c r="L1146" s="29">
        <v>0</v>
      </c>
      <c r="M1146" s="30">
        <f t="shared" ref="M1146:M1209" si="116">(J1146*K1146)-L1146</f>
        <v>180</v>
      </c>
      <c r="N1146" s="26" t="s">
        <v>89</v>
      </c>
      <c r="Q1146" s="42" t="s">
        <v>1572</v>
      </c>
      <c r="R1146" s="42" t="s">
        <v>13</v>
      </c>
      <c r="S1146" s="57">
        <f t="shared" si="115"/>
        <v>45697</v>
      </c>
      <c r="T1146" s="44" t="s">
        <v>15</v>
      </c>
      <c r="U1146" s="43" t="s">
        <v>16</v>
      </c>
      <c r="V1146" s="42" t="s">
        <v>116</v>
      </c>
      <c r="W1146" s="45">
        <v>4</v>
      </c>
      <c r="X1146" s="46">
        <v>45</v>
      </c>
      <c r="Y1146" s="46">
        <v>0</v>
      </c>
      <c r="Z1146" s="47">
        <f t="shared" ref="Z1146:Z1209" si="117">(W1146*X1146)-Y1146</f>
        <v>180</v>
      </c>
      <c r="AA1146" s="48" t="s">
        <v>89</v>
      </c>
      <c r="AB1146"/>
    </row>
    <row r="1147" spans="1:28" x14ac:dyDescent="0.25">
      <c r="A1147" s="31" t="s">
        <v>1573</v>
      </c>
      <c r="B1147" s="31" t="s">
        <v>13</v>
      </c>
      <c r="C1147" s="32" t="str">
        <f t="shared" si="112"/>
        <v>Lucas Almeida</v>
      </c>
      <c r="D1147" s="38" t="s">
        <v>1116</v>
      </c>
      <c r="E1147" s="33">
        <f t="shared" si="113"/>
        <v>46020</v>
      </c>
      <c r="F1147" s="32" t="s">
        <v>22</v>
      </c>
      <c r="G1147" s="32" t="str">
        <f t="shared" si="114"/>
        <v>Amanda Costa</v>
      </c>
      <c r="H1147" s="32" t="s">
        <v>23</v>
      </c>
      <c r="I1147" s="32" t="s">
        <v>43</v>
      </c>
      <c r="J1147" s="34">
        <v>2</v>
      </c>
      <c r="K1147" s="35">
        <v>350</v>
      </c>
      <c r="L1147" s="35">
        <v>66.7</v>
      </c>
      <c r="M1147" s="36">
        <f t="shared" si="116"/>
        <v>633.29999999999995</v>
      </c>
      <c r="N1147" s="32" t="s">
        <v>49</v>
      </c>
      <c r="Q1147" s="49" t="s">
        <v>1573</v>
      </c>
      <c r="R1147" s="49" t="s">
        <v>13</v>
      </c>
      <c r="S1147" s="58">
        <f t="shared" si="115"/>
        <v>46020</v>
      </c>
      <c r="T1147" s="51" t="s">
        <v>22</v>
      </c>
      <c r="U1147" s="50" t="s">
        <v>23</v>
      </c>
      <c r="V1147" s="52" t="s">
        <v>43</v>
      </c>
      <c r="W1147" s="53">
        <v>2</v>
      </c>
      <c r="X1147" s="54">
        <v>350</v>
      </c>
      <c r="Y1147" s="54">
        <v>66.7</v>
      </c>
      <c r="Z1147" s="55">
        <f t="shared" si="117"/>
        <v>633.29999999999995</v>
      </c>
      <c r="AA1147" s="56" t="s">
        <v>49</v>
      </c>
      <c r="AB1147"/>
    </row>
    <row r="1148" spans="1:28" x14ac:dyDescent="0.25">
      <c r="A1148" s="26" t="s">
        <v>1574</v>
      </c>
      <c r="B1148" s="26" t="s">
        <v>20</v>
      </c>
      <c r="C1148" s="26" t="str">
        <f t="shared" si="112"/>
        <v>Beatriz Ribeiro</v>
      </c>
      <c r="D1148" s="37" t="s">
        <v>56</v>
      </c>
      <c r="E1148" s="27">
        <f t="shared" si="113"/>
        <v>45965</v>
      </c>
      <c r="F1148" s="26" t="s">
        <v>22</v>
      </c>
      <c r="G1148" s="26" t="str">
        <f t="shared" si="114"/>
        <v>Amanda Costa</v>
      </c>
      <c r="H1148" s="26" t="s">
        <v>23</v>
      </c>
      <c r="I1148" s="26" t="s">
        <v>48</v>
      </c>
      <c r="J1148" s="28">
        <v>5</v>
      </c>
      <c r="K1148" s="29">
        <v>450</v>
      </c>
      <c r="L1148" s="29">
        <v>303.27</v>
      </c>
      <c r="M1148" s="30">
        <f t="shared" si="116"/>
        <v>1946.73</v>
      </c>
      <c r="N1148" s="26" t="s">
        <v>69</v>
      </c>
      <c r="Q1148" s="42" t="s">
        <v>1574</v>
      </c>
      <c r="R1148" s="42" t="s">
        <v>20</v>
      </c>
      <c r="S1148" s="57">
        <f t="shared" si="115"/>
        <v>45965</v>
      </c>
      <c r="T1148" s="44" t="s">
        <v>22</v>
      </c>
      <c r="U1148" s="43" t="s">
        <v>23</v>
      </c>
      <c r="V1148" s="42" t="s">
        <v>48</v>
      </c>
      <c r="W1148" s="45">
        <v>5</v>
      </c>
      <c r="X1148" s="46">
        <v>450</v>
      </c>
      <c r="Y1148" s="46">
        <v>303.27</v>
      </c>
      <c r="Z1148" s="47">
        <f t="shared" si="117"/>
        <v>1946.73</v>
      </c>
      <c r="AA1148" s="48" t="s">
        <v>69</v>
      </c>
      <c r="AB1148"/>
    </row>
    <row r="1149" spans="1:28" x14ac:dyDescent="0.25">
      <c r="A1149" s="31" t="s">
        <v>1575</v>
      </c>
      <c r="B1149" s="31" t="s">
        <v>27</v>
      </c>
      <c r="C1149" s="32" t="str">
        <f t="shared" si="112"/>
        <v>Roberto Santos</v>
      </c>
      <c r="D1149" s="38" t="s">
        <v>547</v>
      </c>
      <c r="E1149" s="33">
        <f t="shared" si="113"/>
        <v>45768</v>
      </c>
      <c r="F1149" s="32" t="s">
        <v>29</v>
      </c>
      <c r="G1149" s="32" t="str">
        <f t="shared" si="114"/>
        <v>Camila Rocha</v>
      </c>
      <c r="H1149" s="32" t="s">
        <v>30</v>
      </c>
      <c r="I1149" s="32" t="s">
        <v>106</v>
      </c>
      <c r="J1149" s="34">
        <v>1</v>
      </c>
      <c r="K1149" s="35">
        <v>299</v>
      </c>
      <c r="L1149" s="35">
        <v>0</v>
      </c>
      <c r="M1149" s="36">
        <f t="shared" si="116"/>
        <v>299</v>
      </c>
      <c r="N1149" s="32" t="s">
        <v>69</v>
      </c>
      <c r="Q1149" s="49" t="s">
        <v>1575</v>
      </c>
      <c r="R1149" s="49" t="s">
        <v>27</v>
      </c>
      <c r="S1149" s="58">
        <f t="shared" si="115"/>
        <v>45768</v>
      </c>
      <c r="T1149" s="51" t="s">
        <v>29</v>
      </c>
      <c r="U1149" s="50" t="s">
        <v>30</v>
      </c>
      <c r="V1149" s="52" t="s">
        <v>106</v>
      </c>
      <c r="W1149" s="53">
        <v>1</v>
      </c>
      <c r="X1149" s="54">
        <v>299</v>
      </c>
      <c r="Y1149" s="54">
        <v>0</v>
      </c>
      <c r="Z1149" s="55">
        <f t="shared" si="117"/>
        <v>299</v>
      </c>
      <c r="AA1149" s="56" t="s">
        <v>69</v>
      </c>
      <c r="AB1149"/>
    </row>
    <row r="1150" spans="1:28" x14ac:dyDescent="0.25">
      <c r="A1150" s="26" t="s">
        <v>1576</v>
      </c>
      <c r="B1150" s="26" t="s">
        <v>13</v>
      </c>
      <c r="C1150" s="26" t="str">
        <f t="shared" si="112"/>
        <v>Lucas Almeida</v>
      </c>
      <c r="D1150" s="37" t="s">
        <v>188</v>
      </c>
      <c r="E1150" s="27">
        <f t="shared" si="113"/>
        <v>45972</v>
      </c>
      <c r="F1150" s="26" t="s">
        <v>15</v>
      </c>
      <c r="G1150" s="26" t="str">
        <f t="shared" si="114"/>
        <v>Larissa Dias</v>
      </c>
      <c r="H1150" s="26" t="s">
        <v>30</v>
      </c>
      <c r="I1150" s="26" t="s">
        <v>106</v>
      </c>
      <c r="J1150" s="28">
        <v>2</v>
      </c>
      <c r="K1150" s="29">
        <v>299</v>
      </c>
      <c r="L1150" s="29">
        <v>0</v>
      </c>
      <c r="M1150" s="30">
        <f t="shared" si="116"/>
        <v>598</v>
      </c>
      <c r="N1150" s="26" t="s">
        <v>49</v>
      </c>
      <c r="Q1150" s="42" t="s">
        <v>1576</v>
      </c>
      <c r="R1150" s="42" t="s">
        <v>13</v>
      </c>
      <c r="S1150" s="57">
        <f t="shared" si="115"/>
        <v>45972</v>
      </c>
      <c r="T1150" s="44" t="s">
        <v>15</v>
      </c>
      <c r="U1150" s="43" t="s">
        <v>30</v>
      </c>
      <c r="V1150" s="42" t="s">
        <v>106</v>
      </c>
      <c r="W1150" s="45">
        <v>2</v>
      </c>
      <c r="X1150" s="46">
        <v>299</v>
      </c>
      <c r="Y1150" s="46">
        <v>0</v>
      </c>
      <c r="Z1150" s="47">
        <f t="shared" si="117"/>
        <v>598</v>
      </c>
      <c r="AA1150" s="48" t="s">
        <v>49</v>
      </c>
      <c r="AB1150"/>
    </row>
    <row r="1151" spans="1:28" x14ac:dyDescent="0.25">
      <c r="A1151" s="31" t="s">
        <v>1577</v>
      </c>
      <c r="B1151" s="31" t="s">
        <v>63</v>
      </c>
      <c r="C1151" s="32" t="str">
        <f t="shared" si="112"/>
        <v>Marcos Rodrigues</v>
      </c>
      <c r="D1151" s="38" t="s">
        <v>1578</v>
      </c>
      <c r="E1151" s="33">
        <f t="shared" si="113"/>
        <v>45841</v>
      </c>
      <c r="F1151" s="32" t="s">
        <v>39</v>
      </c>
      <c r="G1151" s="32" t="str">
        <f t="shared" si="114"/>
        <v>Rodrigo Mello</v>
      </c>
      <c r="H1151" s="32" t="s">
        <v>23</v>
      </c>
      <c r="I1151" s="32" t="s">
        <v>43</v>
      </c>
      <c r="J1151" s="34">
        <v>4</v>
      </c>
      <c r="K1151" s="35">
        <v>350</v>
      </c>
      <c r="L1151" s="35">
        <v>72.650000000000006</v>
      </c>
      <c r="M1151" s="36">
        <f t="shared" si="116"/>
        <v>1327.35</v>
      </c>
      <c r="N1151" s="32" t="s">
        <v>32</v>
      </c>
      <c r="Q1151" s="49" t="s">
        <v>1577</v>
      </c>
      <c r="R1151" s="49" t="s">
        <v>63</v>
      </c>
      <c r="S1151" s="58">
        <f t="shared" si="115"/>
        <v>45841</v>
      </c>
      <c r="T1151" s="51" t="s">
        <v>39</v>
      </c>
      <c r="U1151" s="50" t="s">
        <v>23</v>
      </c>
      <c r="V1151" s="52" t="s">
        <v>43</v>
      </c>
      <c r="W1151" s="53">
        <v>4</v>
      </c>
      <c r="X1151" s="54">
        <v>350</v>
      </c>
      <c r="Y1151" s="54">
        <v>72.650000000000006</v>
      </c>
      <c r="Z1151" s="55">
        <f t="shared" si="117"/>
        <v>1327.35</v>
      </c>
      <c r="AA1151" s="56" t="s">
        <v>32</v>
      </c>
      <c r="AB1151"/>
    </row>
    <row r="1152" spans="1:28" x14ac:dyDescent="0.25">
      <c r="A1152" s="26" t="s">
        <v>1579</v>
      </c>
      <c r="B1152" s="26" t="s">
        <v>20</v>
      </c>
      <c r="C1152" s="26" t="str">
        <f t="shared" si="112"/>
        <v>Beatriz Ribeiro</v>
      </c>
      <c r="D1152" s="37" t="s">
        <v>938</v>
      </c>
      <c r="E1152" s="27">
        <f t="shared" si="113"/>
        <v>45845</v>
      </c>
      <c r="F1152" s="26" t="s">
        <v>29</v>
      </c>
      <c r="G1152" s="26" t="str">
        <f t="shared" si="114"/>
        <v>Camila Rocha</v>
      </c>
      <c r="H1152" s="26" t="s">
        <v>16</v>
      </c>
      <c r="I1152" s="26" t="s">
        <v>78</v>
      </c>
      <c r="J1152" s="28">
        <v>4</v>
      </c>
      <c r="K1152" s="29">
        <v>59</v>
      </c>
      <c r="L1152" s="29">
        <v>0</v>
      </c>
      <c r="M1152" s="30">
        <f t="shared" si="116"/>
        <v>236</v>
      </c>
      <c r="N1152" s="26" t="s">
        <v>65</v>
      </c>
      <c r="Q1152" s="42" t="s">
        <v>1579</v>
      </c>
      <c r="R1152" s="42" t="s">
        <v>20</v>
      </c>
      <c r="S1152" s="57">
        <f t="shared" si="115"/>
        <v>45845</v>
      </c>
      <c r="T1152" s="44" t="s">
        <v>29</v>
      </c>
      <c r="U1152" s="43" t="s">
        <v>16</v>
      </c>
      <c r="V1152" s="42" t="s">
        <v>78</v>
      </c>
      <c r="W1152" s="45">
        <v>4</v>
      </c>
      <c r="X1152" s="46">
        <v>59</v>
      </c>
      <c r="Y1152" s="46">
        <v>0</v>
      </c>
      <c r="Z1152" s="47">
        <f t="shared" si="117"/>
        <v>236</v>
      </c>
      <c r="AA1152" s="48" t="s">
        <v>65</v>
      </c>
      <c r="AB1152"/>
    </row>
    <row r="1153" spans="1:28" x14ac:dyDescent="0.25">
      <c r="A1153" s="31" t="s">
        <v>1580</v>
      </c>
      <c r="B1153" s="31" t="s">
        <v>63</v>
      </c>
      <c r="C1153" s="32" t="str">
        <f t="shared" si="112"/>
        <v>Marcos Rodrigues</v>
      </c>
      <c r="D1153" s="38" t="s">
        <v>164</v>
      </c>
      <c r="E1153" s="33">
        <f t="shared" si="113"/>
        <v>46031</v>
      </c>
      <c r="F1153" s="32" t="s">
        <v>22</v>
      </c>
      <c r="G1153" s="32" t="str">
        <f t="shared" si="114"/>
        <v>Amanda Costa</v>
      </c>
      <c r="H1153" s="32" t="s">
        <v>23</v>
      </c>
      <c r="I1153" s="32" t="s">
        <v>43</v>
      </c>
      <c r="J1153" s="34">
        <v>1</v>
      </c>
      <c r="K1153" s="35">
        <v>350</v>
      </c>
      <c r="L1153" s="35">
        <v>0</v>
      </c>
      <c r="M1153" s="36">
        <f t="shared" si="116"/>
        <v>350</v>
      </c>
      <c r="N1153" s="32" t="s">
        <v>18</v>
      </c>
      <c r="Q1153" s="49" t="s">
        <v>1580</v>
      </c>
      <c r="R1153" s="49" t="s">
        <v>63</v>
      </c>
      <c r="S1153" s="58">
        <f t="shared" si="115"/>
        <v>46031</v>
      </c>
      <c r="T1153" s="51" t="s">
        <v>22</v>
      </c>
      <c r="U1153" s="50" t="s">
        <v>23</v>
      </c>
      <c r="V1153" s="52" t="s">
        <v>43</v>
      </c>
      <c r="W1153" s="53">
        <v>1</v>
      </c>
      <c r="X1153" s="54">
        <v>350</v>
      </c>
      <c r="Y1153" s="54">
        <v>0</v>
      </c>
      <c r="Z1153" s="55">
        <f t="shared" si="117"/>
        <v>350</v>
      </c>
      <c r="AA1153" s="56" t="s">
        <v>18</v>
      </c>
      <c r="AB1153"/>
    </row>
    <row r="1154" spans="1:28" x14ac:dyDescent="0.25">
      <c r="A1154" s="26" t="s">
        <v>1581</v>
      </c>
      <c r="B1154" s="26" t="s">
        <v>13</v>
      </c>
      <c r="C1154" s="26" t="str">
        <f t="shared" si="112"/>
        <v>Lucas Almeida</v>
      </c>
      <c r="D1154" s="37" t="s">
        <v>237</v>
      </c>
      <c r="E1154" s="27">
        <f t="shared" si="113"/>
        <v>45749</v>
      </c>
      <c r="F1154" s="26" t="s">
        <v>47</v>
      </c>
      <c r="G1154" s="26" t="str">
        <f t="shared" si="114"/>
        <v>Bruno Martins</v>
      </c>
      <c r="H1154" s="26" t="s">
        <v>52</v>
      </c>
      <c r="I1154" s="26" t="s">
        <v>53</v>
      </c>
      <c r="J1154" s="28">
        <v>1</v>
      </c>
      <c r="K1154" s="29">
        <v>149</v>
      </c>
      <c r="L1154" s="29">
        <v>0</v>
      </c>
      <c r="M1154" s="30">
        <f t="shared" si="116"/>
        <v>149</v>
      </c>
      <c r="N1154" s="26" t="s">
        <v>89</v>
      </c>
      <c r="Q1154" s="42" t="s">
        <v>1581</v>
      </c>
      <c r="R1154" s="42" t="s">
        <v>13</v>
      </c>
      <c r="S1154" s="57">
        <f t="shared" si="115"/>
        <v>45749</v>
      </c>
      <c r="T1154" s="44" t="s">
        <v>47</v>
      </c>
      <c r="U1154" s="43" t="s">
        <v>52</v>
      </c>
      <c r="V1154" s="42" t="s">
        <v>53</v>
      </c>
      <c r="W1154" s="45">
        <v>1</v>
      </c>
      <c r="X1154" s="46">
        <v>149</v>
      </c>
      <c r="Y1154" s="46">
        <v>0</v>
      </c>
      <c r="Z1154" s="47">
        <f t="shared" si="117"/>
        <v>149</v>
      </c>
      <c r="AA1154" s="48" t="s">
        <v>89</v>
      </c>
      <c r="AB1154"/>
    </row>
    <row r="1155" spans="1:28" x14ac:dyDescent="0.25">
      <c r="A1155" s="31" t="s">
        <v>1582</v>
      </c>
      <c r="B1155" s="31" t="s">
        <v>27</v>
      </c>
      <c r="C1155" s="32" t="str">
        <f t="shared" ref="C1155:C1218" si="118">SUBSTITUTE(SUBSTITUTE(SUBSTITUTE(SUBSTITUTE(PROPER(B1155)," Da "," ")," De "," ")," Do "," ")," Dos "," ")</f>
        <v>Roberto Santos</v>
      </c>
      <c r="D1155" s="38" t="s">
        <v>1583</v>
      </c>
      <c r="E1155" s="33">
        <f t="shared" ref="E1155:E1218" si="119">DATEVALUE(D1155)</f>
        <v>46027</v>
      </c>
      <c r="F1155" s="32" t="s">
        <v>15</v>
      </c>
      <c r="G1155" s="32" t="str">
        <f t="shared" ref="G1155:G1218" si="120">SUBSTITUTE(SUBSTITUTE(SUBSTITUTE(SUBSTITUTE(PROPER(F1155)," Da "," ")," De "," ")," Do "," ")," Dos "," ")</f>
        <v>Larissa Dias</v>
      </c>
      <c r="H1155" s="32" t="s">
        <v>52</v>
      </c>
      <c r="I1155" s="32" t="s">
        <v>99</v>
      </c>
      <c r="J1155" s="34">
        <v>5</v>
      </c>
      <c r="K1155" s="35">
        <v>79</v>
      </c>
      <c r="L1155" s="35">
        <v>28.65</v>
      </c>
      <c r="M1155" s="36">
        <f t="shared" si="116"/>
        <v>366.35</v>
      </c>
      <c r="N1155" s="32" t="s">
        <v>49</v>
      </c>
      <c r="Q1155" s="49" t="s">
        <v>1582</v>
      </c>
      <c r="R1155" s="49" t="s">
        <v>27</v>
      </c>
      <c r="S1155" s="58">
        <f t="shared" si="115"/>
        <v>46027</v>
      </c>
      <c r="T1155" s="51" t="s">
        <v>15</v>
      </c>
      <c r="U1155" s="50" t="s">
        <v>52</v>
      </c>
      <c r="V1155" s="52" t="s">
        <v>99</v>
      </c>
      <c r="W1155" s="53">
        <v>5</v>
      </c>
      <c r="X1155" s="54">
        <v>79</v>
      </c>
      <c r="Y1155" s="54">
        <v>28.65</v>
      </c>
      <c r="Z1155" s="55">
        <f t="shared" si="117"/>
        <v>366.35</v>
      </c>
      <c r="AA1155" s="56" t="s">
        <v>49</v>
      </c>
      <c r="AB1155"/>
    </row>
    <row r="1156" spans="1:28" x14ac:dyDescent="0.25">
      <c r="A1156" s="26" t="s">
        <v>1584</v>
      </c>
      <c r="B1156" s="26" t="s">
        <v>110</v>
      </c>
      <c r="C1156" s="26" t="str">
        <f t="shared" si="118"/>
        <v>Fernanda Lima</v>
      </c>
      <c r="D1156" s="37" t="s">
        <v>497</v>
      </c>
      <c r="E1156" s="27">
        <f t="shared" si="119"/>
        <v>45679</v>
      </c>
      <c r="F1156" s="26" t="s">
        <v>22</v>
      </c>
      <c r="G1156" s="26" t="str">
        <f t="shared" si="120"/>
        <v>Amanda Costa</v>
      </c>
      <c r="H1156" s="26" t="s">
        <v>23</v>
      </c>
      <c r="I1156" s="26" t="s">
        <v>43</v>
      </c>
      <c r="J1156" s="28">
        <v>5</v>
      </c>
      <c r="K1156" s="29">
        <v>350</v>
      </c>
      <c r="L1156" s="29">
        <v>101.87</v>
      </c>
      <c r="M1156" s="30">
        <f t="shared" si="116"/>
        <v>1648.13</v>
      </c>
      <c r="N1156" s="26" t="s">
        <v>18</v>
      </c>
      <c r="Q1156" s="42" t="s">
        <v>1584</v>
      </c>
      <c r="R1156" s="42" t="s">
        <v>110</v>
      </c>
      <c r="S1156" s="57">
        <f t="shared" si="115"/>
        <v>45679</v>
      </c>
      <c r="T1156" s="44" t="s">
        <v>22</v>
      </c>
      <c r="U1156" s="43" t="s">
        <v>23</v>
      </c>
      <c r="V1156" s="42" t="s">
        <v>43</v>
      </c>
      <c r="W1156" s="45">
        <v>5</v>
      </c>
      <c r="X1156" s="46">
        <v>350</v>
      </c>
      <c r="Y1156" s="46">
        <v>101.87</v>
      </c>
      <c r="Z1156" s="47">
        <f t="shared" si="117"/>
        <v>1648.13</v>
      </c>
      <c r="AA1156" s="48" t="s">
        <v>18</v>
      </c>
      <c r="AB1156"/>
    </row>
    <row r="1157" spans="1:28" x14ac:dyDescent="0.25">
      <c r="A1157" s="31" t="s">
        <v>1585</v>
      </c>
      <c r="B1157" s="31" t="s">
        <v>34</v>
      </c>
      <c r="C1157" s="32" t="str">
        <f t="shared" si="118"/>
        <v>Carlos Silva</v>
      </c>
      <c r="D1157" s="38" t="s">
        <v>1238</v>
      </c>
      <c r="E1157" s="33">
        <f t="shared" si="119"/>
        <v>45667</v>
      </c>
      <c r="F1157" s="32" t="s">
        <v>47</v>
      </c>
      <c r="G1157" s="32" t="str">
        <f t="shared" si="120"/>
        <v>Bruno Martins</v>
      </c>
      <c r="H1157" s="32" t="s">
        <v>52</v>
      </c>
      <c r="I1157" s="32" t="s">
        <v>99</v>
      </c>
      <c r="J1157" s="34">
        <v>3</v>
      </c>
      <c r="K1157" s="35">
        <v>79</v>
      </c>
      <c r="L1157" s="35">
        <v>0</v>
      </c>
      <c r="M1157" s="36">
        <f t="shared" si="116"/>
        <v>237</v>
      </c>
      <c r="N1157" s="32" t="s">
        <v>65</v>
      </c>
      <c r="Q1157" s="49" t="s">
        <v>1585</v>
      </c>
      <c r="R1157" s="49" t="s">
        <v>34</v>
      </c>
      <c r="S1157" s="58">
        <f t="shared" si="115"/>
        <v>45667</v>
      </c>
      <c r="T1157" s="51" t="s">
        <v>47</v>
      </c>
      <c r="U1157" s="50" t="s">
        <v>52</v>
      </c>
      <c r="V1157" s="52" t="s">
        <v>99</v>
      </c>
      <c r="W1157" s="53">
        <v>3</v>
      </c>
      <c r="X1157" s="54">
        <v>79</v>
      </c>
      <c r="Y1157" s="54">
        <v>0</v>
      </c>
      <c r="Z1157" s="55">
        <f t="shared" si="117"/>
        <v>237</v>
      </c>
      <c r="AA1157" s="56" t="s">
        <v>65</v>
      </c>
      <c r="AB1157"/>
    </row>
    <row r="1158" spans="1:28" x14ac:dyDescent="0.25">
      <c r="A1158" s="26" t="s">
        <v>1586</v>
      </c>
      <c r="B1158" s="26" t="s">
        <v>95</v>
      </c>
      <c r="C1158" s="26" t="str">
        <f t="shared" si="118"/>
        <v>Maria Oliveira</v>
      </c>
      <c r="D1158" s="37" t="s">
        <v>437</v>
      </c>
      <c r="E1158" s="27">
        <f t="shared" si="119"/>
        <v>45914</v>
      </c>
      <c r="F1158" s="26" t="s">
        <v>15</v>
      </c>
      <c r="G1158" s="26" t="str">
        <f t="shared" si="120"/>
        <v>Larissa Dias</v>
      </c>
      <c r="H1158" s="26" t="s">
        <v>52</v>
      </c>
      <c r="I1158" s="26" t="s">
        <v>99</v>
      </c>
      <c r="J1158" s="28">
        <v>1</v>
      </c>
      <c r="K1158" s="29">
        <v>79</v>
      </c>
      <c r="L1158" s="29">
        <v>0</v>
      </c>
      <c r="M1158" s="30">
        <f t="shared" si="116"/>
        <v>79</v>
      </c>
      <c r="N1158" s="26" t="s">
        <v>18</v>
      </c>
      <c r="Q1158" s="42" t="s">
        <v>1586</v>
      </c>
      <c r="R1158" s="42" t="s">
        <v>95</v>
      </c>
      <c r="S1158" s="57">
        <f t="shared" ref="S1158:S1221" si="121">DATEVALUE(D1158)</f>
        <v>45914</v>
      </c>
      <c r="T1158" s="44" t="s">
        <v>15</v>
      </c>
      <c r="U1158" s="43" t="s">
        <v>52</v>
      </c>
      <c r="V1158" s="42" t="s">
        <v>99</v>
      </c>
      <c r="W1158" s="45">
        <v>1</v>
      </c>
      <c r="X1158" s="46">
        <v>79</v>
      </c>
      <c r="Y1158" s="46">
        <v>0</v>
      </c>
      <c r="Z1158" s="47">
        <f t="shared" si="117"/>
        <v>79</v>
      </c>
      <c r="AA1158" s="48" t="s">
        <v>18</v>
      </c>
      <c r="AB1158"/>
    </row>
    <row r="1159" spans="1:28" x14ac:dyDescent="0.25">
      <c r="A1159" s="31" t="s">
        <v>1587</v>
      </c>
      <c r="B1159" s="31" t="s">
        <v>41</v>
      </c>
      <c r="C1159" s="32" t="str">
        <f t="shared" si="118"/>
        <v>João Pereira</v>
      </c>
      <c r="D1159" s="38" t="s">
        <v>349</v>
      </c>
      <c r="E1159" s="33">
        <f t="shared" si="119"/>
        <v>45939</v>
      </c>
      <c r="F1159" s="32" t="s">
        <v>22</v>
      </c>
      <c r="G1159" s="32" t="str">
        <f t="shared" si="120"/>
        <v>Amanda Costa</v>
      </c>
      <c r="H1159" s="32" t="s">
        <v>23</v>
      </c>
      <c r="I1159" s="32" t="s">
        <v>24</v>
      </c>
      <c r="J1159" s="34">
        <v>1</v>
      </c>
      <c r="K1159" s="35">
        <v>180</v>
      </c>
      <c r="L1159" s="35">
        <v>26.3</v>
      </c>
      <c r="M1159" s="36">
        <f t="shared" si="116"/>
        <v>153.69999999999999</v>
      </c>
      <c r="N1159" s="32" t="s">
        <v>49</v>
      </c>
      <c r="Q1159" s="49" t="s">
        <v>1587</v>
      </c>
      <c r="R1159" s="49" t="s">
        <v>41</v>
      </c>
      <c r="S1159" s="58">
        <f t="shared" si="121"/>
        <v>45939</v>
      </c>
      <c r="T1159" s="51" t="s">
        <v>22</v>
      </c>
      <c r="U1159" s="50" t="s">
        <v>23</v>
      </c>
      <c r="V1159" s="52" t="s">
        <v>24</v>
      </c>
      <c r="W1159" s="53">
        <v>1</v>
      </c>
      <c r="X1159" s="54">
        <v>180</v>
      </c>
      <c r="Y1159" s="54">
        <v>26.3</v>
      </c>
      <c r="Z1159" s="55">
        <f t="shared" si="117"/>
        <v>153.69999999999999</v>
      </c>
      <c r="AA1159" s="56" t="s">
        <v>49</v>
      </c>
      <c r="AB1159"/>
    </row>
    <row r="1160" spans="1:28" x14ac:dyDescent="0.25">
      <c r="A1160" s="26" t="s">
        <v>1588</v>
      </c>
      <c r="B1160" s="26" t="s">
        <v>110</v>
      </c>
      <c r="C1160" s="26" t="str">
        <f t="shared" si="118"/>
        <v>Fernanda Lima</v>
      </c>
      <c r="D1160" s="37" t="s">
        <v>1589</v>
      </c>
      <c r="E1160" s="27">
        <f t="shared" si="119"/>
        <v>46028</v>
      </c>
      <c r="F1160" s="26" t="s">
        <v>22</v>
      </c>
      <c r="G1160" s="26" t="str">
        <f t="shared" si="120"/>
        <v>Amanda Costa</v>
      </c>
      <c r="H1160" s="26" t="s">
        <v>16</v>
      </c>
      <c r="I1160" s="26" t="s">
        <v>116</v>
      </c>
      <c r="J1160" s="28">
        <v>1</v>
      </c>
      <c r="K1160" s="29">
        <v>45</v>
      </c>
      <c r="L1160" s="29">
        <v>1.56</v>
      </c>
      <c r="M1160" s="30">
        <f t="shared" si="116"/>
        <v>43.44</v>
      </c>
      <c r="N1160" s="26" t="s">
        <v>44</v>
      </c>
      <c r="Q1160" s="42" t="s">
        <v>1588</v>
      </c>
      <c r="R1160" s="42" t="s">
        <v>110</v>
      </c>
      <c r="S1160" s="57">
        <f t="shared" si="121"/>
        <v>46028</v>
      </c>
      <c r="T1160" s="44" t="s">
        <v>22</v>
      </c>
      <c r="U1160" s="43" t="s">
        <v>16</v>
      </c>
      <c r="V1160" s="42" t="s">
        <v>116</v>
      </c>
      <c r="W1160" s="45">
        <v>1</v>
      </c>
      <c r="X1160" s="46">
        <v>45</v>
      </c>
      <c r="Y1160" s="46">
        <v>1.56</v>
      </c>
      <c r="Z1160" s="47">
        <f t="shared" si="117"/>
        <v>43.44</v>
      </c>
      <c r="AA1160" s="48" t="s">
        <v>44</v>
      </c>
      <c r="AB1160"/>
    </row>
    <row r="1161" spans="1:28" x14ac:dyDescent="0.25">
      <c r="A1161" s="31" t="s">
        <v>1590</v>
      </c>
      <c r="B1161" s="31" t="s">
        <v>55</v>
      </c>
      <c r="C1161" s="32" t="str">
        <f t="shared" si="118"/>
        <v>Ricardo Carvalho</v>
      </c>
      <c r="D1161" s="38" t="s">
        <v>218</v>
      </c>
      <c r="E1161" s="33">
        <f t="shared" si="119"/>
        <v>45735</v>
      </c>
      <c r="F1161" s="32" t="s">
        <v>29</v>
      </c>
      <c r="G1161" s="32" t="str">
        <f t="shared" si="120"/>
        <v>Camila Rocha</v>
      </c>
      <c r="H1161" s="32" t="s">
        <v>52</v>
      </c>
      <c r="I1161" s="32" t="s">
        <v>75</v>
      </c>
      <c r="J1161" s="34">
        <v>5</v>
      </c>
      <c r="K1161" s="35">
        <v>249</v>
      </c>
      <c r="L1161" s="35">
        <v>177.14</v>
      </c>
      <c r="M1161" s="36">
        <f t="shared" si="116"/>
        <v>1067.8600000000001</v>
      </c>
      <c r="N1161" s="32" t="s">
        <v>18</v>
      </c>
      <c r="Q1161" s="49" t="s">
        <v>1590</v>
      </c>
      <c r="R1161" s="49" t="s">
        <v>55</v>
      </c>
      <c r="S1161" s="58">
        <f t="shared" si="121"/>
        <v>45735</v>
      </c>
      <c r="T1161" s="51" t="s">
        <v>29</v>
      </c>
      <c r="U1161" s="50" t="s">
        <v>52</v>
      </c>
      <c r="V1161" s="52" t="s">
        <v>75</v>
      </c>
      <c r="W1161" s="53">
        <v>5</v>
      </c>
      <c r="X1161" s="54">
        <v>249</v>
      </c>
      <c r="Y1161" s="54">
        <v>177.14</v>
      </c>
      <c r="Z1161" s="55">
        <f t="shared" si="117"/>
        <v>1067.8600000000001</v>
      </c>
      <c r="AA1161" s="56" t="s">
        <v>18</v>
      </c>
      <c r="AB1161"/>
    </row>
    <row r="1162" spans="1:28" x14ac:dyDescent="0.25">
      <c r="A1162" s="26" t="s">
        <v>1591</v>
      </c>
      <c r="B1162" s="26" t="s">
        <v>37</v>
      </c>
      <c r="C1162" s="26" t="str">
        <f t="shared" si="118"/>
        <v>Patricia Gomes</v>
      </c>
      <c r="D1162" s="37" t="s">
        <v>1553</v>
      </c>
      <c r="E1162" s="27">
        <f t="shared" si="119"/>
        <v>46010</v>
      </c>
      <c r="F1162" s="26" t="s">
        <v>22</v>
      </c>
      <c r="G1162" s="26" t="str">
        <f t="shared" si="120"/>
        <v>Amanda Costa</v>
      </c>
      <c r="H1162" s="26" t="s">
        <v>52</v>
      </c>
      <c r="I1162" s="26" t="s">
        <v>53</v>
      </c>
      <c r="J1162" s="28">
        <v>3</v>
      </c>
      <c r="K1162" s="29">
        <v>149</v>
      </c>
      <c r="L1162" s="29">
        <v>41.24</v>
      </c>
      <c r="M1162" s="30">
        <f t="shared" si="116"/>
        <v>405.76</v>
      </c>
      <c r="N1162" s="26" t="s">
        <v>89</v>
      </c>
      <c r="Q1162" s="42" t="s">
        <v>1591</v>
      </c>
      <c r="R1162" s="42" t="s">
        <v>37</v>
      </c>
      <c r="S1162" s="57">
        <f t="shared" si="121"/>
        <v>46010</v>
      </c>
      <c r="T1162" s="44" t="s">
        <v>22</v>
      </c>
      <c r="U1162" s="43" t="s">
        <v>52</v>
      </c>
      <c r="V1162" s="42" t="s">
        <v>53</v>
      </c>
      <c r="W1162" s="45">
        <v>3</v>
      </c>
      <c r="X1162" s="46">
        <v>149</v>
      </c>
      <c r="Y1162" s="46">
        <v>41.24</v>
      </c>
      <c r="Z1162" s="47">
        <f t="shared" si="117"/>
        <v>405.76</v>
      </c>
      <c r="AA1162" s="48" t="s">
        <v>89</v>
      </c>
      <c r="AB1162"/>
    </row>
    <row r="1163" spans="1:28" x14ac:dyDescent="0.25">
      <c r="A1163" s="31" t="s">
        <v>1592</v>
      </c>
      <c r="B1163" s="31" t="s">
        <v>41</v>
      </c>
      <c r="C1163" s="32" t="str">
        <f t="shared" si="118"/>
        <v>João Pereira</v>
      </c>
      <c r="D1163" s="38" t="s">
        <v>527</v>
      </c>
      <c r="E1163" s="33">
        <f t="shared" si="119"/>
        <v>45767</v>
      </c>
      <c r="F1163" s="32" t="s">
        <v>47</v>
      </c>
      <c r="G1163" s="32" t="str">
        <f t="shared" si="120"/>
        <v>Bruno Martins</v>
      </c>
      <c r="H1163" s="32" t="s">
        <v>23</v>
      </c>
      <c r="I1163" s="32" t="s">
        <v>88</v>
      </c>
      <c r="J1163" s="34">
        <v>1</v>
      </c>
      <c r="K1163" s="35">
        <v>650</v>
      </c>
      <c r="L1163" s="35">
        <v>0</v>
      </c>
      <c r="M1163" s="36">
        <f t="shared" si="116"/>
        <v>650</v>
      </c>
      <c r="N1163" s="32" t="s">
        <v>49</v>
      </c>
      <c r="Q1163" s="49" t="s">
        <v>1592</v>
      </c>
      <c r="R1163" s="49" t="s">
        <v>41</v>
      </c>
      <c r="S1163" s="58">
        <f t="shared" si="121"/>
        <v>45767</v>
      </c>
      <c r="T1163" s="51" t="s">
        <v>47</v>
      </c>
      <c r="U1163" s="50" t="s">
        <v>23</v>
      </c>
      <c r="V1163" s="52" t="s">
        <v>88</v>
      </c>
      <c r="W1163" s="53">
        <v>1</v>
      </c>
      <c r="X1163" s="54">
        <v>650</v>
      </c>
      <c r="Y1163" s="54">
        <v>0</v>
      </c>
      <c r="Z1163" s="55">
        <f t="shared" si="117"/>
        <v>650</v>
      </c>
      <c r="AA1163" s="56" t="s">
        <v>49</v>
      </c>
      <c r="AB1163"/>
    </row>
    <row r="1164" spans="1:28" x14ac:dyDescent="0.25">
      <c r="A1164" s="26" t="s">
        <v>1593</v>
      </c>
      <c r="B1164" s="26" t="s">
        <v>101</v>
      </c>
      <c r="C1164" s="26" t="str">
        <f t="shared" si="118"/>
        <v>Ana Souza</v>
      </c>
      <c r="D1164" s="37" t="s">
        <v>452</v>
      </c>
      <c r="E1164" s="27">
        <f t="shared" si="119"/>
        <v>45685</v>
      </c>
      <c r="F1164" s="26" t="s">
        <v>29</v>
      </c>
      <c r="G1164" s="26" t="str">
        <f t="shared" si="120"/>
        <v>Camila Rocha</v>
      </c>
      <c r="H1164" s="26" t="s">
        <v>23</v>
      </c>
      <c r="I1164" s="26" t="s">
        <v>24</v>
      </c>
      <c r="J1164" s="28">
        <v>1</v>
      </c>
      <c r="K1164" s="29">
        <v>180</v>
      </c>
      <c r="L1164" s="29">
        <v>0</v>
      </c>
      <c r="M1164" s="30">
        <f t="shared" si="116"/>
        <v>180</v>
      </c>
      <c r="N1164" s="26" t="s">
        <v>65</v>
      </c>
      <c r="Q1164" s="42" t="s">
        <v>1593</v>
      </c>
      <c r="R1164" s="42" t="s">
        <v>101</v>
      </c>
      <c r="S1164" s="57">
        <f t="shared" si="121"/>
        <v>45685</v>
      </c>
      <c r="T1164" s="44" t="s">
        <v>29</v>
      </c>
      <c r="U1164" s="43" t="s">
        <v>23</v>
      </c>
      <c r="V1164" s="42" t="s">
        <v>24</v>
      </c>
      <c r="W1164" s="45">
        <v>1</v>
      </c>
      <c r="X1164" s="46">
        <v>180</v>
      </c>
      <c r="Y1164" s="46">
        <v>0</v>
      </c>
      <c r="Z1164" s="47">
        <f t="shared" si="117"/>
        <v>180</v>
      </c>
      <c r="AA1164" s="48" t="s">
        <v>65</v>
      </c>
      <c r="AB1164"/>
    </row>
    <row r="1165" spans="1:28" x14ac:dyDescent="0.25">
      <c r="A1165" s="31" t="s">
        <v>1594</v>
      </c>
      <c r="B1165" s="31" t="s">
        <v>55</v>
      </c>
      <c r="C1165" s="32" t="str">
        <f t="shared" si="118"/>
        <v>Ricardo Carvalho</v>
      </c>
      <c r="D1165" s="38" t="s">
        <v>159</v>
      </c>
      <c r="E1165" s="33">
        <f t="shared" si="119"/>
        <v>45917</v>
      </c>
      <c r="F1165" s="32" t="s">
        <v>39</v>
      </c>
      <c r="G1165" s="32" t="str">
        <f t="shared" si="120"/>
        <v>Rodrigo Mello</v>
      </c>
      <c r="H1165" s="32" t="s">
        <v>23</v>
      </c>
      <c r="I1165" s="32" t="s">
        <v>48</v>
      </c>
      <c r="J1165" s="34">
        <v>5</v>
      </c>
      <c r="K1165" s="35">
        <v>450</v>
      </c>
      <c r="L1165" s="35">
        <v>0</v>
      </c>
      <c r="M1165" s="36">
        <f t="shared" si="116"/>
        <v>2250</v>
      </c>
      <c r="N1165" s="32" t="s">
        <v>49</v>
      </c>
      <c r="Q1165" s="49" t="s">
        <v>1594</v>
      </c>
      <c r="R1165" s="49" t="s">
        <v>55</v>
      </c>
      <c r="S1165" s="58">
        <f t="shared" si="121"/>
        <v>45917</v>
      </c>
      <c r="T1165" s="51" t="s">
        <v>39</v>
      </c>
      <c r="U1165" s="50" t="s">
        <v>23</v>
      </c>
      <c r="V1165" s="52" t="s">
        <v>48</v>
      </c>
      <c r="W1165" s="53">
        <v>5</v>
      </c>
      <c r="X1165" s="54">
        <v>450</v>
      </c>
      <c r="Y1165" s="54">
        <v>0</v>
      </c>
      <c r="Z1165" s="55">
        <f t="shared" si="117"/>
        <v>2250</v>
      </c>
      <c r="AA1165" s="56" t="s">
        <v>49</v>
      </c>
      <c r="AB1165"/>
    </row>
    <row r="1166" spans="1:28" x14ac:dyDescent="0.25">
      <c r="A1166" s="26" t="s">
        <v>1595</v>
      </c>
      <c r="B1166" s="26" t="s">
        <v>27</v>
      </c>
      <c r="C1166" s="26" t="str">
        <f t="shared" si="118"/>
        <v>Roberto Santos</v>
      </c>
      <c r="D1166" s="37" t="s">
        <v>200</v>
      </c>
      <c r="E1166" s="27">
        <f t="shared" si="119"/>
        <v>45870</v>
      </c>
      <c r="F1166" s="26" t="s">
        <v>29</v>
      </c>
      <c r="G1166" s="26" t="str">
        <f t="shared" si="120"/>
        <v>Camila Rocha</v>
      </c>
      <c r="H1166" s="26" t="s">
        <v>23</v>
      </c>
      <c r="I1166" s="26" t="s">
        <v>48</v>
      </c>
      <c r="J1166" s="28">
        <v>3</v>
      </c>
      <c r="K1166" s="29">
        <v>450</v>
      </c>
      <c r="L1166" s="29">
        <v>96.99</v>
      </c>
      <c r="M1166" s="30">
        <f t="shared" si="116"/>
        <v>1253.01</v>
      </c>
      <c r="N1166" s="26" t="s">
        <v>32</v>
      </c>
      <c r="Q1166" s="42" t="s">
        <v>1595</v>
      </c>
      <c r="R1166" s="42" t="s">
        <v>27</v>
      </c>
      <c r="S1166" s="57">
        <f t="shared" si="121"/>
        <v>45870</v>
      </c>
      <c r="T1166" s="44" t="s">
        <v>29</v>
      </c>
      <c r="U1166" s="43" t="s">
        <v>23</v>
      </c>
      <c r="V1166" s="42" t="s">
        <v>48</v>
      </c>
      <c r="W1166" s="45">
        <v>3</v>
      </c>
      <c r="X1166" s="46">
        <v>450</v>
      </c>
      <c r="Y1166" s="46">
        <v>96.99</v>
      </c>
      <c r="Z1166" s="47">
        <f t="shared" si="117"/>
        <v>1253.01</v>
      </c>
      <c r="AA1166" s="48" t="s">
        <v>32</v>
      </c>
      <c r="AB1166"/>
    </row>
    <row r="1167" spans="1:28" x14ac:dyDescent="0.25">
      <c r="A1167" s="31" t="s">
        <v>1596</v>
      </c>
      <c r="B1167" s="31" t="s">
        <v>110</v>
      </c>
      <c r="C1167" s="32" t="str">
        <f t="shared" si="118"/>
        <v>Fernanda Lima</v>
      </c>
      <c r="D1167" s="38" t="s">
        <v>464</v>
      </c>
      <c r="E1167" s="33">
        <f t="shared" si="119"/>
        <v>45694</v>
      </c>
      <c r="F1167" s="32" t="s">
        <v>22</v>
      </c>
      <c r="G1167" s="32" t="str">
        <f t="shared" si="120"/>
        <v>Amanda Costa</v>
      </c>
      <c r="H1167" s="32" t="s">
        <v>23</v>
      </c>
      <c r="I1167" s="32" t="s">
        <v>24</v>
      </c>
      <c r="J1167" s="34">
        <v>4</v>
      </c>
      <c r="K1167" s="35">
        <v>180</v>
      </c>
      <c r="L1167" s="35">
        <v>49.01</v>
      </c>
      <c r="M1167" s="36">
        <f t="shared" si="116"/>
        <v>670.99</v>
      </c>
      <c r="N1167" s="32" t="s">
        <v>89</v>
      </c>
      <c r="Q1167" s="49" t="s">
        <v>1596</v>
      </c>
      <c r="R1167" s="49" t="s">
        <v>110</v>
      </c>
      <c r="S1167" s="58">
        <f t="shared" si="121"/>
        <v>45694</v>
      </c>
      <c r="T1167" s="51" t="s">
        <v>22</v>
      </c>
      <c r="U1167" s="50" t="s">
        <v>23</v>
      </c>
      <c r="V1167" s="52" t="s">
        <v>24</v>
      </c>
      <c r="W1167" s="53">
        <v>4</v>
      </c>
      <c r="X1167" s="54">
        <v>180</v>
      </c>
      <c r="Y1167" s="54">
        <v>49.01</v>
      </c>
      <c r="Z1167" s="55">
        <f t="shared" si="117"/>
        <v>670.99</v>
      </c>
      <c r="AA1167" s="56" t="s">
        <v>89</v>
      </c>
      <c r="AB1167"/>
    </row>
    <row r="1168" spans="1:28" x14ac:dyDescent="0.25">
      <c r="A1168" s="26" t="s">
        <v>1597</v>
      </c>
      <c r="B1168" s="26" t="s">
        <v>71</v>
      </c>
      <c r="C1168" s="26" t="str">
        <f t="shared" si="118"/>
        <v>Juliana Costa</v>
      </c>
      <c r="D1168" s="37" t="s">
        <v>726</v>
      </c>
      <c r="E1168" s="27">
        <f t="shared" si="119"/>
        <v>45690</v>
      </c>
      <c r="F1168" s="26" t="s">
        <v>39</v>
      </c>
      <c r="G1168" s="26" t="str">
        <f t="shared" si="120"/>
        <v>Rodrigo Mello</v>
      </c>
      <c r="H1168" s="26" t="s">
        <v>30</v>
      </c>
      <c r="I1168" s="26" t="s">
        <v>106</v>
      </c>
      <c r="J1168" s="28">
        <v>3</v>
      </c>
      <c r="K1168" s="29">
        <v>299</v>
      </c>
      <c r="L1168" s="29">
        <v>116.55</v>
      </c>
      <c r="M1168" s="30">
        <f t="shared" si="116"/>
        <v>780.45</v>
      </c>
      <c r="N1168" s="26" t="s">
        <v>65</v>
      </c>
      <c r="Q1168" s="42" t="s">
        <v>1597</v>
      </c>
      <c r="R1168" s="42" t="s">
        <v>71</v>
      </c>
      <c r="S1168" s="57">
        <f t="shared" si="121"/>
        <v>45690</v>
      </c>
      <c r="T1168" s="44" t="s">
        <v>39</v>
      </c>
      <c r="U1168" s="43" t="s">
        <v>30</v>
      </c>
      <c r="V1168" s="42" t="s">
        <v>106</v>
      </c>
      <c r="W1168" s="45">
        <v>3</v>
      </c>
      <c r="X1168" s="46">
        <v>299</v>
      </c>
      <c r="Y1168" s="46">
        <v>116.55</v>
      </c>
      <c r="Z1168" s="47">
        <f t="shared" si="117"/>
        <v>780.45</v>
      </c>
      <c r="AA1168" s="48" t="s">
        <v>65</v>
      </c>
      <c r="AB1168"/>
    </row>
    <row r="1169" spans="1:28" x14ac:dyDescent="0.25">
      <c r="A1169" s="31" t="s">
        <v>1598</v>
      </c>
      <c r="B1169" s="31" t="s">
        <v>55</v>
      </c>
      <c r="C1169" s="32" t="str">
        <f t="shared" si="118"/>
        <v>Ricardo Carvalho</v>
      </c>
      <c r="D1169" s="38" t="s">
        <v>198</v>
      </c>
      <c r="E1169" s="33">
        <f t="shared" si="119"/>
        <v>45702</v>
      </c>
      <c r="F1169" s="32" t="s">
        <v>39</v>
      </c>
      <c r="G1169" s="32" t="str">
        <f t="shared" si="120"/>
        <v>Rodrigo Mello</v>
      </c>
      <c r="H1169" s="32" t="s">
        <v>23</v>
      </c>
      <c r="I1169" s="32" t="s">
        <v>88</v>
      </c>
      <c r="J1169" s="34">
        <v>5</v>
      </c>
      <c r="K1169" s="35">
        <v>650</v>
      </c>
      <c r="L1169" s="35">
        <v>351.53</v>
      </c>
      <c r="M1169" s="36">
        <f t="shared" si="116"/>
        <v>2898.4700000000003</v>
      </c>
      <c r="N1169" s="32" t="s">
        <v>49</v>
      </c>
      <c r="Q1169" s="49" t="s">
        <v>1598</v>
      </c>
      <c r="R1169" s="49" t="s">
        <v>55</v>
      </c>
      <c r="S1169" s="58">
        <f t="shared" si="121"/>
        <v>45702</v>
      </c>
      <c r="T1169" s="51" t="s">
        <v>39</v>
      </c>
      <c r="U1169" s="50" t="s">
        <v>23</v>
      </c>
      <c r="V1169" s="52" t="s">
        <v>88</v>
      </c>
      <c r="W1169" s="53">
        <v>5</v>
      </c>
      <c r="X1169" s="54">
        <v>650</v>
      </c>
      <c r="Y1169" s="54">
        <v>351.53</v>
      </c>
      <c r="Z1169" s="55">
        <f t="shared" si="117"/>
        <v>2898.4700000000003</v>
      </c>
      <c r="AA1169" s="56" t="s">
        <v>49</v>
      </c>
      <c r="AB1169"/>
    </row>
    <row r="1170" spans="1:28" x14ac:dyDescent="0.25">
      <c r="A1170" s="26" t="s">
        <v>1599</v>
      </c>
      <c r="B1170" s="26" t="s">
        <v>110</v>
      </c>
      <c r="C1170" s="26" t="str">
        <f t="shared" si="118"/>
        <v>Fernanda Lima</v>
      </c>
      <c r="D1170" s="37" t="s">
        <v>599</v>
      </c>
      <c r="E1170" s="27">
        <f t="shared" si="119"/>
        <v>45944</v>
      </c>
      <c r="F1170" s="26" t="s">
        <v>15</v>
      </c>
      <c r="G1170" s="26" t="str">
        <f t="shared" si="120"/>
        <v>Larissa Dias</v>
      </c>
      <c r="H1170" s="26" t="s">
        <v>52</v>
      </c>
      <c r="I1170" s="26" t="s">
        <v>99</v>
      </c>
      <c r="J1170" s="28">
        <v>2</v>
      </c>
      <c r="K1170" s="29">
        <v>79</v>
      </c>
      <c r="L1170" s="29">
        <v>0</v>
      </c>
      <c r="M1170" s="30">
        <f t="shared" si="116"/>
        <v>158</v>
      </c>
      <c r="N1170" s="26" t="s">
        <v>89</v>
      </c>
      <c r="Q1170" s="42" t="s">
        <v>1599</v>
      </c>
      <c r="R1170" s="42" t="s">
        <v>110</v>
      </c>
      <c r="S1170" s="57">
        <f t="shared" si="121"/>
        <v>45944</v>
      </c>
      <c r="T1170" s="44" t="s">
        <v>15</v>
      </c>
      <c r="U1170" s="43" t="s">
        <v>52</v>
      </c>
      <c r="V1170" s="42" t="s">
        <v>99</v>
      </c>
      <c r="W1170" s="45">
        <v>2</v>
      </c>
      <c r="X1170" s="46">
        <v>79</v>
      </c>
      <c r="Y1170" s="46">
        <v>0</v>
      </c>
      <c r="Z1170" s="47">
        <f t="shared" si="117"/>
        <v>158</v>
      </c>
      <c r="AA1170" s="48" t="s">
        <v>89</v>
      </c>
      <c r="AB1170"/>
    </row>
    <row r="1171" spans="1:28" x14ac:dyDescent="0.25">
      <c r="A1171" s="31" t="s">
        <v>1600</v>
      </c>
      <c r="B1171" s="31" t="s">
        <v>27</v>
      </c>
      <c r="C1171" s="32" t="str">
        <f t="shared" si="118"/>
        <v>Roberto Santos</v>
      </c>
      <c r="D1171" s="38" t="s">
        <v>96</v>
      </c>
      <c r="E1171" s="33">
        <f t="shared" si="119"/>
        <v>45879</v>
      </c>
      <c r="F1171" s="32" t="s">
        <v>47</v>
      </c>
      <c r="G1171" s="32" t="str">
        <f t="shared" si="120"/>
        <v>Bruno Martins</v>
      </c>
      <c r="H1171" s="32" t="s">
        <v>23</v>
      </c>
      <c r="I1171" s="32" t="s">
        <v>88</v>
      </c>
      <c r="J1171" s="34">
        <v>3</v>
      </c>
      <c r="K1171" s="35">
        <v>650</v>
      </c>
      <c r="L1171" s="35">
        <v>205.7</v>
      </c>
      <c r="M1171" s="36">
        <f t="shared" si="116"/>
        <v>1744.3</v>
      </c>
      <c r="N1171" s="32" t="s">
        <v>69</v>
      </c>
      <c r="Q1171" s="49" t="s">
        <v>1600</v>
      </c>
      <c r="R1171" s="49" t="s">
        <v>27</v>
      </c>
      <c r="S1171" s="58">
        <f t="shared" si="121"/>
        <v>45879</v>
      </c>
      <c r="T1171" s="51" t="s">
        <v>47</v>
      </c>
      <c r="U1171" s="50" t="s">
        <v>23</v>
      </c>
      <c r="V1171" s="52" t="s">
        <v>88</v>
      </c>
      <c r="W1171" s="53">
        <v>3</v>
      </c>
      <c r="X1171" s="54">
        <v>650</v>
      </c>
      <c r="Y1171" s="54">
        <v>205.7</v>
      </c>
      <c r="Z1171" s="55">
        <f t="shared" si="117"/>
        <v>1744.3</v>
      </c>
      <c r="AA1171" s="56" t="s">
        <v>69</v>
      </c>
      <c r="AB1171"/>
    </row>
    <row r="1172" spans="1:28" x14ac:dyDescent="0.25">
      <c r="A1172" s="26" t="s">
        <v>1601</v>
      </c>
      <c r="B1172" s="26" t="s">
        <v>71</v>
      </c>
      <c r="C1172" s="26" t="str">
        <f t="shared" si="118"/>
        <v>Juliana Costa</v>
      </c>
      <c r="D1172" s="37" t="s">
        <v>1058</v>
      </c>
      <c r="E1172" s="27">
        <f t="shared" si="119"/>
        <v>45824</v>
      </c>
      <c r="F1172" s="26" t="s">
        <v>15</v>
      </c>
      <c r="G1172" s="26" t="str">
        <f t="shared" si="120"/>
        <v>Larissa Dias</v>
      </c>
      <c r="H1172" s="26" t="s">
        <v>16</v>
      </c>
      <c r="I1172" s="26" t="s">
        <v>78</v>
      </c>
      <c r="J1172" s="28">
        <v>4</v>
      </c>
      <c r="K1172" s="29">
        <v>59</v>
      </c>
      <c r="L1172" s="29">
        <v>7.0000000000000007E-2</v>
      </c>
      <c r="M1172" s="30">
        <f t="shared" si="116"/>
        <v>235.93</v>
      </c>
      <c r="N1172" s="26" t="s">
        <v>32</v>
      </c>
      <c r="Q1172" s="42" t="s">
        <v>1601</v>
      </c>
      <c r="R1172" s="42" t="s">
        <v>71</v>
      </c>
      <c r="S1172" s="57">
        <f t="shared" si="121"/>
        <v>45824</v>
      </c>
      <c r="T1172" s="44" t="s">
        <v>15</v>
      </c>
      <c r="U1172" s="43" t="s">
        <v>16</v>
      </c>
      <c r="V1172" s="42" t="s">
        <v>78</v>
      </c>
      <c r="W1172" s="45">
        <v>4</v>
      </c>
      <c r="X1172" s="46">
        <v>59</v>
      </c>
      <c r="Y1172" s="46">
        <v>7.0000000000000007E-2</v>
      </c>
      <c r="Z1172" s="47">
        <f t="shared" si="117"/>
        <v>235.93</v>
      </c>
      <c r="AA1172" s="48" t="s">
        <v>32</v>
      </c>
      <c r="AB1172"/>
    </row>
    <row r="1173" spans="1:28" x14ac:dyDescent="0.25">
      <c r="A1173" s="31" t="s">
        <v>1602</v>
      </c>
      <c r="B1173" s="31" t="s">
        <v>13</v>
      </c>
      <c r="C1173" s="32" t="str">
        <f t="shared" si="118"/>
        <v>Lucas Almeida</v>
      </c>
      <c r="D1173" s="38" t="s">
        <v>320</v>
      </c>
      <c r="E1173" s="33">
        <f t="shared" si="119"/>
        <v>46056</v>
      </c>
      <c r="F1173" s="32" t="s">
        <v>47</v>
      </c>
      <c r="G1173" s="32" t="str">
        <f t="shared" si="120"/>
        <v>Bruno Martins</v>
      </c>
      <c r="H1173" s="32" t="s">
        <v>23</v>
      </c>
      <c r="I1173" s="32" t="s">
        <v>88</v>
      </c>
      <c r="J1173" s="34">
        <v>2</v>
      </c>
      <c r="K1173" s="35">
        <v>650</v>
      </c>
      <c r="L1173" s="35">
        <v>0</v>
      </c>
      <c r="M1173" s="36">
        <f t="shared" si="116"/>
        <v>1300</v>
      </c>
      <c r="N1173" s="32" t="s">
        <v>89</v>
      </c>
      <c r="Q1173" s="49" t="s">
        <v>1602</v>
      </c>
      <c r="R1173" s="49" t="s">
        <v>13</v>
      </c>
      <c r="S1173" s="58">
        <f t="shared" si="121"/>
        <v>46056</v>
      </c>
      <c r="T1173" s="51" t="s">
        <v>47</v>
      </c>
      <c r="U1173" s="50" t="s">
        <v>23</v>
      </c>
      <c r="V1173" s="52" t="s">
        <v>88</v>
      </c>
      <c r="W1173" s="53">
        <v>2</v>
      </c>
      <c r="X1173" s="54">
        <v>650</v>
      </c>
      <c r="Y1173" s="54">
        <v>0</v>
      </c>
      <c r="Z1173" s="55">
        <f t="shared" si="117"/>
        <v>1300</v>
      </c>
      <c r="AA1173" s="56" t="s">
        <v>89</v>
      </c>
      <c r="AB1173"/>
    </row>
    <row r="1174" spans="1:28" x14ac:dyDescent="0.25">
      <c r="A1174" s="26" t="s">
        <v>1603</v>
      </c>
      <c r="B1174" s="26" t="s">
        <v>63</v>
      </c>
      <c r="C1174" s="26" t="str">
        <f t="shared" si="118"/>
        <v>Marcos Rodrigues</v>
      </c>
      <c r="D1174" s="37" t="s">
        <v>340</v>
      </c>
      <c r="E1174" s="27">
        <f t="shared" si="119"/>
        <v>45690</v>
      </c>
      <c r="F1174" s="26" t="s">
        <v>47</v>
      </c>
      <c r="G1174" s="26" t="str">
        <f t="shared" si="120"/>
        <v>Bruno Martins</v>
      </c>
      <c r="H1174" s="26" t="s">
        <v>23</v>
      </c>
      <c r="I1174" s="26" t="s">
        <v>24</v>
      </c>
      <c r="J1174" s="28">
        <v>5</v>
      </c>
      <c r="K1174" s="29">
        <v>180</v>
      </c>
      <c r="L1174" s="29">
        <v>0</v>
      </c>
      <c r="M1174" s="30">
        <f t="shared" si="116"/>
        <v>900</v>
      </c>
      <c r="N1174" s="26" t="s">
        <v>18</v>
      </c>
      <c r="Q1174" s="42" t="s">
        <v>1603</v>
      </c>
      <c r="R1174" s="42" t="s">
        <v>63</v>
      </c>
      <c r="S1174" s="57">
        <f t="shared" si="121"/>
        <v>45690</v>
      </c>
      <c r="T1174" s="44" t="s">
        <v>47</v>
      </c>
      <c r="U1174" s="43" t="s">
        <v>23</v>
      </c>
      <c r="V1174" s="42" t="s">
        <v>24</v>
      </c>
      <c r="W1174" s="45">
        <v>5</v>
      </c>
      <c r="X1174" s="46">
        <v>180</v>
      </c>
      <c r="Y1174" s="46">
        <v>0</v>
      </c>
      <c r="Z1174" s="47">
        <f t="shared" si="117"/>
        <v>900</v>
      </c>
      <c r="AA1174" s="48" t="s">
        <v>18</v>
      </c>
      <c r="AB1174"/>
    </row>
    <row r="1175" spans="1:28" x14ac:dyDescent="0.25">
      <c r="A1175" s="31" t="s">
        <v>1604</v>
      </c>
      <c r="B1175" s="31" t="s">
        <v>20</v>
      </c>
      <c r="C1175" s="32" t="str">
        <f t="shared" si="118"/>
        <v>Beatriz Ribeiro</v>
      </c>
      <c r="D1175" s="38" t="s">
        <v>1056</v>
      </c>
      <c r="E1175" s="33">
        <f t="shared" si="119"/>
        <v>45970</v>
      </c>
      <c r="F1175" s="32" t="s">
        <v>39</v>
      </c>
      <c r="G1175" s="32" t="str">
        <f t="shared" si="120"/>
        <v>Rodrigo Mello</v>
      </c>
      <c r="H1175" s="32" t="s">
        <v>23</v>
      </c>
      <c r="I1175" s="32" t="s">
        <v>88</v>
      </c>
      <c r="J1175" s="34">
        <v>5</v>
      </c>
      <c r="K1175" s="35">
        <v>650</v>
      </c>
      <c r="L1175" s="35">
        <v>5.86</v>
      </c>
      <c r="M1175" s="36">
        <f t="shared" si="116"/>
        <v>3244.14</v>
      </c>
      <c r="N1175" s="32" t="s">
        <v>89</v>
      </c>
      <c r="Q1175" s="49" t="s">
        <v>1604</v>
      </c>
      <c r="R1175" s="49" t="s">
        <v>20</v>
      </c>
      <c r="S1175" s="58">
        <f t="shared" si="121"/>
        <v>45970</v>
      </c>
      <c r="T1175" s="51" t="s">
        <v>39</v>
      </c>
      <c r="U1175" s="50" t="s">
        <v>23</v>
      </c>
      <c r="V1175" s="52" t="s">
        <v>88</v>
      </c>
      <c r="W1175" s="53">
        <v>5</v>
      </c>
      <c r="X1175" s="54">
        <v>650</v>
      </c>
      <c r="Y1175" s="54">
        <v>5.86</v>
      </c>
      <c r="Z1175" s="55">
        <f t="shared" si="117"/>
        <v>3244.14</v>
      </c>
      <c r="AA1175" s="56" t="s">
        <v>89</v>
      </c>
      <c r="AB1175"/>
    </row>
    <row r="1176" spans="1:28" x14ac:dyDescent="0.25">
      <c r="A1176" s="26" t="s">
        <v>1605</v>
      </c>
      <c r="B1176" s="26" t="s">
        <v>55</v>
      </c>
      <c r="C1176" s="26" t="str">
        <f t="shared" si="118"/>
        <v>Ricardo Carvalho</v>
      </c>
      <c r="D1176" s="37" t="s">
        <v>1606</v>
      </c>
      <c r="E1176" s="27">
        <f t="shared" si="119"/>
        <v>45764</v>
      </c>
      <c r="F1176" s="26" t="s">
        <v>15</v>
      </c>
      <c r="G1176" s="26" t="str">
        <f t="shared" si="120"/>
        <v>Larissa Dias</v>
      </c>
      <c r="H1176" s="26" t="s">
        <v>23</v>
      </c>
      <c r="I1176" s="26" t="s">
        <v>88</v>
      </c>
      <c r="J1176" s="28">
        <v>3</v>
      </c>
      <c r="K1176" s="29">
        <v>650</v>
      </c>
      <c r="L1176" s="29">
        <v>0</v>
      </c>
      <c r="M1176" s="30">
        <f t="shared" si="116"/>
        <v>1950</v>
      </c>
      <c r="N1176" s="26" t="s">
        <v>89</v>
      </c>
      <c r="Q1176" s="42" t="s">
        <v>1605</v>
      </c>
      <c r="R1176" s="42" t="s">
        <v>55</v>
      </c>
      <c r="S1176" s="57">
        <f t="shared" si="121"/>
        <v>45764</v>
      </c>
      <c r="T1176" s="44" t="s">
        <v>15</v>
      </c>
      <c r="U1176" s="43" t="s">
        <v>23</v>
      </c>
      <c r="V1176" s="42" t="s">
        <v>88</v>
      </c>
      <c r="W1176" s="45">
        <v>3</v>
      </c>
      <c r="X1176" s="46">
        <v>650</v>
      </c>
      <c r="Y1176" s="46">
        <v>0</v>
      </c>
      <c r="Z1176" s="47">
        <f t="shared" si="117"/>
        <v>1950</v>
      </c>
      <c r="AA1176" s="48" t="s">
        <v>89</v>
      </c>
      <c r="AB1176"/>
    </row>
    <row r="1177" spans="1:28" x14ac:dyDescent="0.25">
      <c r="A1177" s="31" t="s">
        <v>1607</v>
      </c>
      <c r="B1177" s="31" t="s">
        <v>34</v>
      </c>
      <c r="C1177" s="32" t="str">
        <f t="shared" si="118"/>
        <v>Carlos Silva</v>
      </c>
      <c r="D1177" s="38" t="s">
        <v>14</v>
      </c>
      <c r="E1177" s="33">
        <f t="shared" si="119"/>
        <v>45918</v>
      </c>
      <c r="F1177" s="32" t="s">
        <v>22</v>
      </c>
      <c r="G1177" s="32" t="str">
        <f t="shared" si="120"/>
        <v>Amanda Costa</v>
      </c>
      <c r="H1177" s="32" t="s">
        <v>30</v>
      </c>
      <c r="I1177" s="32" t="s">
        <v>106</v>
      </c>
      <c r="J1177" s="34">
        <v>4</v>
      </c>
      <c r="K1177" s="35">
        <v>299</v>
      </c>
      <c r="L1177" s="35">
        <v>0</v>
      </c>
      <c r="M1177" s="36">
        <f t="shared" si="116"/>
        <v>1196</v>
      </c>
      <c r="N1177" s="32" t="s">
        <v>49</v>
      </c>
      <c r="Q1177" s="49" t="s">
        <v>1607</v>
      </c>
      <c r="R1177" s="49" t="s">
        <v>34</v>
      </c>
      <c r="S1177" s="58">
        <f t="shared" si="121"/>
        <v>45918</v>
      </c>
      <c r="T1177" s="51" t="s">
        <v>22</v>
      </c>
      <c r="U1177" s="50" t="s">
        <v>30</v>
      </c>
      <c r="V1177" s="52" t="s">
        <v>106</v>
      </c>
      <c r="W1177" s="53">
        <v>4</v>
      </c>
      <c r="X1177" s="54">
        <v>299</v>
      </c>
      <c r="Y1177" s="54">
        <v>0</v>
      </c>
      <c r="Z1177" s="55">
        <f t="shared" si="117"/>
        <v>1196</v>
      </c>
      <c r="AA1177" s="56" t="s">
        <v>49</v>
      </c>
      <c r="AB1177"/>
    </row>
    <row r="1178" spans="1:28" x14ac:dyDescent="0.25">
      <c r="A1178" s="26" t="s">
        <v>1608</v>
      </c>
      <c r="B1178" s="26" t="s">
        <v>34</v>
      </c>
      <c r="C1178" s="26" t="str">
        <f t="shared" si="118"/>
        <v>Carlos Silva</v>
      </c>
      <c r="D1178" s="37" t="s">
        <v>756</v>
      </c>
      <c r="E1178" s="27">
        <f t="shared" si="119"/>
        <v>45731</v>
      </c>
      <c r="F1178" s="26" t="s">
        <v>47</v>
      </c>
      <c r="G1178" s="26" t="str">
        <f t="shared" si="120"/>
        <v>Bruno Martins</v>
      </c>
      <c r="H1178" s="26" t="s">
        <v>16</v>
      </c>
      <c r="I1178" s="26" t="s">
        <v>116</v>
      </c>
      <c r="J1178" s="28">
        <v>2</v>
      </c>
      <c r="K1178" s="29">
        <v>45</v>
      </c>
      <c r="L1178" s="29">
        <v>0</v>
      </c>
      <c r="M1178" s="30">
        <f t="shared" si="116"/>
        <v>90</v>
      </c>
      <c r="N1178" s="26" t="s">
        <v>32</v>
      </c>
      <c r="Q1178" s="42" t="s">
        <v>1608</v>
      </c>
      <c r="R1178" s="42" t="s">
        <v>34</v>
      </c>
      <c r="S1178" s="57">
        <f t="shared" si="121"/>
        <v>45731</v>
      </c>
      <c r="T1178" s="44" t="s">
        <v>47</v>
      </c>
      <c r="U1178" s="43" t="s">
        <v>16</v>
      </c>
      <c r="V1178" s="42" t="s">
        <v>116</v>
      </c>
      <c r="W1178" s="45">
        <v>2</v>
      </c>
      <c r="X1178" s="46">
        <v>45</v>
      </c>
      <c r="Y1178" s="46">
        <v>0</v>
      </c>
      <c r="Z1178" s="47">
        <f t="shared" si="117"/>
        <v>90</v>
      </c>
      <c r="AA1178" s="48" t="s">
        <v>32</v>
      </c>
      <c r="AB1178"/>
    </row>
    <row r="1179" spans="1:28" x14ac:dyDescent="0.25">
      <c r="A1179" s="31" t="s">
        <v>1609</v>
      </c>
      <c r="B1179" s="31" t="s">
        <v>34</v>
      </c>
      <c r="C1179" s="32" t="str">
        <f t="shared" si="118"/>
        <v>Carlos Silva</v>
      </c>
      <c r="D1179" s="38" t="s">
        <v>349</v>
      </c>
      <c r="E1179" s="33">
        <f t="shared" si="119"/>
        <v>45939</v>
      </c>
      <c r="F1179" s="32" t="s">
        <v>29</v>
      </c>
      <c r="G1179" s="32" t="str">
        <f t="shared" si="120"/>
        <v>Camila Rocha</v>
      </c>
      <c r="H1179" s="32" t="s">
        <v>16</v>
      </c>
      <c r="I1179" s="32" t="s">
        <v>116</v>
      </c>
      <c r="J1179" s="34">
        <v>5</v>
      </c>
      <c r="K1179" s="35">
        <v>45</v>
      </c>
      <c r="L1179" s="35">
        <v>14.49</v>
      </c>
      <c r="M1179" s="36">
        <f t="shared" si="116"/>
        <v>210.51</v>
      </c>
      <c r="N1179" s="32" t="s">
        <v>89</v>
      </c>
      <c r="Q1179" s="49" t="s">
        <v>1609</v>
      </c>
      <c r="R1179" s="49" t="s">
        <v>34</v>
      </c>
      <c r="S1179" s="58">
        <f t="shared" si="121"/>
        <v>45939</v>
      </c>
      <c r="T1179" s="51" t="s">
        <v>29</v>
      </c>
      <c r="U1179" s="50" t="s">
        <v>16</v>
      </c>
      <c r="V1179" s="52" t="s">
        <v>116</v>
      </c>
      <c r="W1179" s="53">
        <v>5</v>
      </c>
      <c r="X1179" s="54">
        <v>45</v>
      </c>
      <c r="Y1179" s="54">
        <v>14.49</v>
      </c>
      <c r="Z1179" s="55">
        <f t="shared" si="117"/>
        <v>210.51</v>
      </c>
      <c r="AA1179" s="56" t="s">
        <v>89</v>
      </c>
      <c r="AB1179"/>
    </row>
    <row r="1180" spans="1:28" x14ac:dyDescent="0.25">
      <c r="A1180" s="26" t="s">
        <v>1610</v>
      </c>
      <c r="B1180" s="26" t="s">
        <v>55</v>
      </c>
      <c r="C1180" s="26" t="str">
        <f t="shared" si="118"/>
        <v>Ricardo Carvalho</v>
      </c>
      <c r="D1180" s="37" t="s">
        <v>144</v>
      </c>
      <c r="E1180" s="27">
        <f t="shared" si="119"/>
        <v>45923</v>
      </c>
      <c r="F1180" s="26" t="s">
        <v>15</v>
      </c>
      <c r="G1180" s="26" t="str">
        <f t="shared" si="120"/>
        <v>Larissa Dias</v>
      </c>
      <c r="H1180" s="26" t="s">
        <v>16</v>
      </c>
      <c r="I1180" s="26" t="s">
        <v>78</v>
      </c>
      <c r="J1180" s="28">
        <v>2</v>
      </c>
      <c r="K1180" s="29">
        <v>59</v>
      </c>
      <c r="L1180" s="29">
        <v>0</v>
      </c>
      <c r="M1180" s="30">
        <f t="shared" si="116"/>
        <v>118</v>
      </c>
      <c r="N1180" s="26" t="s">
        <v>49</v>
      </c>
      <c r="Q1180" s="42" t="s">
        <v>1610</v>
      </c>
      <c r="R1180" s="42" t="s">
        <v>55</v>
      </c>
      <c r="S1180" s="57">
        <f t="shared" si="121"/>
        <v>45923</v>
      </c>
      <c r="T1180" s="44" t="s">
        <v>15</v>
      </c>
      <c r="U1180" s="43" t="s">
        <v>16</v>
      </c>
      <c r="V1180" s="42" t="s">
        <v>78</v>
      </c>
      <c r="W1180" s="45">
        <v>2</v>
      </c>
      <c r="X1180" s="46">
        <v>59</v>
      </c>
      <c r="Y1180" s="46">
        <v>0</v>
      </c>
      <c r="Z1180" s="47">
        <f t="shared" si="117"/>
        <v>118</v>
      </c>
      <c r="AA1180" s="48" t="s">
        <v>49</v>
      </c>
      <c r="AB1180"/>
    </row>
    <row r="1181" spans="1:28" x14ac:dyDescent="0.25">
      <c r="A1181" s="31" t="s">
        <v>1611</v>
      </c>
      <c r="B1181" s="31" t="s">
        <v>20</v>
      </c>
      <c r="C1181" s="32" t="str">
        <f t="shared" si="118"/>
        <v>Beatriz Ribeiro</v>
      </c>
      <c r="D1181" s="38" t="s">
        <v>1037</v>
      </c>
      <c r="E1181" s="33">
        <f t="shared" si="119"/>
        <v>45940</v>
      </c>
      <c r="F1181" s="32" t="s">
        <v>47</v>
      </c>
      <c r="G1181" s="32" t="str">
        <f t="shared" si="120"/>
        <v>Bruno Martins</v>
      </c>
      <c r="H1181" s="32" t="s">
        <v>16</v>
      </c>
      <c r="I1181" s="32" t="s">
        <v>103</v>
      </c>
      <c r="J1181" s="34">
        <v>2</v>
      </c>
      <c r="K1181" s="35">
        <v>89</v>
      </c>
      <c r="L1181" s="35">
        <v>6.62</v>
      </c>
      <c r="M1181" s="36">
        <f t="shared" si="116"/>
        <v>171.38</v>
      </c>
      <c r="N1181" s="32" t="s">
        <v>32</v>
      </c>
      <c r="Q1181" s="49" t="s">
        <v>1611</v>
      </c>
      <c r="R1181" s="49" t="s">
        <v>20</v>
      </c>
      <c r="S1181" s="58">
        <f t="shared" si="121"/>
        <v>45940</v>
      </c>
      <c r="T1181" s="51" t="s">
        <v>47</v>
      </c>
      <c r="U1181" s="50" t="s">
        <v>16</v>
      </c>
      <c r="V1181" s="52" t="s">
        <v>103</v>
      </c>
      <c r="W1181" s="53">
        <v>2</v>
      </c>
      <c r="X1181" s="54">
        <v>89</v>
      </c>
      <c r="Y1181" s="54">
        <v>6.62</v>
      </c>
      <c r="Z1181" s="55">
        <f t="shared" si="117"/>
        <v>171.38</v>
      </c>
      <c r="AA1181" s="56" t="s">
        <v>32</v>
      </c>
      <c r="AB1181"/>
    </row>
    <row r="1182" spans="1:28" x14ac:dyDescent="0.25">
      <c r="A1182" s="26" t="s">
        <v>1612</v>
      </c>
      <c r="B1182" s="26" t="s">
        <v>55</v>
      </c>
      <c r="C1182" s="26" t="str">
        <f t="shared" si="118"/>
        <v>Ricardo Carvalho</v>
      </c>
      <c r="D1182" s="37" t="s">
        <v>225</v>
      </c>
      <c r="E1182" s="27">
        <f t="shared" si="119"/>
        <v>46039</v>
      </c>
      <c r="F1182" s="26" t="s">
        <v>22</v>
      </c>
      <c r="G1182" s="26" t="str">
        <f t="shared" si="120"/>
        <v>Amanda Costa</v>
      </c>
      <c r="H1182" s="26" t="s">
        <v>30</v>
      </c>
      <c r="I1182" s="26" t="s">
        <v>152</v>
      </c>
      <c r="J1182" s="28">
        <v>5</v>
      </c>
      <c r="K1182" s="29">
        <v>4500</v>
      </c>
      <c r="L1182" s="29">
        <v>0</v>
      </c>
      <c r="M1182" s="30">
        <f t="shared" si="116"/>
        <v>22500</v>
      </c>
      <c r="N1182" s="26" t="s">
        <v>65</v>
      </c>
      <c r="Q1182" s="42" t="s">
        <v>1612</v>
      </c>
      <c r="R1182" s="42" t="s">
        <v>55</v>
      </c>
      <c r="S1182" s="57">
        <f t="shared" si="121"/>
        <v>46039</v>
      </c>
      <c r="T1182" s="44" t="s">
        <v>22</v>
      </c>
      <c r="U1182" s="43" t="s">
        <v>30</v>
      </c>
      <c r="V1182" s="42" t="s">
        <v>152</v>
      </c>
      <c r="W1182" s="45">
        <v>5</v>
      </c>
      <c r="X1182" s="46">
        <v>4500</v>
      </c>
      <c r="Y1182" s="46">
        <v>0</v>
      </c>
      <c r="Z1182" s="47">
        <f t="shared" si="117"/>
        <v>22500</v>
      </c>
      <c r="AA1182" s="48" t="s">
        <v>65</v>
      </c>
      <c r="AB1182"/>
    </row>
    <row r="1183" spans="1:28" x14ac:dyDescent="0.25">
      <c r="A1183" s="31" t="s">
        <v>1613</v>
      </c>
      <c r="B1183" s="31" t="s">
        <v>13</v>
      </c>
      <c r="C1183" s="32" t="str">
        <f t="shared" si="118"/>
        <v>Lucas Almeida</v>
      </c>
      <c r="D1183" s="38" t="s">
        <v>115</v>
      </c>
      <c r="E1183" s="33">
        <f t="shared" si="119"/>
        <v>45727</v>
      </c>
      <c r="F1183" s="32" t="s">
        <v>47</v>
      </c>
      <c r="G1183" s="32" t="str">
        <f t="shared" si="120"/>
        <v>Bruno Martins</v>
      </c>
      <c r="H1183" s="32" t="s">
        <v>52</v>
      </c>
      <c r="I1183" s="32" t="s">
        <v>53</v>
      </c>
      <c r="J1183" s="34">
        <v>4</v>
      </c>
      <c r="K1183" s="35">
        <v>149</v>
      </c>
      <c r="L1183" s="35">
        <v>26.52</v>
      </c>
      <c r="M1183" s="36">
        <f t="shared" si="116"/>
        <v>569.48</v>
      </c>
      <c r="N1183" s="32" t="s">
        <v>69</v>
      </c>
      <c r="Q1183" s="49" t="s">
        <v>1613</v>
      </c>
      <c r="R1183" s="49" t="s">
        <v>13</v>
      </c>
      <c r="S1183" s="58">
        <f t="shared" si="121"/>
        <v>45727</v>
      </c>
      <c r="T1183" s="51" t="s">
        <v>47</v>
      </c>
      <c r="U1183" s="50" t="s">
        <v>52</v>
      </c>
      <c r="V1183" s="52" t="s">
        <v>53</v>
      </c>
      <c r="W1183" s="53">
        <v>4</v>
      </c>
      <c r="X1183" s="54">
        <v>149</v>
      </c>
      <c r="Y1183" s="54">
        <v>26.52</v>
      </c>
      <c r="Z1183" s="55">
        <f t="shared" si="117"/>
        <v>569.48</v>
      </c>
      <c r="AA1183" s="56" t="s">
        <v>69</v>
      </c>
      <c r="AB1183"/>
    </row>
    <row r="1184" spans="1:28" x14ac:dyDescent="0.25">
      <c r="A1184" s="26" t="s">
        <v>1614</v>
      </c>
      <c r="B1184" s="26" t="s">
        <v>37</v>
      </c>
      <c r="C1184" s="26" t="str">
        <f t="shared" si="118"/>
        <v>Patricia Gomes</v>
      </c>
      <c r="D1184" s="37" t="s">
        <v>902</v>
      </c>
      <c r="E1184" s="27">
        <f t="shared" si="119"/>
        <v>45875</v>
      </c>
      <c r="F1184" s="26" t="s">
        <v>29</v>
      </c>
      <c r="G1184" s="26" t="str">
        <f t="shared" si="120"/>
        <v>Camila Rocha</v>
      </c>
      <c r="H1184" s="26" t="s">
        <v>30</v>
      </c>
      <c r="I1184" s="26" t="s">
        <v>152</v>
      </c>
      <c r="J1184" s="28">
        <v>2</v>
      </c>
      <c r="K1184" s="29">
        <v>4500</v>
      </c>
      <c r="L1184" s="29">
        <v>0</v>
      </c>
      <c r="M1184" s="30">
        <f t="shared" si="116"/>
        <v>9000</v>
      </c>
      <c r="N1184" s="26" t="s">
        <v>49</v>
      </c>
      <c r="Q1184" s="42" t="s">
        <v>1614</v>
      </c>
      <c r="R1184" s="42" t="s">
        <v>37</v>
      </c>
      <c r="S1184" s="57">
        <f t="shared" si="121"/>
        <v>45875</v>
      </c>
      <c r="T1184" s="44" t="s">
        <v>29</v>
      </c>
      <c r="U1184" s="43" t="s">
        <v>30</v>
      </c>
      <c r="V1184" s="42" t="s">
        <v>152</v>
      </c>
      <c r="W1184" s="45">
        <v>2</v>
      </c>
      <c r="X1184" s="46">
        <v>4500</v>
      </c>
      <c r="Y1184" s="46">
        <v>0</v>
      </c>
      <c r="Z1184" s="47">
        <f t="shared" si="117"/>
        <v>9000</v>
      </c>
      <c r="AA1184" s="48" t="s">
        <v>49</v>
      </c>
      <c r="AB1184"/>
    </row>
    <row r="1185" spans="1:28" x14ac:dyDescent="0.25">
      <c r="A1185" s="31" t="s">
        <v>1615</v>
      </c>
      <c r="B1185" s="31" t="s">
        <v>55</v>
      </c>
      <c r="C1185" s="32" t="str">
        <f t="shared" si="118"/>
        <v>Ricardo Carvalho</v>
      </c>
      <c r="D1185" s="38" t="s">
        <v>421</v>
      </c>
      <c r="E1185" s="33">
        <f t="shared" si="119"/>
        <v>45926</v>
      </c>
      <c r="F1185" s="32" t="s">
        <v>39</v>
      </c>
      <c r="G1185" s="32" t="str">
        <f t="shared" si="120"/>
        <v>Rodrigo Mello</v>
      </c>
      <c r="H1185" s="32" t="s">
        <v>23</v>
      </c>
      <c r="I1185" s="32" t="s">
        <v>24</v>
      </c>
      <c r="J1185" s="34">
        <v>4</v>
      </c>
      <c r="K1185" s="35">
        <v>180</v>
      </c>
      <c r="L1185" s="35">
        <v>0</v>
      </c>
      <c r="M1185" s="36">
        <f t="shared" si="116"/>
        <v>720</v>
      </c>
      <c r="N1185" s="32" t="s">
        <v>25</v>
      </c>
      <c r="Q1185" s="49" t="s">
        <v>1615</v>
      </c>
      <c r="R1185" s="49" t="s">
        <v>55</v>
      </c>
      <c r="S1185" s="58">
        <f t="shared" si="121"/>
        <v>45926</v>
      </c>
      <c r="T1185" s="51" t="s">
        <v>39</v>
      </c>
      <c r="U1185" s="50" t="s">
        <v>23</v>
      </c>
      <c r="V1185" s="52" t="s">
        <v>24</v>
      </c>
      <c r="W1185" s="53">
        <v>4</v>
      </c>
      <c r="X1185" s="54">
        <v>180</v>
      </c>
      <c r="Y1185" s="54">
        <v>0</v>
      </c>
      <c r="Z1185" s="55">
        <f t="shared" si="117"/>
        <v>720</v>
      </c>
      <c r="AA1185" s="56" t="s">
        <v>25</v>
      </c>
      <c r="AB1185"/>
    </row>
    <row r="1186" spans="1:28" x14ac:dyDescent="0.25">
      <c r="A1186" s="26" t="s">
        <v>1616</v>
      </c>
      <c r="B1186" s="26" t="s">
        <v>41</v>
      </c>
      <c r="C1186" s="26" t="str">
        <f t="shared" si="118"/>
        <v>João Pereira</v>
      </c>
      <c r="D1186" s="37" t="s">
        <v>1084</v>
      </c>
      <c r="E1186" s="27">
        <f t="shared" si="119"/>
        <v>45988</v>
      </c>
      <c r="F1186" s="26" t="s">
        <v>15</v>
      </c>
      <c r="G1186" s="26" t="str">
        <f t="shared" si="120"/>
        <v>Larissa Dias</v>
      </c>
      <c r="H1186" s="26" t="s">
        <v>16</v>
      </c>
      <c r="I1186" s="26" t="s">
        <v>17</v>
      </c>
      <c r="J1186" s="28">
        <v>2</v>
      </c>
      <c r="K1186" s="29">
        <v>39</v>
      </c>
      <c r="L1186" s="29">
        <v>7.72</v>
      </c>
      <c r="M1186" s="30">
        <f t="shared" si="116"/>
        <v>70.28</v>
      </c>
      <c r="N1186" s="26" t="s">
        <v>69</v>
      </c>
      <c r="Q1186" s="42" t="s">
        <v>1616</v>
      </c>
      <c r="R1186" s="42" t="s">
        <v>41</v>
      </c>
      <c r="S1186" s="57">
        <f t="shared" si="121"/>
        <v>45988</v>
      </c>
      <c r="T1186" s="44" t="s">
        <v>15</v>
      </c>
      <c r="U1186" s="43" t="s">
        <v>16</v>
      </c>
      <c r="V1186" s="42" t="s">
        <v>17</v>
      </c>
      <c r="W1186" s="45">
        <v>2</v>
      </c>
      <c r="X1186" s="46">
        <v>39</v>
      </c>
      <c r="Y1186" s="46">
        <v>7.72</v>
      </c>
      <c r="Z1186" s="47">
        <f t="shared" si="117"/>
        <v>70.28</v>
      </c>
      <c r="AA1186" s="48" t="s">
        <v>69</v>
      </c>
      <c r="AB1186"/>
    </row>
    <row r="1187" spans="1:28" x14ac:dyDescent="0.25">
      <c r="A1187" s="31" t="s">
        <v>1617</v>
      </c>
      <c r="B1187" s="31" t="s">
        <v>20</v>
      </c>
      <c r="C1187" s="32" t="str">
        <f t="shared" si="118"/>
        <v>Beatriz Ribeiro</v>
      </c>
      <c r="D1187" s="38" t="s">
        <v>257</v>
      </c>
      <c r="E1187" s="33">
        <f t="shared" si="119"/>
        <v>45816</v>
      </c>
      <c r="F1187" s="32" t="s">
        <v>15</v>
      </c>
      <c r="G1187" s="32" t="str">
        <f t="shared" si="120"/>
        <v>Larissa Dias</v>
      </c>
      <c r="H1187" s="32" t="s">
        <v>52</v>
      </c>
      <c r="I1187" s="32" t="s">
        <v>61</v>
      </c>
      <c r="J1187" s="34">
        <v>1</v>
      </c>
      <c r="K1187" s="35">
        <v>199</v>
      </c>
      <c r="L1187" s="35">
        <v>0</v>
      </c>
      <c r="M1187" s="36">
        <f t="shared" si="116"/>
        <v>199</v>
      </c>
      <c r="N1187" s="32" t="s">
        <v>32</v>
      </c>
      <c r="Q1187" s="49" t="s">
        <v>1617</v>
      </c>
      <c r="R1187" s="49" t="s">
        <v>20</v>
      </c>
      <c r="S1187" s="58">
        <f t="shared" si="121"/>
        <v>45816</v>
      </c>
      <c r="T1187" s="51" t="s">
        <v>15</v>
      </c>
      <c r="U1187" s="50" t="s">
        <v>52</v>
      </c>
      <c r="V1187" s="52" t="s">
        <v>61</v>
      </c>
      <c r="W1187" s="53">
        <v>1</v>
      </c>
      <c r="X1187" s="54">
        <v>199</v>
      </c>
      <c r="Y1187" s="54">
        <v>0</v>
      </c>
      <c r="Z1187" s="55">
        <f t="shared" si="117"/>
        <v>199</v>
      </c>
      <c r="AA1187" s="56" t="s">
        <v>32</v>
      </c>
      <c r="AB1187"/>
    </row>
    <row r="1188" spans="1:28" x14ac:dyDescent="0.25">
      <c r="A1188" s="26" t="s">
        <v>1618</v>
      </c>
      <c r="B1188" s="26" t="s">
        <v>34</v>
      </c>
      <c r="C1188" s="26" t="str">
        <f t="shared" si="118"/>
        <v>Carlos Silva</v>
      </c>
      <c r="D1188" s="37" t="s">
        <v>1034</v>
      </c>
      <c r="E1188" s="27">
        <f t="shared" si="119"/>
        <v>45799</v>
      </c>
      <c r="F1188" s="26" t="s">
        <v>29</v>
      </c>
      <c r="G1188" s="26" t="str">
        <f t="shared" si="120"/>
        <v>Camila Rocha</v>
      </c>
      <c r="H1188" s="26" t="s">
        <v>52</v>
      </c>
      <c r="I1188" s="26" t="s">
        <v>53</v>
      </c>
      <c r="J1188" s="28">
        <v>3</v>
      </c>
      <c r="K1188" s="29">
        <v>149</v>
      </c>
      <c r="L1188" s="29">
        <v>0</v>
      </c>
      <c r="M1188" s="30">
        <f t="shared" si="116"/>
        <v>447</v>
      </c>
      <c r="N1188" s="26" t="s">
        <v>89</v>
      </c>
      <c r="Q1188" s="42" t="s">
        <v>1618</v>
      </c>
      <c r="R1188" s="42" t="s">
        <v>34</v>
      </c>
      <c r="S1188" s="57">
        <f t="shared" si="121"/>
        <v>45799</v>
      </c>
      <c r="T1188" s="44" t="s">
        <v>29</v>
      </c>
      <c r="U1188" s="43" t="s">
        <v>52</v>
      </c>
      <c r="V1188" s="42" t="s">
        <v>53</v>
      </c>
      <c r="W1188" s="45">
        <v>3</v>
      </c>
      <c r="X1188" s="46">
        <v>149</v>
      </c>
      <c r="Y1188" s="46">
        <v>0</v>
      </c>
      <c r="Z1188" s="47">
        <f t="shared" si="117"/>
        <v>447</v>
      </c>
      <c r="AA1188" s="48" t="s">
        <v>89</v>
      </c>
      <c r="AB1188"/>
    </row>
    <row r="1189" spans="1:28" x14ac:dyDescent="0.25">
      <c r="A1189" s="31" t="s">
        <v>1619</v>
      </c>
      <c r="B1189" s="31" t="s">
        <v>37</v>
      </c>
      <c r="C1189" s="32" t="str">
        <f t="shared" si="118"/>
        <v>Patricia Gomes</v>
      </c>
      <c r="D1189" s="38" t="s">
        <v>938</v>
      </c>
      <c r="E1189" s="33">
        <f t="shared" si="119"/>
        <v>45845</v>
      </c>
      <c r="F1189" s="32" t="s">
        <v>47</v>
      </c>
      <c r="G1189" s="32" t="str">
        <f t="shared" si="120"/>
        <v>Bruno Martins</v>
      </c>
      <c r="H1189" s="32" t="s">
        <v>23</v>
      </c>
      <c r="I1189" s="32" t="s">
        <v>43</v>
      </c>
      <c r="J1189" s="34">
        <v>5</v>
      </c>
      <c r="K1189" s="35">
        <v>350</v>
      </c>
      <c r="L1189" s="35">
        <v>84.9</v>
      </c>
      <c r="M1189" s="36">
        <f t="shared" si="116"/>
        <v>1665.1</v>
      </c>
      <c r="N1189" s="32" t="s">
        <v>32</v>
      </c>
      <c r="Q1189" s="49" t="s">
        <v>1619</v>
      </c>
      <c r="R1189" s="49" t="s">
        <v>37</v>
      </c>
      <c r="S1189" s="58">
        <f t="shared" si="121"/>
        <v>45845</v>
      </c>
      <c r="T1189" s="51" t="s">
        <v>47</v>
      </c>
      <c r="U1189" s="50" t="s">
        <v>23</v>
      </c>
      <c r="V1189" s="52" t="s">
        <v>43</v>
      </c>
      <c r="W1189" s="53">
        <v>5</v>
      </c>
      <c r="X1189" s="54">
        <v>350</v>
      </c>
      <c r="Y1189" s="54">
        <v>84.9</v>
      </c>
      <c r="Z1189" s="55">
        <f t="shared" si="117"/>
        <v>1665.1</v>
      </c>
      <c r="AA1189" s="56" t="s">
        <v>32</v>
      </c>
      <c r="AB1189"/>
    </row>
    <row r="1190" spans="1:28" x14ac:dyDescent="0.25">
      <c r="A1190" s="26" t="s">
        <v>1620</v>
      </c>
      <c r="B1190" s="26" t="s">
        <v>95</v>
      </c>
      <c r="C1190" s="26" t="str">
        <f t="shared" si="118"/>
        <v>Maria Oliveira</v>
      </c>
      <c r="D1190" s="37" t="s">
        <v>458</v>
      </c>
      <c r="E1190" s="27">
        <f t="shared" si="119"/>
        <v>45707</v>
      </c>
      <c r="F1190" s="26" t="s">
        <v>47</v>
      </c>
      <c r="G1190" s="26" t="str">
        <f t="shared" si="120"/>
        <v>Bruno Martins</v>
      </c>
      <c r="H1190" s="26" t="s">
        <v>52</v>
      </c>
      <c r="I1190" s="26" t="s">
        <v>61</v>
      </c>
      <c r="J1190" s="28">
        <v>1</v>
      </c>
      <c r="K1190" s="29">
        <v>199</v>
      </c>
      <c r="L1190" s="29">
        <v>28.61</v>
      </c>
      <c r="M1190" s="30">
        <f t="shared" si="116"/>
        <v>170.39</v>
      </c>
      <c r="N1190" s="26" t="s">
        <v>18</v>
      </c>
      <c r="Q1190" s="42" t="s">
        <v>1620</v>
      </c>
      <c r="R1190" s="42" t="s">
        <v>95</v>
      </c>
      <c r="S1190" s="57">
        <f t="shared" si="121"/>
        <v>45707</v>
      </c>
      <c r="T1190" s="44" t="s">
        <v>47</v>
      </c>
      <c r="U1190" s="43" t="s">
        <v>52</v>
      </c>
      <c r="V1190" s="42" t="s">
        <v>61</v>
      </c>
      <c r="W1190" s="45">
        <v>1</v>
      </c>
      <c r="X1190" s="46">
        <v>199</v>
      </c>
      <c r="Y1190" s="46">
        <v>28.61</v>
      </c>
      <c r="Z1190" s="47">
        <f t="shared" si="117"/>
        <v>170.39</v>
      </c>
      <c r="AA1190" s="48" t="s">
        <v>18</v>
      </c>
      <c r="AB1190"/>
    </row>
    <row r="1191" spans="1:28" x14ac:dyDescent="0.25">
      <c r="A1191" s="31" t="s">
        <v>1620</v>
      </c>
      <c r="B1191" s="31" t="s">
        <v>95</v>
      </c>
      <c r="C1191" s="32" t="str">
        <f t="shared" si="118"/>
        <v>Maria Oliveira</v>
      </c>
      <c r="D1191" s="38" t="s">
        <v>1691</v>
      </c>
      <c r="E1191" s="33">
        <f t="shared" si="119"/>
        <v>46023</v>
      </c>
      <c r="F1191" s="32" t="s">
        <v>29</v>
      </c>
      <c r="G1191" s="32" t="str">
        <f t="shared" si="120"/>
        <v>Camila Rocha</v>
      </c>
      <c r="H1191" s="32" t="s">
        <v>16</v>
      </c>
      <c r="I1191" s="32" t="s">
        <v>116</v>
      </c>
      <c r="J1191" s="34">
        <v>1</v>
      </c>
      <c r="K1191" s="35">
        <v>45</v>
      </c>
      <c r="L1191" s="35">
        <v>3.01</v>
      </c>
      <c r="M1191" s="36">
        <f t="shared" si="116"/>
        <v>41.99</v>
      </c>
      <c r="N1191" s="32" t="s">
        <v>65</v>
      </c>
      <c r="Q1191" s="49" t="s">
        <v>1620</v>
      </c>
      <c r="R1191" s="49" t="s">
        <v>95</v>
      </c>
      <c r="S1191" s="58">
        <f t="shared" si="121"/>
        <v>46023</v>
      </c>
      <c r="T1191" s="51" t="s">
        <v>29</v>
      </c>
      <c r="U1191" s="50" t="s">
        <v>16</v>
      </c>
      <c r="V1191" s="52" t="s">
        <v>116</v>
      </c>
      <c r="W1191" s="53">
        <v>1</v>
      </c>
      <c r="X1191" s="54">
        <v>45</v>
      </c>
      <c r="Y1191" s="54">
        <v>3.01</v>
      </c>
      <c r="Z1191" s="55">
        <f t="shared" si="117"/>
        <v>41.99</v>
      </c>
      <c r="AA1191" s="56" t="s">
        <v>65</v>
      </c>
      <c r="AB1191"/>
    </row>
    <row r="1192" spans="1:28" x14ac:dyDescent="0.25">
      <c r="A1192" s="26" t="s">
        <v>1621</v>
      </c>
      <c r="B1192" s="26" t="s">
        <v>20</v>
      </c>
      <c r="C1192" s="26" t="str">
        <f t="shared" si="118"/>
        <v>Beatriz Ribeiro</v>
      </c>
      <c r="D1192" s="37" t="s">
        <v>176</v>
      </c>
      <c r="E1192" s="27">
        <f t="shared" si="119"/>
        <v>45839</v>
      </c>
      <c r="F1192" s="26" t="s">
        <v>15</v>
      </c>
      <c r="G1192" s="26" t="str">
        <f t="shared" si="120"/>
        <v>Larissa Dias</v>
      </c>
      <c r="H1192" s="26" t="s">
        <v>30</v>
      </c>
      <c r="I1192" s="26" t="s">
        <v>68</v>
      </c>
      <c r="J1192" s="28">
        <v>5</v>
      </c>
      <c r="K1192" s="29">
        <v>799</v>
      </c>
      <c r="L1192" s="29">
        <v>594.23</v>
      </c>
      <c r="M1192" s="30">
        <f t="shared" si="116"/>
        <v>3400.77</v>
      </c>
      <c r="N1192" s="26" t="s">
        <v>69</v>
      </c>
      <c r="Q1192" s="42" t="s">
        <v>1621</v>
      </c>
      <c r="R1192" s="42" t="s">
        <v>20</v>
      </c>
      <c r="S1192" s="57">
        <f t="shared" si="121"/>
        <v>45839</v>
      </c>
      <c r="T1192" s="44" t="s">
        <v>15</v>
      </c>
      <c r="U1192" s="43" t="s">
        <v>30</v>
      </c>
      <c r="V1192" s="42" t="s">
        <v>68</v>
      </c>
      <c r="W1192" s="45">
        <v>5</v>
      </c>
      <c r="X1192" s="46">
        <v>799</v>
      </c>
      <c r="Y1192" s="46">
        <v>594.23</v>
      </c>
      <c r="Z1192" s="47">
        <f t="shared" si="117"/>
        <v>3400.77</v>
      </c>
      <c r="AA1192" s="48" t="s">
        <v>69</v>
      </c>
      <c r="AB1192"/>
    </row>
    <row r="1193" spans="1:28" x14ac:dyDescent="0.25">
      <c r="A1193" s="31" t="s">
        <v>1622</v>
      </c>
      <c r="B1193" s="31" t="s">
        <v>37</v>
      </c>
      <c r="C1193" s="32" t="str">
        <f t="shared" si="118"/>
        <v>Patricia Gomes</v>
      </c>
      <c r="D1193" s="38" t="s">
        <v>1623</v>
      </c>
      <c r="E1193" s="33">
        <f t="shared" si="119"/>
        <v>46051</v>
      </c>
      <c r="F1193" s="32" t="s">
        <v>39</v>
      </c>
      <c r="G1193" s="32" t="str">
        <f t="shared" si="120"/>
        <v>Rodrigo Mello</v>
      </c>
      <c r="H1193" s="32" t="s">
        <v>30</v>
      </c>
      <c r="I1193" s="32" t="s">
        <v>31</v>
      </c>
      <c r="J1193" s="34">
        <v>4</v>
      </c>
      <c r="K1193" s="35">
        <v>2500</v>
      </c>
      <c r="L1193" s="35">
        <v>572.13</v>
      </c>
      <c r="M1193" s="36">
        <f t="shared" si="116"/>
        <v>9427.8700000000008</v>
      </c>
      <c r="N1193" s="32" t="s">
        <v>25</v>
      </c>
      <c r="Q1193" s="49" t="s">
        <v>1622</v>
      </c>
      <c r="R1193" s="49" t="s">
        <v>37</v>
      </c>
      <c r="S1193" s="58">
        <f t="shared" si="121"/>
        <v>46051</v>
      </c>
      <c r="T1193" s="51" t="s">
        <v>39</v>
      </c>
      <c r="U1193" s="50" t="s">
        <v>30</v>
      </c>
      <c r="V1193" s="52" t="s">
        <v>31</v>
      </c>
      <c r="W1193" s="53">
        <v>4</v>
      </c>
      <c r="X1193" s="54">
        <v>2500</v>
      </c>
      <c r="Y1193" s="54">
        <v>572.13</v>
      </c>
      <c r="Z1193" s="55">
        <f t="shared" si="117"/>
        <v>9427.8700000000008</v>
      </c>
      <c r="AA1193" s="56" t="s">
        <v>25</v>
      </c>
      <c r="AB1193"/>
    </row>
    <row r="1194" spans="1:28" x14ac:dyDescent="0.25">
      <c r="A1194" s="26" t="s">
        <v>1624</v>
      </c>
      <c r="B1194" s="26" t="s">
        <v>101</v>
      </c>
      <c r="C1194" s="26" t="str">
        <f t="shared" si="118"/>
        <v>Ana Souza</v>
      </c>
      <c r="D1194" s="37" t="s">
        <v>484</v>
      </c>
      <c r="E1194" s="27">
        <f t="shared" si="119"/>
        <v>45922</v>
      </c>
      <c r="F1194" s="26" t="s">
        <v>15</v>
      </c>
      <c r="G1194" s="26" t="str">
        <f t="shared" si="120"/>
        <v>Larissa Dias</v>
      </c>
      <c r="H1194" s="26" t="s">
        <v>23</v>
      </c>
      <c r="I1194" s="26" t="s">
        <v>24</v>
      </c>
      <c r="J1194" s="28">
        <v>2</v>
      </c>
      <c r="K1194" s="29">
        <v>180</v>
      </c>
      <c r="L1194" s="29">
        <v>0</v>
      </c>
      <c r="M1194" s="30">
        <f t="shared" si="116"/>
        <v>360</v>
      </c>
      <c r="N1194" s="26" t="s">
        <v>89</v>
      </c>
      <c r="Q1194" s="42" t="s">
        <v>1624</v>
      </c>
      <c r="R1194" s="42" t="s">
        <v>101</v>
      </c>
      <c r="S1194" s="57">
        <f t="shared" si="121"/>
        <v>45922</v>
      </c>
      <c r="T1194" s="44" t="s">
        <v>15</v>
      </c>
      <c r="U1194" s="43" t="s">
        <v>23</v>
      </c>
      <c r="V1194" s="42" t="s">
        <v>24</v>
      </c>
      <c r="W1194" s="45">
        <v>2</v>
      </c>
      <c r="X1194" s="46">
        <v>180</v>
      </c>
      <c r="Y1194" s="46">
        <v>0</v>
      </c>
      <c r="Z1194" s="47">
        <f t="shared" si="117"/>
        <v>360</v>
      </c>
      <c r="AA1194" s="48" t="s">
        <v>89</v>
      </c>
      <c r="AB1194"/>
    </row>
    <row r="1195" spans="1:28" x14ac:dyDescent="0.25">
      <c r="A1195" s="31" t="s">
        <v>1625</v>
      </c>
      <c r="B1195" s="31" t="s">
        <v>101</v>
      </c>
      <c r="C1195" s="32" t="str">
        <f t="shared" si="118"/>
        <v>Ana Souza</v>
      </c>
      <c r="D1195" s="38" t="s">
        <v>452</v>
      </c>
      <c r="E1195" s="33">
        <f t="shared" si="119"/>
        <v>45685</v>
      </c>
      <c r="F1195" s="32" t="s">
        <v>22</v>
      </c>
      <c r="G1195" s="32" t="str">
        <f t="shared" si="120"/>
        <v>Amanda Costa</v>
      </c>
      <c r="H1195" s="32" t="s">
        <v>16</v>
      </c>
      <c r="I1195" s="32" t="s">
        <v>78</v>
      </c>
      <c r="J1195" s="34">
        <v>2</v>
      </c>
      <c r="K1195" s="35">
        <v>59</v>
      </c>
      <c r="L1195" s="35">
        <v>11.75</v>
      </c>
      <c r="M1195" s="36">
        <f t="shared" si="116"/>
        <v>106.25</v>
      </c>
      <c r="N1195" s="32" t="s">
        <v>65</v>
      </c>
      <c r="Q1195" s="49" t="s">
        <v>1625</v>
      </c>
      <c r="R1195" s="49" t="s">
        <v>101</v>
      </c>
      <c r="S1195" s="58">
        <f t="shared" si="121"/>
        <v>45685</v>
      </c>
      <c r="T1195" s="51" t="s">
        <v>22</v>
      </c>
      <c r="U1195" s="50" t="s">
        <v>16</v>
      </c>
      <c r="V1195" s="52" t="s">
        <v>78</v>
      </c>
      <c r="W1195" s="53">
        <v>2</v>
      </c>
      <c r="X1195" s="54">
        <v>59</v>
      </c>
      <c r="Y1195" s="54">
        <v>11.75</v>
      </c>
      <c r="Z1195" s="55">
        <f t="shared" si="117"/>
        <v>106.25</v>
      </c>
      <c r="AA1195" s="56" t="s">
        <v>65</v>
      </c>
      <c r="AB1195"/>
    </row>
    <row r="1196" spans="1:28" x14ac:dyDescent="0.25">
      <c r="A1196" s="26" t="s">
        <v>1626</v>
      </c>
      <c r="B1196" s="26" t="s">
        <v>101</v>
      </c>
      <c r="C1196" s="26" t="str">
        <f t="shared" si="118"/>
        <v>Ana Souza</v>
      </c>
      <c r="D1196" s="37" t="s">
        <v>192</v>
      </c>
      <c r="E1196" s="27">
        <f t="shared" si="119"/>
        <v>45776</v>
      </c>
      <c r="F1196" s="26" t="s">
        <v>47</v>
      </c>
      <c r="G1196" s="26" t="str">
        <f t="shared" si="120"/>
        <v>Bruno Martins</v>
      </c>
      <c r="H1196" s="26" t="s">
        <v>30</v>
      </c>
      <c r="I1196" s="26" t="s">
        <v>31</v>
      </c>
      <c r="J1196" s="28">
        <v>3</v>
      </c>
      <c r="K1196" s="29">
        <v>2500</v>
      </c>
      <c r="L1196" s="29">
        <v>0</v>
      </c>
      <c r="M1196" s="30">
        <f t="shared" si="116"/>
        <v>7500</v>
      </c>
      <c r="N1196" s="26" t="s">
        <v>89</v>
      </c>
      <c r="Q1196" s="42" t="s">
        <v>1626</v>
      </c>
      <c r="R1196" s="42" t="s">
        <v>101</v>
      </c>
      <c r="S1196" s="57">
        <f t="shared" si="121"/>
        <v>45776</v>
      </c>
      <c r="T1196" s="44" t="s">
        <v>47</v>
      </c>
      <c r="U1196" s="43" t="s">
        <v>30</v>
      </c>
      <c r="V1196" s="42" t="s">
        <v>31</v>
      </c>
      <c r="W1196" s="45">
        <v>3</v>
      </c>
      <c r="X1196" s="46">
        <v>2500</v>
      </c>
      <c r="Y1196" s="46">
        <v>0</v>
      </c>
      <c r="Z1196" s="47">
        <f t="shared" si="117"/>
        <v>7500</v>
      </c>
      <c r="AA1196" s="48" t="s">
        <v>89</v>
      </c>
      <c r="AB1196"/>
    </row>
    <row r="1197" spans="1:28" x14ac:dyDescent="0.25">
      <c r="A1197" s="31" t="s">
        <v>1627</v>
      </c>
      <c r="B1197" s="31" t="s">
        <v>55</v>
      </c>
      <c r="C1197" s="32" t="str">
        <f t="shared" si="118"/>
        <v>Ricardo Carvalho</v>
      </c>
      <c r="D1197" s="38" t="s">
        <v>969</v>
      </c>
      <c r="E1197" s="33">
        <f t="shared" si="119"/>
        <v>45714</v>
      </c>
      <c r="F1197" s="32" t="s">
        <v>39</v>
      </c>
      <c r="G1197" s="32" t="str">
        <f t="shared" si="120"/>
        <v>Rodrigo Mello</v>
      </c>
      <c r="H1197" s="32" t="s">
        <v>16</v>
      </c>
      <c r="I1197" s="32" t="s">
        <v>17</v>
      </c>
      <c r="J1197" s="34">
        <v>5</v>
      </c>
      <c r="K1197" s="35">
        <v>39</v>
      </c>
      <c r="L1197" s="35">
        <v>8.7100000000000009</v>
      </c>
      <c r="M1197" s="36">
        <f t="shared" si="116"/>
        <v>186.29</v>
      </c>
      <c r="N1197" s="32" t="s">
        <v>89</v>
      </c>
      <c r="Q1197" s="49" t="s">
        <v>1627</v>
      </c>
      <c r="R1197" s="49" t="s">
        <v>55</v>
      </c>
      <c r="S1197" s="58">
        <f t="shared" si="121"/>
        <v>45714</v>
      </c>
      <c r="T1197" s="51" t="s">
        <v>39</v>
      </c>
      <c r="U1197" s="50" t="s">
        <v>16</v>
      </c>
      <c r="V1197" s="52" t="s">
        <v>17</v>
      </c>
      <c r="W1197" s="53">
        <v>5</v>
      </c>
      <c r="X1197" s="54">
        <v>39</v>
      </c>
      <c r="Y1197" s="54">
        <v>8.7100000000000009</v>
      </c>
      <c r="Z1197" s="55">
        <f t="shared" si="117"/>
        <v>186.29</v>
      </c>
      <c r="AA1197" s="56" t="s">
        <v>89</v>
      </c>
      <c r="AB1197"/>
    </row>
    <row r="1198" spans="1:28" x14ac:dyDescent="0.25">
      <c r="A1198" s="26" t="s">
        <v>1628</v>
      </c>
      <c r="B1198" s="26" t="s">
        <v>20</v>
      </c>
      <c r="C1198" s="26" t="str">
        <f t="shared" si="118"/>
        <v>Beatriz Ribeiro</v>
      </c>
      <c r="D1198" s="37" t="s">
        <v>938</v>
      </c>
      <c r="E1198" s="27">
        <f t="shared" si="119"/>
        <v>45845</v>
      </c>
      <c r="F1198" s="26" t="s">
        <v>15</v>
      </c>
      <c r="G1198" s="26" t="str">
        <f t="shared" si="120"/>
        <v>Larissa Dias</v>
      </c>
      <c r="H1198" s="26" t="s">
        <v>23</v>
      </c>
      <c r="I1198" s="26" t="s">
        <v>88</v>
      </c>
      <c r="J1198" s="28">
        <v>5</v>
      </c>
      <c r="K1198" s="29">
        <v>650</v>
      </c>
      <c r="L1198" s="29">
        <v>79.400000000000006</v>
      </c>
      <c r="M1198" s="30">
        <f t="shared" si="116"/>
        <v>3170.6</v>
      </c>
      <c r="N1198" s="26" t="s">
        <v>18</v>
      </c>
      <c r="Q1198" s="42" t="s">
        <v>1628</v>
      </c>
      <c r="R1198" s="42" t="s">
        <v>20</v>
      </c>
      <c r="S1198" s="57">
        <f t="shared" si="121"/>
        <v>45845</v>
      </c>
      <c r="T1198" s="44" t="s">
        <v>15</v>
      </c>
      <c r="U1198" s="43" t="s">
        <v>23</v>
      </c>
      <c r="V1198" s="42" t="s">
        <v>88</v>
      </c>
      <c r="W1198" s="45">
        <v>5</v>
      </c>
      <c r="X1198" s="46">
        <v>650</v>
      </c>
      <c r="Y1198" s="46">
        <v>79.400000000000006</v>
      </c>
      <c r="Z1198" s="47">
        <f t="shared" si="117"/>
        <v>3170.6</v>
      </c>
      <c r="AA1198" s="48" t="s">
        <v>18</v>
      </c>
      <c r="AB1198"/>
    </row>
    <row r="1199" spans="1:28" x14ac:dyDescent="0.25">
      <c r="A1199" s="31" t="s">
        <v>1629</v>
      </c>
      <c r="B1199" s="31" t="s">
        <v>95</v>
      </c>
      <c r="C1199" s="32" t="str">
        <f t="shared" si="118"/>
        <v>Maria Oliveira</v>
      </c>
      <c r="D1199" s="38" t="s">
        <v>906</v>
      </c>
      <c r="E1199" s="33">
        <f t="shared" si="119"/>
        <v>45897</v>
      </c>
      <c r="F1199" s="32" t="s">
        <v>22</v>
      </c>
      <c r="G1199" s="32" t="str">
        <f t="shared" si="120"/>
        <v>Amanda Costa</v>
      </c>
      <c r="H1199" s="32" t="s">
        <v>16</v>
      </c>
      <c r="I1199" s="32" t="s">
        <v>17</v>
      </c>
      <c r="J1199" s="34">
        <v>3</v>
      </c>
      <c r="K1199" s="35">
        <v>39</v>
      </c>
      <c r="L1199" s="35">
        <v>16.420000000000002</v>
      </c>
      <c r="M1199" s="36">
        <f t="shared" si="116"/>
        <v>100.58</v>
      </c>
      <c r="N1199" s="32" t="s">
        <v>49</v>
      </c>
      <c r="Q1199" s="49" t="s">
        <v>1629</v>
      </c>
      <c r="R1199" s="49" t="s">
        <v>95</v>
      </c>
      <c r="S1199" s="58">
        <f t="shared" si="121"/>
        <v>45897</v>
      </c>
      <c r="T1199" s="51" t="s">
        <v>22</v>
      </c>
      <c r="U1199" s="50" t="s">
        <v>16</v>
      </c>
      <c r="V1199" s="52" t="s">
        <v>17</v>
      </c>
      <c r="W1199" s="53">
        <v>3</v>
      </c>
      <c r="X1199" s="54">
        <v>39</v>
      </c>
      <c r="Y1199" s="54">
        <v>16.420000000000002</v>
      </c>
      <c r="Z1199" s="55">
        <f t="shared" si="117"/>
        <v>100.58</v>
      </c>
      <c r="AA1199" s="56" t="s">
        <v>49</v>
      </c>
      <c r="AB1199"/>
    </row>
    <row r="1200" spans="1:28" x14ac:dyDescent="0.25">
      <c r="A1200" s="26" t="s">
        <v>1630</v>
      </c>
      <c r="B1200" s="26" t="s">
        <v>41</v>
      </c>
      <c r="C1200" s="26" t="str">
        <f t="shared" si="118"/>
        <v>João Pereira</v>
      </c>
      <c r="D1200" s="37" t="s">
        <v>516</v>
      </c>
      <c r="E1200" s="27">
        <f t="shared" si="119"/>
        <v>45706</v>
      </c>
      <c r="F1200" s="26" t="s">
        <v>29</v>
      </c>
      <c r="G1200" s="26" t="str">
        <f t="shared" si="120"/>
        <v>Camila Rocha</v>
      </c>
      <c r="H1200" s="26" t="s">
        <v>30</v>
      </c>
      <c r="I1200" s="26" t="s">
        <v>68</v>
      </c>
      <c r="J1200" s="28">
        <v>4</v>
      </c>
      <c r="K1200" s="29">
        <v>799</v>
      </c>
      <c r="L1200" s="29">
        <v>0</v>
      </c>
      <c r="M1200" s="30">
        <f t="shared" si="116"/>
        <v>3196</v>
      </c>
      <c r="N1200" s="26" t="s">
        <v>89</v>
      </c>
      <c r="Q1200" s="42" t="s">
        <v>1630</v>
      </c>
      <c r="R1200" s="42" t="s">
        <v>41</v>
      </c>
      <c r="S1200" s="57">
        <f t="shared" si="121"/>
        <v>45706</v>
      </c>
      <c r="T1200" s="44" t="s">
        <v>29</v>
      </c>
      <c r="U1200" s="43" t="s">
        <v>30</v>
      </c>
      <c r="V1200" s="42" t="s">
        <v>68</v>
      </c>
      <c r="W1200" s="45">
        <v>4</v>
      </c>
      <c r="X1200" s="46">
        <v>799</v>
      </c>
      <c r="Y1200" s="46">
        <v>0</v>
      </c>
      <c r="Z1200" s="47">
        <f t="shared" si="117"/>
        <v>3196</v>
      </c>
      <c r="AA1200" s="48" t="s">
        <v>89</v>
      </c>
      <c r="AB1200"/>
    </row>
    <row r="1201" spans="1:28" x14ac:dyDescent="0.25">
      <c r="A1201" s="31" t="s">
        <v>1631</v>
      </c>
      <c r="B1201" s="31" t="s">
        <v>13</v>
      </c>
      <c r="C1201" s="32" t="str">
        <f t="shared" si="118"/>
        <v>Lucas Almeida</v>
      </c>
      <c r="D1201" s="38" t="s">
        <v>1632</v>
      </c>
      <c r="E1201" s="33">
        <f t="shared" si="119"/>
        <v>45898</v>
      </c>
      <c r="F1201" s="32" t="s">
        <v>47</v>
      </c>
      <c r="G1201" s="32" t="str">
        <f t="shared" si="120"/>
        <v>Bruno Martins</v>
      </c>
      <c r="H1201" s="32" t="s">
        <v>23</v>
      </c>
      <c r="I1201" s="32" t="s">
        <v>48</v>
      </c>
      <c r="J1201" s="34">
        <v>3</v>
      </c>
      <c r="K1201" s="35">
        <v>450</v>
      </c>
      <c r="L1201" s="35">
        <v>0</v>
      </c>
      <c r="M1201" s="36">
        <f t="shared" si="116"/>
        <v>1350</v>
      </c>
      <c r="N1201" s="32" t="s">
        <v>32</v>
      </c>
      <c r="Q1201" s="49" t="s">
        <v>1631</v>
      </c>
      <c r="R1201" s="49" t="s">
        <v>13</v>
      </c>
      <c r="S1201" s="58">
        <f t="shared" si="121"/>
        <v>45898</v>
      </c>
      <c r="T1201" s="51" t="s">
        <v>47</v>
      </c>
      <c r="U1201" s="50" t="s">
        <v>23</v>
      </c>
      <c r="V1201" s="52" t="s">
        <v>48</v>
      </c>
      <c r="W1201" s="53">
        <v>3</v>
      </c>
      <c r="X1201" s="54">
        <v>450</v>
      </c>
      <c r="Y1201" s="54">
        <v>0</v>
      </c>
      <c r="Z1201" s="55">
        <f t="shared" si="117"/>
        <v>1350</v>
      </c>
      <c r="AA1201" s="56" t="s">
        <v>32</v>
      </c>
      <c r="AB1201"/>
    </row>
    <row r="1202" spans="1:28" x14ac:dyDescent="0.25">
      <c r="A1202" s="26" t="s">
        <v>1633</v>
      </c>
      <c r="B1202" s="26" t="s">
        <v>101</v>
      </c>
      <c r="C1202" s="26" t="str">
        <f t="shared" si="118"/>
        <v>Ana Souza</v>
      </c>
      <c r="D1202" s="37" t="s">
        <v>105</v>
      </c>
      <c r="E1202" s="27">
        <f t="shared" si="119"/>
        <v>45902</v>
      </c>
      <c r="F1202" s="26" t="s">
        <v>22</v>
      </c>
      <c r="G1202" s="26" t="str">
        <f t="shared" si="120"/>
        <v>Amanda Costa</v>
      </c>
      <c r="H1202" s="26" t="s">
        <v>30</v>
      </c>
      <c r="I1202" s="26" t="s">
        <v>106</v>
      </c>
      <c r="J1202" s="28">
        <v>5</v>
      </c>
      <c r="K1202" s="29">
        <v>299</v>
      </c>
      <c r="L1202" s="29">
        <v>0</v>
      </c>
      <c r="M1202" s="30">
        <f t="shared" si="116"/>
        <v>1495</v>
      </c>
      <c r="N1202" s="26" t="s">
        <v>44</v>
      </c>
      <c r="Q1202" s="42" t="s">
        <v>1633</v>
      </c>
      <c r="R1202" s="42" t="s">
        <v>101</v>
      </c>
      <c r="S1202" s="57">
        <f t="shared" si="121"/>
        <v>45902</v>
      </c>
      <c r="T1202" s="44" t="s">
        <v>22</v>
      </c>
      <c r="U1202" s="43" t="s">
        <v>30</v>
      </c>
      <c r="V1202" s="42" t="s">
        <v>106</v>
      </c>
      <c r="W1202" s="45">
        <v>5</v>
      </c>
      <c r="X1202" s="46">
        <v>299</v>
      </c>
      <c r="Y1202" s="46">
        <v>0</v>
      </c>
      <c r="Z1202" s="47">
        <f t="shared" si="117"/>
        <v>1495</v>
      </c>
      <c r="AA1202" s="48" t="s">
        <v>44</v>
      </c>
      <c r="AB1202"/>
    </row>
    <row r="1203" spans="1:28" x14ac:dyDescent="0.25">
      <c r="A1203" s="31" t="s">
        <v>1634</v>
      </c>
      <c r="B1203" s="31" t="s">
        <v>134</v>
      </c>
      <c r="C1203" s="32" t="str">
        <f t="shared" si="118"/>
        <v>Ana Souza</v>
      </c>
      <c r="D1203" s="38" t="s">
        <v>523</v>
      </c>
      <c r="E1203" s="33">
        <f t="shared" si="119"/>
        <v>45979</v>
      </c>
      <c r="F1203" s="32" t="s">
        <v>39</v>
      </c>
      <c r="G1203" s="32" t="str">
        <f t="shared" si="120"/>
        <v>Rodrigo Mello</v>
      </c>
      <c r="H1203" s="32" t="s">
        <v>23</v>
      </c>
      <c r="I1203" s="32" t="s">
        <v>88</v>
      </c>
      <c r="J1203" s="34">
        <v>4</v>
      </c>
      <c r="K1203" s="35">
        <v>650</v>
      </c>
      <c r="L1203" s="35">
        <v>368.7</v>
      </c>
      <c r="M1203" s="36">
        <f t="shared" si="116"/>
        <v>2231.3000000000002</v>
      </c>
      <c r="N1203" s="32" t="s">
        <v>32</v>
      </c>
      <c r="Q1203" s="49" t="s">
        <v>1634</v>
      </c>
      <c r="R1203" s="49" t="s">
        <v>101</v>
      </c>
      <c r="S1203" s="58">
        <f t="shared" si="121"/>
        <v>45979</v>
      </c>
      <c r="T1203" s="51" t="s">
        <v>39</v>
      </c>
      <c r="U1203" s="50" t="s">
        <v>23</v>
      </c>
      <c r="V1203" s="52" t="s">
        <v>88</v>
      </c>
      <c r="W1203" s="53">
        <v>4</v>
      </c>
      <c r="X1203" s="54">
        <v>650</v>
      </c>
      <c r="Y1203" s="54">
        <v>368.7</v>
      </c>
      <c r="Z1203" s="55">
        <f t="shared" si="117"/>
        <v>2231.3000000000002</v>
      </c>
      <c r="AA1203" s="56" t="s">
        <v>32</v>
      </c>
      <c r="AB1203"/>
    </row>
    <row r="1204" spans="1:28" x14ac:dyDescent="0.25">
      <c r="A1204" s="26" t="s">
        <v>1635</v>
      </c>
      <c r="B1204" s="26" t="s">
        <v>34</v>
      </c>
      <c r="C1204" s="26" t="str">
        <f t="shared" si="118"/>
        <v>Carlos Silva</v>
      </c>
      <c r="D1204" s="37" t="s">
        <v>390</v>
      </c>
      <c r="E1204" s="27">
        <f t="shared" si="119"/>
        <v>45670</v>
      </c>
      <c r="F1204" s="26" t="s">
        <v>29</v>
      </c>
      <c r="G1204" s="26" t="str">
        <f t="shared" si="120"/>
        <v>Camila Rocha</v>
      </c>
      <c r="H1204" s="26" t="s">
        <v>30</v>
      </c>
      <c r="I1204" s="26" t="s">
        <v>68</v>
      </c>
      <c r="J1204" s="28">
        <v>3</v>
      </c>
      <c r="K1204" s="29">
        <v>799</v>
      </c>
      <c r="L1204" s="29">
        <v>0</v>
      </c>
      <c r="M1204" s="30">
        <f t="shared" si="116"/>
        <v>2397</v>
      </c>
      <c r="N1204" s="26" t="s">
        <v>49</v>
      </c>
      <c r="Q1204" s="42" t="s">
        <v>1635</v>
      </c>
      <c r="R1204" s="42" t="s">
        <v>34</v>
      </c>
      <c r="S1204" s="57">
        <f t="shared" si="121"/>
        <v>45670</v>
      </c>
      <c r="T1204" s="44" t="s">
        <v>29</v>
      </c>
      <c r="U1204" s="43" t="s">
        <v>30</v>
      </c>
      <c r="V1204" s="42" t="s">
        <v>68</v>
      </c>
      <c r="W1204" s="45">
        <v>3</v>
      </c>
      <c r="X1204" s="46">
        <v>799</v>
      </c>
      <c r="Y1204" s="46">
        <v>0</v>
      </c>
      <c r="Z1204" s="47">
        <f t="shared" si="117"/>
        <v>2397</v>
      </c>
      <c r="AA1204" s="48" t="s">
        <v>49</v>
      </c>
      <c r="AB1204"/>
    </row>
    <row r="1205" spans="1:28" x14ac:dyDescent="0.25">
      <c r="A1205" s="31" t="s">
        <v>1636</v>
      </c>
      <c r="B1205" s="31" t="s">
        <v>95</v>
      </c>
      <c r="C1205" s="32" t="str">
        <f t="shared" si="118"/>
        <v>Maria Oliveira</v>
      </c>
      <c r="D1205" s="38" t="s">
        <v>748</v>
      </c>
      <c r="E1205" s="33">
        <f t="shared" si="119"/>
        <v>45900</v>
      </c>
      <c r="F1205" s="32" t="s">
        <v>29</v>
      </c>
      <c r="G1205" s="32" t="str">
        <f t="shared" si="120"/>
        <v>Camila Rocha</v>
      </c>
      <c r="H1205" s="32" t="s">
        <v>23</v>
      </c>
      <c r="I1205" s="32" t="s">
        <v>48</v>
      </c>
      <c r="J1205" s="34">
        <v>1</v>
      </c>
      <c r="K1205" s="35">
        <v>450</v>
      </c>
      <c r="L1205" s="35">
        <v>0</v>
      </c>
      <c r="M1205" s="36">
        <f t="shared" si="116"/>
        <v>450</v>
      </c>
      <c r="N1205" s="32" t="s">
        <v>49</v>
      </c>
      <c r="Q1205" s="49" t="s">
        <v>1636</v>
      </c>
      <c r="R1205" s="49" t="s">
        <v>95</v>
      </c>
      <c r="S1205" s="58">
        <f t="shared" si="121"/>
        <v>45900</v>
      </c>
      <c r="T1205" s="51" t="s">
        <v>29</v>
      </c>
      <c r="U1205" s="50" t="s">
        <v>23</v>
      </c>
      <c r="V1205" s="52" t="s">
        <v>48</v>
      </c>
      <c r="W1205" s="53">
        <v>1</v>
      </c>
      <c r="X1205" s="54">
        <v>450</v>
      </c>
      <c r="Y1205" s="54">
        <v>0</v>
      </c>
      <c r="Z1205" s="55">
        <f t="shared" si="117"/>
        <v>450</v>
      </c>
      <c r="AA1205" s="56" t="s">
        <v>49</v>
      </c>
      <c r="AB1205"/>
    </row>
    <row r="1206" spans="1:28" x14ac:dyDescent="0.25">
      <c r="A1206" s="26" t="s">
        <v>1637</v>
      </c>
      <c r="B1206" s="26" t="s">
        <v>13</v>
      </c>
      <c r="C1206" s="26" t="str">
        <f t="shared" si="118"/>
        <v>Lucas Almeida</v>
      </c>
      <c r="D1206" s="37" t="s">
        <v>931</v>
      </c>
      <c r="E1206" s="27">
        <f t="shared" si="119"/>
        <v>45834</v>
      </c>
      <c r="F1206" s="26" t="s">
        <v>39</v>
      </c>
      <c r="G1206" s="26" t="str">
        <f t="shared" si="120"/>
        <v>Rodrigo Mello</v>
      </c>
      <c r="H1206" s="26" t="s">
        <v>52</v>
      </c>
      <c r="I1206" s="26" t="s">
        <v>53</v>
      </c>
      <c r="J1206" s="28">
        <v>4</v>
      </c>
      <c r="K1206" s="29">
        <v>149</v>
      </c>
      <c r="L1206" s="29">
        <v>0</v>
      </c>
      <c r="M1206" s="30">
        <f t="shared" si="116"/>
        <v>596</v>
      </c>
      <c r="N1206" s="26" t="s">
        <v>44</v>
      </c>
      <c r="Q1206" s="42" t="s">
        <v>1637</v>
      </c>
      <c r="R1206" s="42" t="s">
        <v>13</v>
      </c>
      <c r="S1206" s="57">
        <f t="shared" si="121"/>
        <v>45834</v>
      </c>
      <c r="T1206" s="44" t="s">
        <v>39</v>
      </c>
      <c r="U1206" s="43" t="s">
        <v>52</v>
      </c>
      <c r="V1206" s="42" t="s">
        <v>53</v>
      </c>
      <c r="W1206" s="45">
        <v>4</v>
      </c>
      <c r="X1206" s="46">
        <v>149</v>
      </c>
      <c r="Y1206" s="46">
        <v>0</v>
      </c>
      <c r="Z1206" s="47">
        <f t="shared" si="117"/>
        <v>596</v>
      </c>
      <c r="AA1206" s="48" t="s">
        <v>44</v>
      </c>
      <c r="AB1206"/>
    </row>
    <row r="1207" spans="1:28" x14ac:dyDescent="0.25">
      <c r="A1207" s="31" t="s">
        <v>1638</v>
      </c>
      <c r="B1207" s="31" t="s">
        <v>101</v>
      </c>
      <c r="C1207" s="32" t="str">
        <f t="shared" si="118"/>
        <v>Ana Souza</v>
      </c>
      <c r="D1207" s="38" t="s">
        <v>115</v>
      </c>
      <c r="E1207" s="33">
        <f t="shared" si="119"/>
        <v>45727</v>
      </c>
      <c r="F1207" s="32" t="s">
        <v>47</v>
      </c>
      <c r="G1207" s="32" t="str">
        <f t="shared" si="120"/>
        <v>Bruno Martins</v>
      </c>
      <c r="H1207" s="32" t="s">
        <v>52</v>
      </c>
      <c r="I1207" s="32" t="s">
        <v>99</v>
      </c>
      <c r="J1207" s="34">
        <v>5</v>
      </c>
      <c r="K1207" s="35">
        <v>79</v>
      </c>
      <c r="L1207" s="35">
        <v>0</v>
      </c>
      <c r="M1207" s="36">
        <f t="shared" si="116"/>
        <v>395</v>
      </c>
      <c r="N1207" s="32" t="s">
        <v>89</v>
      </c>
      <c r="Q1207" s="49" t="s">
        <v>1638</v>
      </c>
      <c r="R1207" s="49" t="s">
        <v>101</v>
      </c>
      <c r="S1207" s="58">
        <f t="shared" si="121"/>
        <v>45727</v>
      </c>
      <c r="T1207" s="51" t="s">
        <v>47</v>
      </c>
      <c r="U1207" s="50" t="s">
        <v>52</v>
      </c>
      <c r="V1207" s="52" t="s">
        <v>99</v>
      </c>
      <c r="W1207" s="53">
        <v>5</v>
      </c>
      <c r="X1207" s="54">
        <v>79</v>
      </c>
      <c r="Y1207" s="54">
        <v>0</v>
      </c>
      <c r="Z1207" s="55">
        <f t="shared" si="117"/>
        <v>395</v>
      </c>
      <c r="AA1207" s="56" t="s">
        <v>89</v>
      </c>
      <c r="AB1207"/>
    </row>
    <row r="1208" spans="1:28" x14ac:dyDescent="0.25">
      <c r="A1208" s="26" t="s">
        <v>1639</v>
      </c>
      <c r="B1208" s="26" t="s">
        <v>63</v>
      </c>
      <c r="C1208" s="26" t="str">
        <f t="shared" si="118"/>
        <v>Marcos Rodrigues</v>
      </c>
      <c r="D1208" s="37" t="s">
        <v>787</v>
      </c>
      <c r="E1208" s="27">
        <f t="shared" si="119"/>
        <v>45819</v>
      </c>
      <c r="F1208" s="26" t="s">
        <v>29</v>
      </c>
      <c r="G1208" s="26" t="str">
        <f t="shared" si="120"/>
        <v>Camila Rocha</v>
      </c>
      <c r="H1208" s="26" t="s">
        <v>52</v>
      </c>
      <c r="I1208" s="26" t="s">
        <v>61</v>
      </c>
      <c r="J1208" s="28">
        <v>2</v>
      </c>
      <c r="K1208" s="29">
        <v>199</v>
      </c>
      <c r="L1208" s="29">
        <v>37.93</v>
      </c>
      <c r="M1208" s="30">
        <f t="shared" si="116"/>
        <v>360.07</v>
      </c>
      <c r="N1208" s="26" t="s">
        <v>49</v>
      </c>
      <c r="Q1208" s="42" t="s">
        <v>1639</v>
      </c>
      <c r="R1208" s="42" t="s">
        <v>63</v>
      </c>
      <c r="S1208" s="57">
        <f t="shared" si="121"/>
        <v>45819</v>
      </c>
      <c r="T1208" s="44" t="s">
        <v>29</v>
      </c>
      <c r="U1208" s="43" t="s">
        <v>52</v>
      </c>
      <c r="V1208" s="42" t="s">
        <v>61</v>
      </c>
      <c r="W1208" s="45">
        <v>2</v>
      </c>
      <c r="X1208" s="46">
        <v>199</v>
      </c>
      <c r="Y1208" s="46">
        <v>37.93</v>
      </c>
      <c r="Z1208" s="47">
        <f t="shared" si="117"/>
        <v>360.07</v>
      </c>
      <c r="AA1208" s="48" t="s">
        <v>49</v>
      </c>
      <c r="AB1208"/>
    </row>
    <row r="1209" spans="1:28" x14ac:dyDescent="0.25">
      <c r="A1209" s="31" t="s">
        <v>1640</v>
      </c>
      <c r="B1209" s="31" t="s">
        <v>34</v>
      </c>
      <c r="C1209" s="32" t="str">
        <f t="shared" si="118"/>
        <v>Carlos Silva</v>
      </c>
      <c r="D1209" s="38" t="s">
        <v>427</v>
      </c>
      <c r="E1209" s="33">
        <f t="shared" si="119"/>
        <v>45820</v>
      </c>
      <c r="F1209" s="32" t="s">
        <v>22</v>
      </c>
      <c r="G1209" s="32" t="str">
        <f t="shared" si="120"/>
        <v>Amanda Costa</v>
      </c>
      <c r="H1209" s="32" t="s">
        <v>16</v>
      </c>
      <c r="I1209" s="32" t="s">
        <v>78</v>
      </c>
      <c r="J1209" s="34">
        <v>5</v>
      </c>
      <c r="K1209" s="35">
        <v>59</v>
      </c>
      <c r="L1209" s="35">
        <v>0</v>
      </c>
      <c r="M1209" s="36">
        <f t="shared" si="116"/>
        <v>295</v>
      </c>
      <c r="N1209" s="32" t="s">
        <v>65</v>
      </c>
      <c r="Q1209" s="49" t="s">
        <v>1640</v>
      </c>
      <c r="R1209" s="49" t="s">
        <v>34</v>
      </c>
      <c r="S1209" s="58">
        <f t="shared" si="121"/>
        <v>45820</v>
      </c>
      <c r="T1209" s="51" t="s">
        <v>22</v>
      </c>
      <c r="U1209" s="50" t="s">
        <v>16</v>
      </c>
      <c r="V1209" s="52" t="s">
        <v>78</v>
      </c>
      <c r="W1209" s="53">
        <v>5</v>
      </c>
      <c r="X1209" s="54">
        <v>59</v>
      </c>
      <c r="Y1209" s="54">
        <v>0</v>
      </c>
      <c r="Z1209" s="55">
        <f t="shared" si="117"/>
        <v>295</v>
      </c>
      <c r="AA1209" s="56" t="s">
        <v>65</v>
      </c>
      <c r="AB1209"/>
    </row>
    <row r="1210" spans="1:28" x14ac:dyDescent="0.25">
      <c r="A1210" s="26" t="s">
        <v>1641</v>
      </c>
      <c r="B1210" s="26" t="s">
        <v>37</v>
      </c>
      <c r="C1210" s="26" t="str">
        <f t="shared" si="118"/>
        <v>Patricia Gomes</v>
      </c>
      <c r="D1210" s="37" t="s">
        <v>282</v>
      </c>
      <c r="E1210" s="27">
        <f t="shared" si="119"/>
        <v>45984</v>
      </c>
      <c r="F1210" s="26" t="s">
        <v>47</v>
      </c>
      <c r="G1210" s="26" t="str">
        <f t="shared" si="120"/>
        <v>Bruno Martins</v>
      </c>
      <c r="H1210" s="26" t="s">
        <v>30</v>
      </c>
      <c r="I1210" s="26" t="s">
        <v>152</v>
      </c>
      <c r="J1210" s="28">
        <v>1</v>
      </c>
      <c r="K1210" s="29">
        <v>4500</v>
      </c>
      <c r="L1210" s="29">
        <v>668.36</v>
      </c>
      <c r="M1210" s="30">
        <f t="shared" ref="M1210:M1228" si="122">(J1210*K1210)-L1210</f>
        <v>3831.64</v>
      </c>
      <c r="N1210" s="26" t="s">
        <v>89</v>
      </c>
      <c r="Q1210" s="42" t="s">
        <v>1641</v>
      </c>
      <c r="R1210" s="42" t="s">
        <v>37</v>
      </c>
      <c r="S1210" s="57">
        <f t="shared" si="121"/>
        <v>45984</v>
      </c>
      <c r="T1210" s="44" t="s">
        <v>47</v>
      </c>
      <c r="U1210" s="43" t="s">
        <v>30</v>
      </c>
      <c r="V1210" s="42" t="s">
        <v>152</v>
      </c>
      <c r="W1210" s="45">
        <v>1</v>
      </c>
      <c r="X1210" s="46">
        <v>4500</v>
      </c>
      <c r="Y1210" s="46">
        <v>668.36</v>
      </c>
      <c r="Z1210" s="47">
        <f t="shared" ref="Z1210:Z1228" si="123">(W1210*X1210)-Y1210</f>
        <v>3831.64</v>
      </c>
      <c r="AA1210" s="48" t="s">
        <v>89</v>
      </c>
      <c r="AB1210"/>
    </row>
    <row r="1211" spans="1:28" x14ac:dyDescent="0.25">
      <c r="A1211" s="31" t="s">
        <v>1642</v>
      </c>
      <c r="B1211" s="31" t="s">
        <v>110</v>
      </c>
      <c r="C1211" s="32" t="str">
        <f t="shared" si="118"/>
        <v>Fernanda Lima</v>
      </c>
      <c r="D1211" s="38" t="s">
        <v>423</v>
      </c>
      <c r="E1211" s="33">
        <f t="shared" si="119"/>
        <v>45771</v>
      </c>
      <c r="F1211" s="32" t="s">
        <v>22</v>
      </c>
      <c r="G1211" s="32" t="str">
        <f t="shared" si="120"/>
        <v>Amanda Costa</v>
      </c>
      <c r="H1211" s="32" t="s">
        <v>30</v>
      </c>
      <c r="I1211" s="32" t="s">
        <v>152</v>
      </c>
      <c r="J1211" s="34">
        <v>1</v>
      </c>
      <c r="K1211" s="35">
        <v>4500</v>
      </c>
      <c r="L1211" s="35">
        <v>0</v>
      </c>
      <c r="M1211" s="36">
        <f t="shared" si="122"/>
        <v>4500</v>
      </c>
      <c r="N1211" s="32" t="s">
        <v>18</v>
      </c>
      <c r="Q1211" s="49" t="s">
        <v>1642</v>
      </c>
      <c r="R1211" s="49" t="s">
        <v>110</v>
      </c>
      <c r="S1211" s="58">
        <f t="shared" si="121"/>
        <v>45771</v>
      </c>
      <c r="T1211" s="51" t="s">
        <v>22</v>
      </c>
      <c r="U1211" s="50" t="s">
        <v>30</v>
      </c>
      <c r="V1211" s="52" t="s">
        <v>152</v>
      </c>
      <c r="W1211" s="53">
        <v>1</v>
      </c>
      <c r="X1211" s="54">
        <v>4500</v>
      </c>
      <c r="Y1211" s="54">
        <v>0</v>
      </c>
      <c r="Z1211" s="55">
        <f t="shared" si="123"/>
        <v>4500</v>
      </c>
      <c r="AA1211" s="56" t="s">
        <v>18</v>
      </c>
      <c r="AB1211"/>
    </row>
    <row r="1212" spans="1:28" x14ac:dyDescent="0.25">
      <c r="A1212" s="26" t="s">
        <v>1643</v>
      </c>
      <c r="B1212" s="26" t="s">
        <v>13</v>
      </c>
      <c r="C1212" s="26" t="str">
        <f t="shared" si="118"/>
        <v>Lucas Almeida</v>
      </c>
      <c r="D1212" s="37" t="s">
        <v>38</v>
      </c>
      <c r="E1212" s="27">
        <f t="shared" si="119"/>
        <v>45662</v>
      </c>
      <c r="F1212" s="26" t="s">
        <v>39</v>
      </c>
      <c r="G1212" s="26" t="str">
        <f t="shared" si="120"/>
        <v>Rodrigo Mello</v>
      </c>
      <c r="H1212" s="26" t="s">
        <v>52</v>
      </c>
      <c r="I1212" s="26" t="s">
        <v>99</v>
      </c>
      <c r="J1212" s="28">
        <v>2</v>
      </c>
      <c r="K1212" s="29">
        <v>79</v>
      </c>
      <c r="L1212" s="29">
        <v>13.49</v>
      </c>
      <c r="M1212" s="30">
        <f t="shared" si="122"/>
        <v>144.51</v>
      </c>
      <c r="N1212" s="26" t="s">
        <v>69</v>
      </c>
      <c r="Q1212" s="42" t="s">
        <v>1643</v>
      </c>
      <c r="R1212" s="42" t="s">
        <v>13</v>
      </c>
      <c r="S1212" s="57">
        <f t="shared" si="121"/>
        <v>45662</v>
      </c>
      <c r="T1212" s="44" t="s">
        <v>39</v>
      </c>
      <c r="U1212" s="43" t="s">
        <v>52</v>
      </c>
      <c r="V1212" s="42" t="s">
        <v>99</v>
      </c>
      <c r="W1212" s="45">
        <v>2</v>
      </c>
      <c r="X1212" s="46">
        <v>79</v>
      </c>
      <c r="Y1212" s="46">
        <v>13.49</v>
      </c>
      <c r="Z1212" s="47">
        <f t="shared" si="123"/>
        <v>144.51</v>
      </c>
      <c r="AA1212" s="48" t="s">
        <v>69</v>
      </c>
      <c r="AB1212"/>
    </row>
    <row r="1213" spans="1:28" x14ac:dyDescent="0.25">
      <c r="A1213" s="31" t="s">
        <v>1644</v>
      </c>
      <c r="B1213" s="31" t="s">
        <v>95</v>
      </c>
      <c r="C1213" s="32" t="str">
        <f t="shared" si="118"/>
        <v>Maria Oliveira</v>
      </c>
      <c r="D1213" s="38" t="s">
        <v>513</v>
      </c>
      <c r="E1213" s="33">
        <f t="shared" si="119"/>
        <v>45825</v>
      </c>
      <c r="F1213" s="32" t="s">
        <v>15</v>
      </c>
      <c r="G1213" s="32" t="str">
        <f t="shared" si="120"/>
        <v>Larissa Dias</v>
      </c>
      <c r="H1213" s="32" t="s">
        <v>52</v>
      </c>
      <c r="I1213" s="32" t="s">
        <v>61</v>
      </c>
      <c r="J1213" s="34">
        <v>4</v>
      </c>
      <c r="K1213" s="35">
        <v>199</v>
      </c>
      <c r="L1213" s="35">
        <v>0</v>
      </c>
      <c r="M1213" s="36">
        <f t="shared" si="122"/>
        <v>796</v>
      </c>
      <c r="N1213" s="32" t="s">
        <v>25</v>
      </c>
      <c r="Q1213" s="49" t="s">
        <v>1644</v>
      </c>
      <c r="R1213" s="49" t="s">
        <v>95</v>
      </c>
      <c r="S1213" s="58">
        <f t="shared" si="121"/>
        <v>45825</v>
      </c>
      <c r="T1213" s="51" t="s">
        <v>15</v>
      </c>
      <c r="U1213" s="50" t="s">
        <v>52</v>
      </c>
      <c r="V1213" s="52" t="s">
        <v>61</v>
      </c>
      <c r="W1213" s="53">
        <v>4</v>
      </c>
      <c r="X1213" s="54">
        <v>199</v>
      </c>
      <c r="Y1213" s="54">
        <v>0</v>
      </c>
      <c r="Z1213" s="55">
        <f t="shared" si="123"/>
        <v>796</v>
      </c>
      <c r="AA1213" s="56" t="s">
        <v>25</v>
      </c>
      <c r="AB1213"/>
    </row>
    <row r="1214" spans="1:28" x14ac:dyDescent="0.25">
      <c r="A1214" s="26" t="s">
        <v>1645</v>
      </c>
      <c r="B1214" s="26" t="s">
        <v>37</v>
      </c>
      <c r="C1214" s="26" t="str">
        <f t="shared" si="118"/>
        <v>Patricia Gomes</v>
      </c>
      <c r="D1214" s="37" t="s">
        <v>427</v>
      </c>
      <c r="E1214" s="27">
        <f t="shared" si="119"/>
        <v>45820</v>
      </c>
      <c r="F1214" s="26" t="s">
        <v>47</v>
      </c>
      <c r="G1214" s="26" t="str">
        <f t="shared" si="120"/>
        <v>Bruno Martins</v>
      </c>
      <c r="H1214" s="26" t="s">
        <v>52</v>
      </c>
      <c r="I1214" s="26" t="s">
        <v>75</v>
      </c>
      <c r="J1214" s="28">
        <v>4</v>
      </c>
      <c r="K1214" s="29">
        <v>249</v>
      </c>
      <c r="L1214" s="29">
        <v>55.15</v>
      </c>
      <c r="M1214" s="30">
        <f t="shared" si="122"/>
        <v>940.85</v>
      </c>
      <c r="N1214" s="26" t="s">
        <v>25</v>
      </c>
      <c r="Q1214" s="42" t="s">
        <v>1645</v>
      </c>
      <c r="R1214" s="42" t="s">
        <v>37</v>
      </c>
      <c r="S1214" s="57">
        <f t="shared" si="121"/>
        <v>45820</v>
      </c>
      <c r="T1214" s="44" t="s">
        <v>47</v>
      </c>
      <c r="U1214" s="43" t="s">
        <v>52</v>
      </c>
      <c r="V1214" s="42" t="s">
        <v>75</v>
      </c>
      <c r="W1214" s="45">
        <v>4</v>
      </c>
      <c r="X1214" s="46">
        <v>249</v>
      </c>
      <c r="Y1214" s="46">
        <v>55.15</v>
      </c>
      <c r="Z1214" s="47">
        <f t="shared" si="123"/>
        <v>940.85</v>
      </c>
      <c r="AA1214" s="48" t="s">
        <v>25</v>
      </c>
      <c r="AB1214"/>
    </row>
    <row r="1215" spans="1:28" x14ac:dyDescent="0.25">
      <c r="A1215" s="31" t="s">
        <v>1646</v>
      </c>
      <c r="B1215" s="31" t="s">
        <v>95</v>
      </c>
      <c r="C1215" s="32" t="str">
        <f t="shared" si="118"/>
        <v>Maria Oliveira</v>
      </c>
      <c r="D1215" s="38" t="s">
        <v>591</v>
      </c>
      <c r="E1215" s="33">
        <f t="shared" si="119"/>
        <v>45947</v>
      </c>
      <c r="F1215" s="32" t="s">
        <v>22</v>
      </c>
      <c r="G1215" s="32" t="str">
        <f t="shared" si="120"/>
        <v>Amanda Costa</v>
      </c>
      <c r="H1215" s="32" t="s">
        <v>23</v>
      </c>
      <c r="I1215" s="32" t="s">
        <v>24</v>
      </c>
      <c r="J1215" s="34">
        <v>4</v>
      </c>
      <c r="K1215" s="35">
        <v>180</v>
      </c>
      <c r="L1215" s="35">
        <v>21.59</v>
      </c>
      <c r="M1215" s="36">
        <f t="shared" si="122"/>
        <v>698.41</v>
      </c>
      <c r="N1215" s="32" t="s">
        <v>89</v>
      </c>
      <c r="Q1215" s="49" t="s">
        <v>1646</v>
      </c>
      <c r="R1215" s="49" t="s">
        <v>95</v>
      </c>
      <c r="S1215" s="58">
        <f t="shared" si="121"/>
        <v>45947</v>
      </c>
      <c r="T1215" s="51" t="s">
        <v>22</v>
      </c>
      <c r="U1215" s="50" t="s">
        <v>23</v>
      </c>
      <c r="V1215" s="52" t="s">
        <v>24</v>
      </c>
      <c r="W1215" s="53">
        <v>4</v>
      </c>
      <c r="X1215" s="54">
        <v>180</v>
      </c>
      <c r="Y1215" s="54">
        <v>21.59</v>
      </c>
      <c r="Z1215" s="55">
        <f t="shared" si="123"/>
        <v>698.41</v>
      </c>
      <c r="AA1215" s="56" t="s">
        <v>89</v>
      </c>
      <c r="AB1215"/>
    </row>
    <row r="1216" spans="1:28" x14ac:dyDescent="0.25">
      <c r="A1216" s="26" t="s">
        <v>1647</v>
      </c>
      <c r="B1216" s="26" t="s">
        <v>37</v>
      </c>
      <c r="C1216" s="26" t="str">
        <f t="shared" si="118"/>
        <v>Patricia Gomes</v>
      </c>
      <c r="D1216" s="37" t="s">
        <v>409</v>
      </c>
      <c r="E1216" s="27">
        <f t="shared" si="119"/>
        <v>45885</v>
      </c>
      <c r="F1216" s="26" t="s">
        <v>29</v>
      </c>
      <c r="G1216" s="26" t="str">
        <f t="shared" si="120"/>
        <v>Camila Rocha</v>
      </c>
      <c r="H1216" s="26" t="s">
        <v>52</v>
      </c>
      <c r="I1216" s="26" t="s">
        <v>53</v>
      </c>
      <c r="J1216" s="28">
        <v>2</v>
      </c>
      <c r="K1216" s="29">
        <v>149</v>
      </c>
      <c r="L1216" s="29">
        <v>0</v>
      </c>
      <c r="M1216" s="30">
        <f t="shared" si="122"/>
        <v>298</v>
      </c>
      <c r="N1216" s="26" t="s">
        <v>69</v>
      </c>
      <c r="Q1216" s="42" t="s">
        <v>1647</v>
      </c>
      <c r="R1216" s="42" t="s">
        <v>37</v>
      </c>
      <c r="S1216" s="57">
        <f t="shared" si="121"/>
        <v>45885</v>
      </c>
      <c r="T1216" s="44" t="s">
        <v>29</v>
      </c>
      <c r="U1216" s="43" t="s">
        <v>52</v>
      </c>
      <c r="V1216" s="42" t="s">
        <v>53</v>
      </c>
      <c r="W1216" s="45">
        <v>2</v>
      </c>
      <c r="X1216" s="46">
        <v>149</v>
      </c>
      <c r="Y1216" s="46">
        <v>0</v>
      </c>
      <c r="Z1216" s="47">
        <f t="shared" si="123"/>
        <v>298</v>
      </c>
      <c r="AA1216" s="48" t="s">
        <v>69</v>
      </c>
      <c r="AB1216"/>
    </row>
    <row r="1217" spans="1:28" x14ac:dyDescent="0.25">
      <c r="A1217" s="31" t="s">
        <v>1648</v>
      </c>
      <c r="B1217" s="31" t="s">
        <v>71</v>
      </c>
      <c r="C1217" s="32" t="str">
        <f t="shared" si="118"/>
        <v>Juliana Costa</v>
      </c>
      <c r="D1217" s="38" t="s">
        <v>531</v>
      </c>
      <c r="E1217" s="33">
        <f t="shared" si="119"/>
        <v>45754</v>
      </c>
      <c r="F1217" s="32" t="s">
        <v>39</v>
      </c>
      <c r="G1217" s="32" t="str">
        <f t="shared" si="120"/>
        <v>Rodrigo Mello</v>
      </c>
      <c r="H1217" s="32" t="s">
        <v>52</v>
      </c>
      <c r="I1217" s="32" t="s">
        <v>61</v>
      </c>
      <c r="J1217" s="34">
        <v>3</v>
      </c>
      <c r="K1217" s="35">
        <v>199</v>
      </c>
      <c r="L1217" s="35">
        <v>42.97</v>
      </c>
      <c r="M1217" s="36">
        <f t="shared" si="122"/>
        <v>554.03</v>
      </c>
      <c r="N1217" s="32" t="s">
        <v>89</v>
      </c>
      <c r="Q1217" s="49" t="s">
        <v>1648</v>
      </c>
      <c r="R1217" s="49" t="s">
        <v>71</v>
      </c>
      <c r="S1217" s="58">
        <f t="shared" si="121"/>
        <v>45754</v>
      </c>
      <c r="T1217" s="51" t="s">
        <v>39</v>
      </c>
      <c r="U1217" s="50" t="s">
        <v>52</v>
      </c>
      <c r="V1217" s="52" t="s">
        <v>61</v>
      </c>
      <c r="W1217" s="53">
        <v>3</v>
      </c>
      <c r="X1217" s="54">
        <v>199</v>
      </c>
      <c r="Y1217" s="54">
        <v>42.97</v>
      </c>
      <c r="Z1217" s="55">
        <f t="shared" si="123"/>
        <v>554.03</v>
      </c>
      <c r="AA1217" s="56" t="s">
        <v>89</v>
      </c>
      <c r="AB1217"/>
    </row>
    <row r="1218" spans="1:28" x14ac:dyDescent="0.25">
      <c r="A1218" s="26" t="s">
        <v>1649</v>
      </c>
      <c r="B1218" s="26" t="s">
        <v>34</v>
      </c>
      <c r="C1218" s="26" t="str">
        <f t="shared" si="118"/>
        <v>Carlos Silva</v>
      </c>
      <c r="D1218" s="37" t="s">
        <v>904</v>
      </c>
      <c r="E1218" s="27">
        <f t="shared" si="119"/>
        <v>45804</v>
      </c>
      <c r="F1218" s="26" t="s">
        <v>22</v>
      </c>
      <c r="G1218" s="26" t="str">
        <f t="shared" si="120"/>
        <v>Amanda Costa</v>
      </c>
      <c r="H1218" s="26" t="s">
        <v>23</v>
      </c>
      <c r="I1218" s="26" t="s">
        <v>48</v>
      </c>
      <c r="J1218" s="28">
        <v>4</v>
      </c>
      <c r="K1218" s="29">
        <v>450</v>
      </c>
      <c r="L1218" s="29">
        <v>135.16999999999999</v>
      </c>
      <c r="M1218" s="30">
        <f t="shared" si="122"/>
        <v>1664.83</v>
      </c>
      <c r="N1218" s="26" t="s">
        <v>89</v>
      </c>
      <c r="Q1218" s="42" t="s">
        <v>1649</v>
      </c>
      <c r="R1218" s="42" t="s">
        <v>34</v>
      </c>
      <c r="S1218" s="57">
        <f t="shared" si="121"/>
        <v>45804</v>
      </c>
      <c r="T1218" s="44" t="s">
        <v>22</v>
      </c>
      <c r="U1218" s="43" t="s">
        <v>23</v>
      </c>
      <c r="V1218" s="42" t="s">
        <v>48</v>
      </c>
      <c r="W1218" s="45">
        <v>4</v>
      </c>
      <c r="X1218" s="46">
        <v>450</v>
      </c>
      <c r="Y1218" s="46">
        <v>135.16999999999999</v>
      </c>
      <c r="Z1218" s="47">
        <f t="shared" si="123"/>
        <v>1664.83</v>
      </c>
      <c r="AA1218" s="48" t="s">
        <v>89</v>
      </c>
      <c r="AB1218"/>
    </row>
    <row r="1219" spans="1:28" x14ac:dyDescent="0.25">
      <c r="A1219" s="31" t="s">
        <v>1650</v>
      </c>
      <c r="B1219" s="31" t="s">
        <v>37</v>
      </c>
      <c r="C1219" s="32" t="str">
        <f t="shared" ref="C1219:C1257" si="124">SUBSTITUTE(SUBSTITUTE(SUBSTITUTE(SUBSTITUTE(PROPER(B1219)," Da "," ")," De "," ")," Do "," ")," Dos "," ")</f>
        <v>Patricia Gomes</v>
      </c>
      <c r="D1219" s="38" t="s">
        <v>671</v>
      </c>
      <c r="E1219" s="33">
        <f t="shared" ref="E1219:E1257" si="125">DATEVALUE(D1219)</f>
        <v>46042</v>
      </c>
      <c r="F1219" s="32" t="s">
        <v>15</v>
      </c>
      <c r="G1219" s="32" t="str">
        <f t="shared" ref="G1219:G1257" si="126">SUBSTITUTE(SUBSTITUTE(SUBSTITUTE(SUBSTITUTE(PROPER(F1219)," Da "," ")," De "," ")," Do "," ")," Dos "," ")</f>
        <v>Larissa Dias</v>
      </c>
      <c r="H1219" s="32" t="s">
        <v>23</v>
      </c>
      <c r="I1219" s="32" t="s">
        <v>48</v>
      </c>
      <c r="J1219" s="34">
        <v>1</v>
      </c>
      <c r="K1219" s="35">
        <v>450</v>
      </c>
      <c r="L1219" s="35">
        <v>37.08</v>
      </c>
      <c r="M1219" s="36">
        <f t="shared" si="122"/>
        <v>412.92</v>
      </c>
      <c r="N1219" s="32" t="s">
        <v>25</v>
      </c>
      <c r="Q1219" s="49" t="s">
        <v>1650</v>
      </c>
      <c r="R1219" s="49" t="s">
        <v>37</v>
      </c>
      <c r="S1219" s="58">
        <f t="shared" si="121"/>
        <v>46042</v>
      </c>
      <c r="T1219" s="51" t="s">
        <v>15</v>
      </c>
      <c r="U1219" s="50" t="s">
        <v>23</v>
      </c>
      <c r="V1219" s="52" t="s">
        <v>48</v>
      </c>
      <c r="W1219" s="53">
        <v>1</v>
      </c>
      <c r="X1219" s="54">
        <v>450</v>
      </c>
      <c r="Y1219" s="54">
        <v>37.08</v>
      </c>
      <c r="Z1219" s="55">
        <f t="shared" si="123"/>
        <v>412.92</v>
      </c>
      <c r="AA1219" s="56" t="s">
        <v>25</v>
      </c>
      <c r="AB1219"/>
    </row>
    <row r="1220" spans="1:28" x14ac:dyDescent="0.25">
      <c r="A1220" s="26" t="s">
        <v>1651</v>
      </c>
      <c r="B1220" s="26" t="s">
        <v>20</v>
      </c>
      <c r="C1220" s="26" t="str">
        <f t="shared" si="124"/>
        <v>Beatriz Ribeiro</v>
      </c>
      <c r="D1220" s="37" t="s">
        <v>998</v>
      </c>
      <c r="E1220" s="27">
        <f t="shared" si="125"/>
        <v>45881</v>
      </c>
      <c r="F1220" s="26" t="s">
        <v>22</v>
      </c>
      <c r="G1220" s="26" t="str">
        <f t="shared" si="126"/>
        <v>Amanda Costa</v>
      </c>
      <c r="H1220" s="26" t="s">
        <v>30</v>
      </c>
      <c r="I1220" s="26" t="s">
        <v>31</v>
      </c>
      <c r="J1220" s="28">
        <v>3</v>
      </c>
      <c r="K1220" s="29">
        <v>2500</v>
      </c>
      <c r="L1220" s="29">
        <v>35.43</v>
      </c>
      <c r="M1220" s="30">
        <f t="shared" si="122"/>
        <v>7464.57</v>
      </c>
      <c r="N1220" s="26" t="s">
        <v>69</v>
      </c>
      <c r="Q1220" s="42" t="s">
        <v>1651</v>
      </c>
      <c r="R1220" s="42" t="s">
        <v>20</v>
      </c>
      <c r="S1220" s="57">
        <f t="shared" si="121"/>
        <v>45881</v>
      </c>
      <c r="T1220" s="44" t="s">
        <v>22</v>
      </c>
      <c r="U1220" s="43" t="s">
        <v>30</v>
      </c>
      <c r="V1220" s="42" t="s">
        <v>31</v>
      </c>
      <c r="W1220" s="45">
        <v>3</v>
      </c>
      <c r="X1220" s="46">
        <v>2500</v>
      </c>
      <c r="Y1220" s="46">
        <v>35.43</v>
      </c>
      <c r="Z1220" s="47">
        <f t="shared" si="123"/>
        <v>7464.57</v>
      </c>
      <c r="AA1220" s="48" t="s">
        <v>69</v>
      </c>
      <c r="AB1220"/>
    </row>
    <row r="1221" spans="1:28" x14ac:dyDescent="0.25">
      <c r="A1221" s="31" t="s">
        <v>1652</v>
      </c>
      <c r="B1221" s="31" t="s">
        <v>37</v>
      </c>
      <c r="C1221" s="32" t="str">
        <f t="shared" si="124"/>
        <v>Patricia Gomes</v>
      </c>
      <c r="D1221" s="38" t="s">
        <v>720</v>
      </c>
      <c r="E1221" s="33">
        <f t="shared" si="125"/>
        <v>45903</v>
      </c>
      <c r="F1221" s="32" t="s">
        <v>39</v>
      </c>
      <c r="G1221" s="32" t="str">
        <f t="shared" si="126"/>
        <v>Rodrigo Mello</v>
      </c>
      <c r="H1221" s="32" t="s">
        <v>30</v>
      </c>
      <c r="I1221" s="32" t="s">
        <v>31</v>
      </c>
      <c r="J1221" s="34">
        <v>2</v>
      </c>
      <c r="K1221" s="35">
        <v>2500</v>
      </c>
      <c r="L1221" s="35">
        <v>0</v>
      </c>
      <c r="M1221" s="36">
        <f t="shared" si="122"/>
        <v>5000</v>
      </c>
      <c r="N1221" s="32" t="s">
        <v>32</v>
      </c>
      <c r="Q1221" s="49" t="s">
        <v>1652</v>
      </c>
      <c r="R1221" s="49" t="s">
        <v>37</v>
      </c>
      <c r="S1221" s="58">
        <f t="shared" si="121"/>
        <v>45903</v>
      </c>
      <c r="T1221" s="51" t="s">
        <v>39</v>
      </c>
      <c r="U1221" s="50" t="s">
        <v>30</v>
      </c>
      <c r="V1221" s="52" t="s">
        <v>31</v>
      </c>
      <c r="W1221" s="53">
        <v>2</v>
      </c>
      <c r="X1221" s="54">
        <v>2500</v>
      </c>
      <c r="Y1221" s="54">
        <v>0</v>
      </c>
      <c r="Z1221" s="55">
        <f t="shared" si="123"/>
        <v>5000</v>
      </c>
      <c r="AA1221" s="56" t="s">
        <v>32</v>
      </c>
      <c r="AB1221"/>
    </row>
    <row r="1222" spans="1:28" x14ac:dyDescent="0.25">
      <c r="A1222" s="26" t="s">
        <v>1653</v>
      </c>
      <c r="B1222" s="26" t="s">
        <v>41</v>
      </c>
      <c r="C1222" s="26" t="str">
        <f t="shared" si="124"/>
        <v>João Pereira</v>
      </c>
      <c r="D1222" s="37" t="s">
        <v>275</v>
      </c>
      <c r="E1222" s="27">
        <f t="shared" si="125"/>
        <v>45795</v>
      </c>
      <c r="F1222" s="26" t="s">
        <v>15</v>
      </c>
      <c r="G1222" s="26" t="str">
        <f t="shared" si="126"/>
        <v>Larissa Dias</v>
      </c>
      <c r="H1222" s="26" t="s">
        <v>23</v>
      </c>
      <c r="I1222" s="26" t="s">
        <v>88</v>
      </c>
      <c r="J1222" s="28">
        <v>1</v>
      </c>
      <c r="K1222" s="29">
        <v>650</v>
      </c>
      <c r="L1222" s="29">
        <v>13.19</v>
      </c>
      <c r="M1222" s="30">
        <f t="shared" si="122"/>
        <v>636.80999999999995</v>
      </c>
      <c r="N1222" s="26" t="s">
        <v>18</v>
      </c>
      <c r="Q1222" s="42" t="s">
        <v>1653</v>
      </c>
      <c r="R1222" s="42" t="s">
        <v>41</v>
      </c>
      <c r="S1222" s="57">
        <f t="shared" ref="S1222:S1257" si="127">DATEVALUE(D1222)</f>
        <v>45795</v>
      </c>
      <c r="T1222" s="44" t="s">
        <v>15</v>
      </c>
      <c r="U1222" s="43" t="s">
        <v>23</v>
      </c>
      <c r="V1222" s="42" t="s">
        <v>88</v>
      </c>
      <c r="W1222" s="45">
        <v>1</v>
      </c>
      <c r="X1222" s="46">
        <v>650</v>
      </c>
      <c r="Y1222" s="46">
        <v>13.19</v>
      </c>
      <c r="Z1222" s="47">
        <f t="shared" si="123"/>
        <v>636.80999999999995</v>
      </c>
      <c r="AA1222" s="48" t="s">
        <v>18</v>
      </c>
      <c r="AB1222"/>
    </row>
    <row r="1223" spans="1:28" x14ac:dyDescent="0.25">
      <c r="A1223" s="31" t="s">
        <v>1653</v>
      </c>
      <c r="B1223" s="31" t="s">
        <v>41</v>
      </c>
      <c r="C1223" s="32" t="str">
        <f t="shared" si="124"/>
        <v>João Pereira</v>
      </c>
      <c r="D1223" s="38" t="s">
        <v>275</v>
      </c>
      <c r="E1223" s="33">
        <f t="shared" si="125"/>
        <v>45795</v>
      </c>
      <c r="F1223" s="32" t="s">
        <v>15</v>
      </c>
      <c r="G1223" s="32" t="str">
        <f t="shared" si="126"/>
        <v>Larissa Dias</v>
      </c>
      <c r="H1223" s="32" t="s">
        <v>16</v>
      </c>
      <c r="I1223" s="32" t="s">
        <v>17</v>
      </c>
      <c r="J1223" s="34">
        <v>5</v>
      </c>
      <c r="K1223" s="35">
        <v>39</v>
      </c>
      <c r="L1223" s="35">
        <v>0</v>
      </c>
      <c r="M1223" s="36">
        <f t="shared" si="122"/>
        <v>195</v>
      </c>
      <c r="N1223" s="32" t="s">
        <v>18</v>
      </c>
      <c r="Q1223" s="49" t="s">
        <v>1653</v>
      </c>
      <c r="R1223" s="49" t="s">
        <v>41</v>
      </c>
      <c r="S1223" s="58">
        <f t="shared" si="127"/>
        <v>45795</v>
      </c>
      <c r="T1223" s="51" t="s">
        <v>15</v>
      </c>
      <c r="U1223" s="50" t="s">
        <v>16</v>
      </c>
      <c r="V1223" s="52" t="s">
        <v>17</v>
      </c>
      <c r="W1223" s="53">
        <v>5</v>
      </c>
      <c r="X1223" s="54">
        <v>39</v>
      </c>
      <c r="Y1223" s="54">
        <v>0</v>
      </c>
      <c r="Z1223" s="55">
        <f t="shared" si="123"/>
        <v>195</v>
      </c>
      <c r="AA1223" s="56" t="s">
        <v>18</v>
      </c>
      <c r="AB1223"/>
    </row>
    <row r="1224" spans="1:28" x14ac:dyDescent="0.25">
      <c r="A1224" s="26" t="s">
        <v>1654</v>
      </c>
      <c r="B1224" s="26" t="s">
        <v>20</v>
      </c>
      <c r="C1224" s="26" t="str">
        <f t="shared" si="124"/>
        <v>Beatriz Ribeiro</v>
      </c>
      <c r="D1224" s="37" t="s">
        <v>42</v>
      </c>
      <c r="E1224" s="27">
        <f t="shared" si="125"/>
        <v>46004</v>
      </c>
      <c r="F1224" s="26" t="s">
        <v>29</v>
      </c>
      <c r="G1224" s="26" t="str">
        <f t="shared" si="126"/>
        <v>Camila Rocha</v>
      </c>
      <c r="H1224" s="26" t="s">
        <v>23</v>
      </c>
      <c r="I1224" s="26" t="s">
        <v>48</v>
      </c>
      <c r="J1224" s="28">
        <v>4</v>
      </c>
      <c r="K1224" s="29">
        <v>450</v>
      </c>
      <c r="L1224" s="29">
        <v>234.28</v>
      </c>
      <c r="M1224" s="30">
        <f t="shared" si="122"/>
        <v>1565.72</v>
      </c>
      <c r="N1224" s="26" t="s">
        <v>25</v>
      </c>
      <c r="Q1224" s="42" t="s">
        <v>1654</v>
      </c>
      <c r="R1224" s="42" t="s">
        <v>20</v>
      </c>
      <c r="S1224" s="57">
        <f t="shared" si="127"/>
        <v>46004</v>
      </c>
      <c r="T1224" s="44" t="s">
        <v>29</v>
      </c>
      <c r="U1224" s="43" t="s">
        <v>23</v>
      </c>
      <c r="V1224" s="42" t="s">
        <v>48</v>
      </c>
      <c r="W1224" s="45">
        <v>4</v>
      </c>
      <c r="X1224" s="46">
        <v>450</v>
      </c>
      <c r="Y1224" s="46">
        <v>234.28</v>
      </c>
      <c r="Z1224" s="47">
        <f t="shared" si="123"/>
        <v>1565.72</v>
      </c>
      <c r="AA1224" s="48" t="s">
        <v>25</v>
      </c>
      <c r="AB1224"/>
    </row>
    <row r="1225" spans="1:28" x14ac:dyDescent="0.25">
      <c r="A1225" s="31" t="s">
        <v>1655</v>
      </c>
      <c r="B1225" s="31" t="s">
        <v>101</v>
      </c>
      <c r="C1225" s="32" t="str">
        <f t="shared" si="124"/>
        <v>Ana Souza</v>
      </c>
      <c r="D1225" s="38" t="s">
        <v>684</v>
      </c>
      <c r="E1225" s="33">
        <f t="shared" si="125"/>
        <v>45756</v>
      </c>
      <c r="F1225" s="32" t="s">
        <v>47</v>
      </c>
      <c r="G1225" s="32" t="str">
        <f t="shared" si="126"/>
        <v>Bruno Martins</v>
      </c>
      <c r="H1225" s="32" t="s">
        <v>23</v>
      </c>
      <c r="I1225" s="32" t="s">
        <v>48</v>
      </c>
      <c r="J1225" s="34">
        <v>1</v>
      </c>
      <c r="K1225" s="35">
        <v>450</v>
      </c>
      <c r="L1225" s="35">
        <v>0</v>
      </c>
      <c r="M1225" s="36">
        <f t="shared" si="122"/>
        <v>450</v>
      </c>
      <c r="N1225" s="32" t="s">
        <v>69</v>
      </c>
      <c r="Q1225" s="49" t="s">
        <v>1655</v>
      </c>
      <c r="R1225" s="49" t="s">
        <v>101</v>
      </c>
      <c r="S1225" s="58">
        <f t="shared" si="127"/>
        <v>45756</v>
      </c>
      <c r="T1225" s="51" t="s">
        <v>47</v>
      </c>
      <c r="U1225" s="50" t="s">
        <v>23</v>
      </c>
      <c r="V1225" s="52" t="s">
        <v>48</v>
      </c>
      <c r="W1225" s="53">
        <v>1</v>
      </c>
      <c r="X1225" s="54">
        <v>450</v>
      </c>
      <c r="Y1225" s="54">
        <v>0</v>
      </c>
      <c r="Z1225" s="55">
        <f t="shared" si="123"/>
        <v>450</v>
      </c>
      <c r="AA1225" s="56" t="s">
        <v>69</v>
      </c>
      <c r="AB1225"/>
    </row>
    <row r="1226" spans="1:28" x14ac:dyDescent="0.25">
      <c r="A1226" s="26" t="s">
        <v>1656</v>
      </c>
      <c r="B1226" s="26" t="s">
        <v>95</v>
      </c>
      <c r="C1226" s="26" t="str">
        <f t="shared" si="124"/>
        <v>Maria Oliveira</v>
      </c>
      <c r="D1226" s="37" t="s">
        <v>492</v>
      </c>
      <c r="E1226" s="27">
        <f t="shared" si="125"/>
        <v>45957</v>
      </c>
      <c r="F1226" s="26" t="s">
        <v>39</v>
      </c>
      <c r="G1226" s="26" t="str">
        <f t="shared" si="126"/>
        <v>Rodrigo Mello</v>
      </c>
      <c r="H1226" s="26" t="s">
        <v>52</v>
      </c>
      <c r="I1226" s="26" t="s">
        <v>53</v>
      </c>
      <c r="J1226" s="28">
        <v>2</v>
      </c>
      <c r="K1226" s="29">
        <v>149</v>
      </c>
      <c r="L1226" s="29">
        <v>0</v>
      </c>
      <c r="M1226" s="30">
        <f t="shared" si="122"/>
        <v>298</v>
      </c>
      <c r="N1226" s="26" t="s">
        <v>49</v>
      </c>
      <c r="Q1226" s="42" t="s">
        <v>1656</v>
      </c>
      <c r="R1226" s="42" t="s">
        <v>95</v>
      </c>
      <c r="S1226" s="57">
        <f t="shared" si="127"/>
        <v>45957</v>
      </c>
      <c r="T1226" s="44" t="s">
        <v>39</v>
      </c>
      <c r="U1226" s="43" t="s">
        <v>52</v>
      </c>
      <c r="V1226" s="42" t="s">
        <v>53</v>
      </c>
      <c r="W1226" s="45">
        <v>2</v>
      </c>
      <c r="X1226" s="46">
        <v>149</v>
      </c>
      <c r="Y1226" s="46">
        <v>0</v>
      </c>
      <c r="Z1226" s="47">
        <f t="shared" si="123"/>
        <v>298</v>
      </c>
      <c r="AA1226" s="48" t="s">
        <v>49</v>
      </c>
      <c r="AB1226"/>
    </row>
    <row r="1227" spans="1:28" x14ac:dyDescent="0.25">
      <c r="A1227" s="31" t="s">
        <v>1657</v>
      </c>
      <c r="B1227" s="31" t="s">
        <v>41</v>
      </c>
      <c r="C1227" s="32" t="str">
        <f t="shared" si="124"/>
        <v>João Pereira</v>
      </c>
      <c r="D1227" s="38" t="s">
        <v>318</v>
      </c>
      <c r="E1227" s="33">
        <f t="shared" si="125"/>
        <v>45717</v>
      </c>
      <c r="F1227" s="32" t="s">
        <v>15</v>
      </c>
      <c r="G1227" s="32" t="str">
        <f t="shared" si="126"/>
        <v>Larissa Dias</v>
      </c>
      <c r="H1227" s="32" t="s">
        <v>16</v>
      </c>
      <c r="I1227" s="32" t="s">
        <v>103</v>
      </c>
      <c r="J1227" s="34">
        <v>3</v>
      </c>
      <c r="K1227" s="35">
        <v>89</v>
      </c>
      <c r="L1227" s="35">
        <v>0</v>
      </c>
      <c r="M1227" s="36">
        <f t="shared" si="122"/>
        <v>267</v>
      </c>
      <c r="N1227" s="32" t="s">
        <v>89</v>
      </c>
      <c r="Q1227" s="49" t="s">
        <v>1657</v>
      </c>
      <c r="R1227" s="49" t="s">
        <v>41</v>
      </c>
      <c r="S1227" s="58">
        <f t="shared" si="127"/>
        <v>45717</v>
      </c>
      <c r="T1227" s="51" t="s">
        <v>15</v>
      </c>
      <c r="U1227" s="50" t="s">
        <v>16</v>
      </c>
      <c r="V1227" s="52" t="s">
        <v>103</v>
      </c>
      <c r="W1227" s="53">
        <v>3</v>
      </c>
      <c r="X1227" s="54">
        <v>89</v>
      </c>
      <c r="Y1227" s="54">
        <v>0</v>
      </c>
      <c r="Z1227" s="55">
        <f t="shared" si="123"/>
        <v>267</v>
      </c>
      <c r="AA1227" s="56" t="s">
        <v>89</v>
      </c>
      <c r="AB1227"/>
    </row>
    <row r="1228" spans="1:28" x14ac:dyDescent="0.25">
      <c r="A1228" s="26" t="s">
        <v>1658</v>
      </c>
      <c r="B1228" s="26" t="s">
        <v>20</v>
      </c>
      <c r="C1228" s="26" t="str">
        <f t="shared" si="124"/>
        <v>Beatriz Ribeiro</v>
      </c>
      <c r="D1228" s="37" t="s">
        <v>1027</v>
      </c>
      <c r="E1228" s="27">
        <f t="shared" si="125"/>
        <v>45808</v>
      </c>
      <c r="F1228" s="26" t="s">
        <v>47</v>
      </c>
      <c r="G1228" s="26" t="str">
        <f t="shared" si="126"/>
        <v>Bruno Martins</v>
      </c>
      <c r="H1228" s="26" t="s">
        <v>23</v>
      </c>
      <c r="I1228" s="26" t="s">
        <v>48</v>
      </c>
      <c r="J1228" s="28">
        <v>5</v>
      </c>
      <c r="K1228" s="29">
        <v>450</v>
      </c>
      <c r="L1228" s="29">
        <v>0</v>
      </c>
      <c r="M1228" s="30">
        <f t="shared" si="122"/>
        <v>2250</v>
      </c>
      <c r="N1228" s="26" t="s">
        <v>25</v>
      </c>
      <c r="Q1228" s="42" t="s">
        <v>1658</v>
      </c>
      <c r="R1228" s="42" t="s">
        <v>20</v>
      </c>
      <c r="S1228" s="57">
        <f t="shared" si="127"/>
        <v>45808</v>
      </c>
      <c r="T1228" s="44" t="s">
        <v>47</v>
      </c>
      <c r="U1228" s="43" t="s">
        <v>23</v>
      </c>
      <c r="V1228" s="42" t="s">
        <v>48</v>
      </c>
      <c r="W1228" s="45">
        <v>5</v>
      </c>
      <c r="X1228" s="46">
        <v>450</v>
      </c>
      <c r="Y1228" s="46">
        <v>0</v>
      </c>
      <c r="Z1228" s="47">
        <f t="shared" si="123"/>
        <v>2250</v>
      </c>
      <c r="AA1228" s="48" t="s">
        <v>25</v>
      </c>
      <c r="AB1228"/>
    </row>
    <row r="1229" spans="1:28" x14ac:dyDescent="0.25">
      <c r="A1229" s="31" t="s">
        <v>1659</v>
      </c>
      <c r="B1229" s="31" t="s">
        <v>95</v>
      </c>
      <c r="C1229" s="32" t="str">
        <f t="shared" si="124"/>
        <v>Maria Oliveira</v>
      </c>
      <c r="D1229" s="38" t="s">
        <v>469</v>
      </c>
      <c r="E1229" s="33">
        <f t="shared" si="125"/>
        <v>46057</v>
      </c>
      <c r="F1229" s="32" t="s">
        <v>39</v>
      </c>
      <c r="G1229" s="32" t="str">
        <f t="shared" si="126"/>
        <v>Rodrigo Mello</v>
      </c>
      <c r="H1229" s="32" t="s">
        <v>52</v>
      </c>
      <c r="I1229" s="32" t="s">
        <v>61</v>
      </c>
      <c r="J1229" s="34">
        <v>2</v>
      </c>
      <c r="K1229" s="35">
        <v>199</v>
      </c>
      <c r="L1229" s="35">
        <v>52.41</v>
      </c>
      <c r="M1229" s="36">
        <f>(J1229*K1229)-L1229</f>
        <v>345.59000000000003</v>
      </c>
      <c r="N1229" s="32" t="s">
        <v>65</v>
      </c>
      <c r="Q1229" s="49" t="s">
        <v>1659</v>
      </c>
      <c r="R1229" s="49" t="s">
        <v>95</v>
      </c>
      <c r="S1229" s="58">
        <f t="shared" si="127"/>
        <v>46057</v>
      </c>
      <c r="T1229" s="51" t="s">
        <v>39</v>
      </c>
      <c r="U1229" s="50" t="s">
        <v>52</v>
      </c>
      <c r="V1229" s="52" t="s">
        <v>61</v>
      </c>
      <c r="W1229" s="53">
        <v>2</v>
      </c>
      <c r="X1229" s="54">
        <v>199</v>
      </c>
      <c r="Y1229" s="54">
        <v>52.41</v>
      </c>
      <c r="Z1229" s="55">
        <f>(W1229*X1229)-Y1229</f>
        <v>345.59000000000003</v>
      </c>
      <c r="AA1229" s="56" t="s">
        <v>65</v>
      </c>
      <c r="AB1229"/>
    </row>
    <row r="1230" spans="1:28" x14ac:dyDescent="0.25">
      <c r="A1230" s="26" t="s">
        <v>1660</v>
      </c>
      <c r="B1230" s="26" t="s">
        <v>37</v>
      </c>
      <c r="C1230" s="26" t="str">
        <f t="shared" si="124"/>
        <v>Patricia Gomes</v>
      </c>
      <c r="D1230" s="37" t="s">
        <v>443</v>
      </c>
      <c r="E1230" s="27">
        <f t="shared" si="125"/>
        <v>45934</v>
      </c>
      <c r="F1230" s="26" t="s">
        <v>47</v>
      </c>
      <c r="G1230" s="26" t="str">
        <f t="shared" si="126"/>
        <v>Bruno Martins</v>
      </c>
      <c r="H1230" s="26" t="s">
        <v>23</v>
      </c>
      <c r="I1230" s="26" t="s">
        <v>48</v>
      </c>
      <c r="J1230" s="28">
        <v>4</v>
      </c>
      <c r="K1230" s="29">
        <v>450</v>
      </c>
      <c r="L1230" s="29">
        <v>0</v>
      </c>
      <c r="M1230" s="30">
        <f t="shared" ref="M1230:M1257" si="128">(J1230*K1230)-L1230</f>
        <v>1800</v>
      </c>
      <c r="N1230" s="26" t="s">
        <v>18</v>
      </c>
      <c r="Q1230" s="42" t="s">
        <v>1660</v>
      </c>
      <c r="R1230" s="42" t="s">
        <v>37</v>
      </c>
      <c r="S1230" s="57">
        <f t="shared" si="127"/>
        <v>45934</v>
      </c>
      <c r="T1230" s="44" t="s">
        <v>47</v>
      </c>
      <c r="U1230" s="43" t="s">
        <v>23</v>
      </c>
      <c r="V1230" s="42" t="s">
        <v>48</v>
      </c>
      <c r="W1230" s="45">
        <v>4</v>
      </c>
      <c r="X1230" s="46">
        <v>450</v>
      </c>
      <c r="Y1230" s="46">
        <v>0</v>
      </c>
      <c r="Z1230" s="47">
        <f t="shared" ref="Z1230:Z1257" si="129">(W1230*X1230)-Y1230</f>
        <v>1800</v>
      </c>
      <c r="AA1230" s="48" t="s">
        <v>18</v>
      </c>
      <c r="AB1230"/>
    </row>
    <row r="1231" spans="1:28" x14ac:dyDescent="0.25">
      <c r="A1231" s="31" t="s">
        <v>1661</v>
      </c>
      <c r="B1231" s="31" t="s">
        <v>34</v>
      </c>
      <c r="C1231" s="32" t="str">
        <f t="shared" si="124"/>
        <v>Carlos Silva</v>
      </c>
      <c r="D1231" s="38" t="s">
        <v>304</v>
      </c>
      <c r="E1231" s="33">
        <f t="shared" si="125"/>
        <v>46016</v>
      </c>
      <c r="F1231" s="32" t="s">
        <v>22</v>
      </c>
      <c r="G1231" s="32" t="str">
        <f t="shared" si="126"/>
        <v>Amanda Costa</v>
      </c>
      <c r="H1231" s="32" t="s">
        <v>16</v>
      </c>
      <c r="I1231" s="32" t="s">
        <v>78</v>
      </c>
      <c r="J1231" s="34">
        <v>1</v>
      </c>
      <c r="K1231" s="35">
        <v>59</v>
      </c>
      <c r="L1231" s="35">
        <v>8.6199999999999992</v>
      </c>
      <c r="M1231" s="36">
        <f t="shared" si="128"/>
        <v>50.38</v>
      </c>
      <c r="N1231" s="32" t="s">
        <v>65</v>
      </c>
      <c r="Q1231" s="49" t="s">
        <v>1661</v>
      </c>
      <c r="R1231" s="49" t="s">
        <v>34</v>
      </c>
      <c r="S1231" s="58">
        <f t="shared" si="127"/>
        <v>46016</v>
      </c>
      <c r="T1231" s="51" t="s">
        <v>22</v>
      </c>
      <c r="U1231" s="50" t="s">
        <v>16</v>
      </c>
      <c r="V1231" s="52" t="s">
        <v>78</v>
      </c>
      <c r="W1231" s="53">
        <v>1</v>
      </c>
      <c r="X1231" s="54">
        <v>59</v>
      </c>
      <c r="Y1231" s="54">
        <v>8.6199999999999992</v>
      </c>
      <c r="Z1231" s="55">
        <f t="shared" si="129"/>
        <v>50.38</v>
      </c>
      <c r="AA1231" s="56" t="s">
        <v>65</v>
      </c>
      <c r="AB1231"/>
    </row>
    <row r="1232" spans="1:28" x14ac:dyDescent="0.25">
      <c r="A1232" s="26" t="s">
        <v>1662</v>
      </c>
      <c r="B1232" s="26" t="s">
        <v>63</v>
      </c>
      <c r="C1232" s="26" t="str">
        <f t="shared" si="124"/>
        <v>Marcos Rodrigues</v>
      </c>
      <c r="D1232" s="37" t="s">
        <v>985</v>
      </c>
      <c r="E1232" s="27">
        <f t="shared" si="125"/>
        <v>45873</v>
      </c>
      <c r="F1232" s="26" t="s">
        <v>22</v>
      </c>
      <c r="G1232" s="26" t="str">
        <f t="shared" si="126"/>
        <v>Amanda Costa</v>
      </c>
      <c r="H1232" s="26" t="s">
        <v>52</v>
      </c>
      <c r="I1232" s="26" t="s">
        <v>53</v>
      </c>
      <c r="J1232" s="28">
        <v>3</v>
      </c>
      <c r="K1232" s="29">
        <v>149</v>
      </c>
      <c r="L1232" s="29">
        <v>0</v>
      </c>
      <c r="M1232" s="30">
        <f t="shared" si="128"/>
        <v>447</v>
      </c>
      <c r="N1232" s="26" t="s">
        <v>18</v>
      </c>
      <c r="Q1232" s="42" t="s">
        <v>1662</v>
      </c>
      <c r="R1232" s="42" t="s">
        <v>63</v>
      </c>
      <c r="S1232" s="57">
        <f t="shared" si="127"/>
        <v>45873</v>
      </c>
      <c r="T1232" s="44" t="s">
        <v>22</v>
      </c>
      <c r="U1232" s="43" t="s">
        <v>52</v>
      </c>
      <c r="V1232" s="42" t="s">
        <v>53</v>
      </c>
      <c r="W1232" s="45">
        <v>3</v>
      </c>
      <c r="X1232" s="46">
        <v>149</v>
      </c>
      <c r="Y1232" s="46">
        <v>0</v>
      </c>
      <c r="Z1232" s="47">
        <f t="shared" si="129"/>
        <v>447</v>
      </c>
      <c r="AA1232" s="48" t="s">
        <v>18</v>
      </c>
      <c r="AB1232"/>
    </row>
    <row r="1233" spans="1:28" x14ac:dyDescent="0.25">
      <c r="A1233" s="31" t="s">
        <v>1663</v>
      </c>
      <c r="B1233" s="31" t="s">
        <v>101</v>
      </c>
      <c r="C1233" s="32" t="str">
        <f t="shared" si="124"/>
        <v>Ana Souza</v>
      </c>
      <c r="D1233" s="38" t="s">
        <v>1606</v>
      </c>
      <c r="E1233" s="33">
        <f t="shared" si="125"/>
        <v>45764</v>
      </c>
      <c r="F1233" s="32" t="s">
        <v>29</v>
      </c>
      <c r="G1233" s="32" t="str">
        <f t="shared" si="126"/>
        <v>Camila Rocha</v>
      </c>
      <c r="H1233" s="32" t="s">
        <v>52</v>
      </c>
      <c r="I1233" s="32" t="s">
        <v>99</v>
      </c>
      <c r="J1233" s="34">
        <v>2</v>
      </c>
      <c r="K1233" s="35">
        <v>79</v>
      </c>
      <c r="L1233" s="35">
        <v>6.51</v>
      </c>
      <c r="M1233" s="36">
        <f t="shared" si="128"/>
        <v>151.49</v>
      </c>
      <c r="N1233" s="32" t="s">
        <v>25</v>
      </c>
      <c r="Q1233" s="49" t="s">
        <v>1663</v>
      </c>
      <c r="R1233" s="49" t="s">
        <v>101</v>
      </c>
      <c r="S1233" s="58">
        <f t="shared" si="127"/>
        <v>45764</v>
      </c>
      <c r="T1233" s="51" t="s">
        <v>29</v>
      </c>
      <c r="U1233" s="50" t="s">
        <v>52</v>
      </c>
      <c r="V1233" s="52" t="s">
        <v>99</v>
      </c>
      <c r="W1233" s="53">
        <v>2</v>
      </c>
      <c r="X1233" s="54">
        <v>79</v>
      </c>
      <c r="Y1233" s="54">
        <v>6.51</v>
      </c>
      <c r="Z1233" s="55">
        <f t="shared" si="129"/>
        <v>151.49</v>
      </c>
      <c r="AA1233" s="56" t="s">
        <v>25</v>
      </c>
      <c r="AB1233"/>
    </row>
    <row r="1234" spans="1:28" x14ac:dyDescent="0.25">
      <c r="A1234" s="26" t="s">
        <v>1664</v>
      </c>
      <c r="B1234" s="26" t="s">
        <v>101</v>
      </c>
      <c r="C1234" s="26" t="str">
        <f t="shared" si="124"/>
        <v>Ana Souza</v>
      </c>
      <c r="D1234" s="37" t="s">
        <v>655</v>
      </c>
      <c r="E1234" s="27">
        <f t="shared" si="125"/>
        <v>45892</v>
      </c>
      <c r="F1234" s="26" t="s">
        <v>47</v>
      </c>
      <c r="G1234" s="26" t="str">
        <f t="shared" si="126"/>
        <v>Bruno Martins</v>
      </c>
      <c r="H1234" s="26" t="s">
        <v>52</v>
      </c>
      <c r="I1234" s="26" t="s">
        <v>75</v>
      </c>
      <c r="J1234" s="28">
        <v>4</v>
      </c>
      <c r="K1234" s="29">
        <v>249</v>
      </c>
      <c r="L1234" s="29">
        <v>0</v>
      </c>
      <c r="M1234" s="30">
        <f t="shared" si="128"/>
        <v>996</v>
      </c>
      <c r="N1234" s="26" t="s">
        <v>89</v>
      </c>
      <c r="Q1234" s="42" t="s">
        <v>1664</v>
      </c>
      <c r="R1234" s="42" t="s">
        <v>101</v>
      </c>
      <c r="S1234" s="57">
        <f t="shared" si="127"/>
        <v>45892</v>
      </c>
      <c r="T1234" s="44" t="s">
        <v>47</v>
      </c>
      <c r="U1234" s="43" t="s">
        <v>52</v>
      </c>
      <c r="V1234" s="42" t="s">
        <v>75</v>
      </c>
      <c r="W1234" s="45">
        <v>4</v>
      </c>
      <c r="X1234" s="46">
        <v>249</v>
      </c>
      <c r="Y1234" s="46">
        <v>0</v>
      </c>
      <c r="Z1234" s="47">
        <f t="shared" si="129"/>
        <v>996</v>
      </c>
      <c r="AA1234" s="48" t="s">
        <v>89</v>
      </c>
      <c r="AB1234"/>
    </row>
    <row r="1235" spans="1:28" x14ac:dyDescent="0.25">
      <c r="A1235" s="31" t="s">
        <v>1665</v>
      </c>
      <c r="B1235" s="31" t="s">
        <v>71</v>
      </c>
      <c r="C1235" s="32" t="str">
        <f t="shared" si="124"/>
        <v>Juliana Costa</v>
      </c>
      <c r="D1235" s="38" t="s">
        <v>1058</v>
      </c>
      <c r="E1235" s="33">
        <f t="shared" si="125"/>
        <v>45824</v>
      </c>
      <c r="F1235" s="32" t="s">
        <v>22</v>
      </c>
      <c r="G1235" s="32" t="str">
        <f t="shared" si="126"/>
        <v>Amanda Costa</v>
      </c>
      <c r="H1235" s="32" t="s">
        <v>52</v>
      </c>
      <c r="I1235" s="32" t="s">
        <v>75</v>
      </c>
      <c r="J1235" s="34">
        <v>5</v>
      </c>
      <c r="K1235" s="35">
        <v>249</v>
      </c>
      <c r="L1235" s="35">
        <v>0</v>
      </c>
      <c r="M1235" s="36">
        <f t="shared" si="128"/>
        <v>1245</v>
      </c>
      <c r="N1235" s="32" t="s">
        <v>44</v>
      </c>
      <c r="Q1235" s="49" t="s">
        <v>1665</v>
      </c>
      <c r="R1235" s="49" t="s">
        <v>71</v>
      </c>
      <c r="S1235" s="58">
        <f t="shared" si="127"/>
        <v>45824</v>
      </c>
      <c r="T1235" s="51" t="s">
        <v>22</v>
      </c>
      <c r="U1235" s="50" t="s">
        <v>52</v>
      </c>
      <c r="V1235" s="52" t="s">
        <v>75</v>
      </c>
      <c r="W1235" s="53">
        <v>5</v>
      </c>
      <c r="X1235" s="54">
        <v>249</v>
      </c>
      <c r="Y1235" s="54">
        <v>0</v>
      </c>
      <c r="Z1235" s="55">
        <f t="shared" si="129"/>
        <v>1245</v>
      </c>
      <c r="AA1235" s="56" t="s">
        <v>44</v>
      </c>
      <c r="AB1235"/>
    </row>
    <row r="1236" spans="1:28" x14ac:dyDescent="0.25">
      <c r="A1236" s="26" t="s">
        <v>1666</v>
      </c>
      <c r="B1236" s="26" t="s">
        <v>41</v>
      </c>
      <c r="C1236" s="26" t="str">
        <f t="shared" si="124"/>
        <v>João Pereira</v>
      </c>
      <c r="D1236" s="37" t="s">
        <v>529</v>
      </c>
      <c r="E1236" s="27">
        <f t="shared" si="125"/>
        <v>45990</v>
      </c>
      <c r="F1236" s="26" t="s">
        <v>15</v>
      </c>
      <c r="G1236" s="26" t="str">
        <f t="shared" si="126"/>
        <v>Larissa Dias</v>
      </c>
      <c r="H1236" s="26" t="s">
        <v>30</v>
      </c>
      <c r="I1236" s="26" t="s">
        <v>152</v>
      </c>
      <c r="J1236" s="28">
        <v>5</v>
      </c>
      <c r="K1236" s="29">
        <v>4500</v>
      </c>
      <c r="L1236" s="29">
        <v>0</v>
      </c>
      <c r="M1236" s="30">
        <f t="shared" si="128"/>
        <v>22500</v>
      </c>
      <c r="N1236" s="26" t="s">
        <v>18</v>
      </c>
      <c r="Q1236" s="42" t="s">
        <v>1666</v>
      </c>
      <c r="R1236" s="42" t="s">
        <v>41</v>
      </c>
      <c r="S1236" s="57">
        <f t="shared" si="127"/>
        <v>45990</v>
      </c>
      <c r="T1236" s="44" t="s">
        <v>15</v>
      </c>
      <c r="U1236" s="43" t="s">
        <v>30</v>
      </c>
      <c r="V1236" s="42" t="s">
        <v>152</v>
      </c>
      <c r="W1236" s="45">
        <v>5</v>
      </c>
      <c r="X1236" s="46">
        <v>4500</v>
      </c>
      <c r="Y1236" s="46">
        <v>0</v>
      </c>
      <c r="Z1236" s="47">
        <f t="shared" si="129"/>
        <v>22500</v>
      </c>
      <c r="AA1236" s="48" t="s">
        <v>18</v>
      </c>
      <c r="AB1236"/>
    </row>
    <row r="1237" spans="1:28" x14ac:dyDescent="0.25">
      <c r="A1237" s="31" t="s">
        <v>1667</v>
      </c>
      <c r="B1237" s="31" t="s">
        <v>110</v>
      </c>
      <c r="C1237" s="32" t="str">
        <f t="shared" si="124"/>
        <v>Fernanda Lima</v>
      </c>
      <c r="D1237" s="38" t="s">
        <v>151</v>
      </c>
      <c r="E1237" s="33">
        <f t="shared" si="125"/>
        <v>45843</v>
      </c>
      <c r="F1237" s="32" t="s">
        <v>39</v>
      </c>
      <c r="G1237" s="32" t="str">
        <f t="shared" si="126"/>
        <v>Rodrigo Mello</v>
      </c>
      <c r="H1237" s="32" t="s">
        <v>23</v>
      </c>
      <c r="I1237" s="32" t="s">
        <v>24</v>
      </c>
      <c r="J1237" s="34">
        <v>5</v>
      </c>
      <c r="K1237" s="35">
        <v>180</v>
      </c>
      <c r="L1237" s="35">
        <v>0</v>
      </c>
      <c r="M1237" s="36">
        <f t="shared" si="128"/>
        <v>900</v>
      </c>
      <c r="N1237" s="32" t="s">
        <v>44</v>
      </c>
      <c r="Q1237" s="49" t="s">
        <v>1667</v>
      </c>
      <c r="R1237" s="49" t="s">
        <v>110</v>
      </c>
      <c r="S1237" s="58">
        <f t="shared" si="127"/>
        <v>45843</v>
      </c>
      <c r="T1237" s="51" t="s">
        <v>39</v>
      </c>
      <c r="U1237" s="50" t="s">
        <v>23</v>
      </c>
      <c r="V1237" s="52" t="s">
        <v>24</v>
      </c>
      <c r="W1237" s="53">
        <v>5</v>
      </c>
      <c r="X1237" s="54">
        <v>180</v>
      </c>
      <c r="Y1237" s="54">
        <v>0</v>
      </c>
      <c r="Z1237" s="55">
        <f t="shared" si="129"/>
        <v>900</v>
      </c>
      <c r="AA1237" s="56" t="s">
        <v>44</v>
      </c>
      <c r="AB1237"/>
    </row>
    <row r="1238" spans="1:28" x14ac:dyDescent="0.25">
      <c r="A1238" s="26" t="s">
        <v>1668</v>
      </c>
      <c r="B1238" s="26" t="s">
        <v>71</v>
      </c>
      <c r="C1238" s="26" t="str">
        <f t="shared" si="124"/>
        <v>Juliana Costa</v>
      </c>
      <c r="D1238" s="37" t="s">
        <v>673</v>
      </c>
      <c r="E1238" s="27">
        <f t="shared" si="125"/>
        <v>45904</v>
      </c>
      <c r="F1238" s="26" t="s">
        <v>47</v>
      </c>
      <c r="G1238" s="26" t="str">
        <f t="shared" si="126"/>
        <v>Bruno Martins</v>
      </c>
      <c r="H1238" s="26" t="s">
        <v>30</v>
      </c>
      <c r="I1238" s="26" t="s">
        <v>31</v>
      </c>
      <c r="J1238" s="28">
        <v>4</v>
      </c>
      <c r="K1238" s="29">
        <v>2500</v>
      </c>
      <c r="L1238" s="29">
        <v>1030.42</v>
      </c>
      <c r="M1238" s="30">
        <f t="shared" si="128"/>
        <v>8969.58</v>
      </c>
      <c r="N1238" s="26" t="s">
        <v>65</v>
      </c>
      <c r="Q1238" s="42" t="s">
        <v>1668</v>
      </c>
      <c r="R1238" s="42" t="s">
        <v>71</v>
      </c>
      <c r="S1238" s="57">
        <f t="shared" si="127"/>
        <v>45904</v>
      </c>
      <c r="T1238" s="44" t="s">
        <v>47</v>
      </c>
      <c r="U1238" s="43" t="s">
        <v>30</v>
      </c>
      <c r="V1238" s="42" t="s">
        <v>31</v>
      </c>
      <c r="W1238" s="45">
        <v>4</v>
      </c>
      <c r="X1238" s="46">
        <v>2500</v>
      </c>
      <c r="Y1238" s="46">
        <v>1030.42</v>
      </c>
      <c r="Z1238" s="47">
        <f t="shared" si="129"/>
        <v>8969.58</v>
      </c>
      <c r="AA1238" s="48" t="s">
        <v>65</v>
      </c>
      <c r="AB1238"/>
    </row>
    <row r="1239" spans="1:28" x14ac:dyDescent="0.25">
      <c r="A1239" s="31" t="s">
        <v>1669</v>
      </c>
      <c r="B1239" s="31" t="s">
        <v>95</v>
      </c>
      <c r="C1239" s="32" t="str">
        <f t="shared" si="124"/>
        <v>Maria Oliveira</v>
      </c>
      <c r="D1239" s="38" t="s">
        <v>1050</v>
      </c>
      <c r="E1239" s="33">
        <f t="shared" si="125"/>
        <v>45681</v>
      </c>
      <c r="F1239" s="32" t="s">
        <v>29</v>
      </c>
      <c r="G1239" s="32" t="str">
        <f t="shared" si="126"/>
        <v>Camila Rocha</v>
      </c>
      <c r="H1239" s="32" t="s">
        <v>23</v>
      </c>
      <c r="I1239" s="32" t="s">
        <v>24</v>
      </c>
      <c r="J1239" s="34">
        <v>2</v>
      </c>
      <c r="K1239" s="35">
        <v>180</v>
      </c>
      <c r="L1239" s="35">
        <v>0</v>
      </c>
      <c r="M1239" s="36">
        <f t="shared" si="128"/>
        <v>360</v>
      </c>
      <c r="N1239" s="32" t="s">
        <v>18</v>
      </c>
      <c r="Q1239" s="49" t="s">
        <v>1669</v>
      </c>
      <c r="R1239" s="49" t="s">
        <v>95</v>
      </c>
      <c r="S1239" s="58">
        <f t="shared" si="127"/>
        <v>45681</v>
      </c>
      <c r="T1239" s="51" t="s">
        <v>29</v>
      </c>
      <c r="U1239" s="50" t="s">
        <v>23</v>
      </c>
      <c r="V1239" s="52" t="s">
        <v>24</v>
      </c>
      <c r="W1239" s="53">
        <v>2</v>
      </c>
      <c r="X1239" s="54">
        <v>180</v>
      </c>
      <c r="Y1239" s="54">
        <v>0</v>
      </c>
      <c r="Z1239" s="55">
        <f t="shared" si="129"/>
        <v>360</v>
      </c>
      <c r="AA1239" s="56" t="s">
        <v>18</v>
      </c>
      <c r="AB1239"/>
    </row>
    <row r="1240" spans="1:28" x14ac:dyDescent="0.25">
      <c r="A1240" s="26" t="s">
        <v>1670</v>
      </c>
      <c r="B1240" s="26" t="s">
        <v>95</v>
      </c>
      <c r="C1240" s="26" t="str">
        <f t="shared" si="124"/>
        <v>Maria Oliveira</v>
      </c>
      <c r="D1240" s="37" t="s">
        <v>237</v>
      </c>
      <c r="E1240" s="27">
        <f t="shared" si="125"/>
        <v>45749</v>
      </c>
      <c r="F1240" s="26" t="s">
        <v>47</v>
      </c>
      <c r="G1240" s="26" t="str">
        <f t="shared" si="126"/>
        <v>Bruno Martins</v>
      </c>
      <c r="H1240" s="26" t="s">
        <v>16</v>
      </c>
      <c r="I1240" s="26" t="s">
        <v>78</v>
      </c>
      <c r="J1240" s="28">
        <v>4</v>
      </c>
      <c r="K1240" s="29">
        <v>59</v>
      </c>
      <c r="L1240" s="29">
        <v>30.76</v>
      </c>
      <c r="M1240" s="30">
        <f t="shared" si="128"/>
        <v>205.24</v>
      </c>
      <c r="N1240" s="26" t="s">
        <v>69</v>
      </c>
      <c r="Q1240" s="42" t="s">
        <v>1670</v>
      </c>
      <c r="R1240" s="42" t="s">
        <v>95</v>
      </c>
      <c r="S1240" s="57">
        <f t="shared" si="127"/>
        <v>45749</v>
      </c>
      <c r="T1240" s="44" t="s">
        <v>47</v>
      </c>
      <c r="U1240" s="43" t="s">
        <v>16</v>
      </c>
      <c r="V1240" s="42" t="s">
        <v>78</v>
      </c>
      <c r="W1240" s="45">
        <v>4</v>
      </c>
      <c r="X1240" s="46">
        <v>59</v>
      </c>
      <c r="Y1240" s="46">
        <v>30.76</v>
      </c>
      <c r="Z1240" s="47">
        <f t="shared" si="129"/>
        <v>205.24</v>
      </c>
      <c r="AA1240" s="48" t="s">
        <v>69</v>
      </c>
      <c r="AB1240"/>
    </row>
    <row r="1241" spans="1:28" x14ac:dyDescent="0.25">
      <c r="A1241" s="31" t="s">
        <v>1671</v>
      </c>
      <c r="B1241" s="31" t="s">
        <v>110</v>
      </c>
      <c r="C1241" s="32" t="str">
        <f t="shared" si="124"/>
        <v>Fernanda Lima</v>
      </c>
      <c r="D1241" s="38" t="s">
        <v>331</v>
      </c>
      <c r="E1241" s="33">
        <f t="shared" si="125"/>
        <v>45854</v>
      </c>
      <c r="F1241" s="32" t="s">
        <v>22</v>
      </c>
      <c r="G1241" s="32" t="str">
        <f t="shared" si="126"/>
        <v>Amanda Costa</v>
      </c>
      <c r="H1241" s="32" t="s">
        <v>16</v>
      </c>
      <c r="I1241" s="32" t="s">
        <v>78</v>
      </c>
      <c r="J1241" s="34">
        <v>4</v>
      </c>
      <c r="K1241" s="35">
        <v>59</v>
      </c>
      <c r="L1241" s="35">
        <v>25</v>
      </c>
      <c r="M1241" s="36">
        <f t="shared" si="128"/>
        <v>211</v>
      </c>
      <c r="N1241" s="32" t="s">
        <v>49</v>
      </c>
      <c r="Q1241" s="49" t="s">
        <v>1671</v>
      </c>
      <c r="R1241" s="49" t="s">
        <v>110</v>
      </c>
      <c r="S1241" s="58">
        <f t="shared" si="127"/>
        <v>45854</v>
      </c>
      <c r="T1241" s="51" t="s">
        <v>22</v>
      </c>
      <c r="U1241" s="50" t="s">
        <v>16</v>
      </c>
      <c r="V1241" s="52" t="s">
        <v>78</v>
      </c>
      <c r="W1241" s="53">
        <v>4</v>
      </c>
      <c r="X1241" s="54">
        <v>59</v>
      </c>
      <c r="Y1241" s="54">
        <v>25</v>
      </c>
      <c r="Z1241" s="55">
        <f t="shared" si="129"/>
        <v>211</v>
      </c>
      <c r="AA1241" s="56" t="s">
        <v>49</v>
      </c>
      <c r="AB1241"/>
    </row>
    <row r="1242" spans="1:28" x14ac:dyDescent="0.25">
      <c r="A1242" s="26" t="s">
        <v>1672</v>
      </c>
      <c r="B1242" s="26" t="s">
        <v>63</v>
      </c>
      <c r="C1242" s="26" t="str">
        <f t="shared" si="124"/>
        <v>Marcos Rodrigues</v>
      </c>
      <c r="D1242" s="37" t="s">
        <v>1673</v>
      </c>
      <c r="E1242" s="27">
        <f t="shared" si="125"/>
        <v>45963</v>
      </c>
      <c r="F1242" s="26" t="s">
        <v>29</v>
      </c>
      <c r="G1242" s="26" t="str">
        <f t="shared" si="126"/>
        <v>Camila Rocha</v>
      </c>
      <c r="H1242" s="26" t="s">
        <v>52</v>
      </c>
      <c r="I1242" s="26" t="s">
        <v>61</v>
      </c>
      <c r="J1242" s="28">
        <v>2</v>
      </c>
      <c r="K1242" s="29">
        <v>199</v>
      </c>
      <c r="L1242" s="29">
        <v>12.68</v>
      </c>
      <c r="M1242" s="30">
        <f t="shared" si="128"/>
        <v>385.32</v>
      </c>
      <c r="N1242" s="26" t="s">
        <v>25</v>
      </c>
      <c r="Q1242" s="42" t="s">
        <v>1672</v>
      </c>
      <c r="R1242" s="42" t="s">
        <v>63</v>
      </c>
      <c r="S1242" s="57">
        <f t="shared" si="127"/>
        <v>45963</v>
      </c>
      <c r="T1242" s="44" t="s">
        <v>29</v>
      </c>
      <c r="U1242" s="43" t="s">
        <v>52</v>
      </c>
      <c r="V1242" s="42" t="s">
        <v>61</v>
      </c>
      <c r="W1242" s="45">
        <v>2</v>
      </c>
      <c r="X1242" s="46">
        <v>199</v>
      </c>
      <c r="Y1242" s="46">
        <v>12.68</v>
      </c>
      <c r="Z1242" s="47">
        <f t="shared" si="129"/>
        <v>385.32</v>
      </c>
      <c r="AA1242" s="48" t="s">
        <v>25</v>
      </c>
      <c r="AB1242"/>
    </row>
    <row r="1243" spans="1:28" x14ac:dyDescent="0.25">
      <c r="A1243" s="31" t="s">
        <v>1674</v>
      </c>
      <c r="B1243" s="31" t="s">
        <v>37</v>
      </c>
      <c r="C1243" s="32" t="str">
        <f t="shared" si="124"/>
        <v>Patricia Gomes</v>
      </c>
      <c r="D1243" s="38" t="s">
        <v>1050</v>
      </c>
      <c r="E1243" s="33">
        <f t="shared" si="125"/>
        <v>45681</v>
      </c>
      <c r="F1243" s="32" t="s">
        <v>22</v>
      </c>
      <c r="G1243" s="32" t="str">
        <f t="shared" si="126"/>
        <v>Amanda Costa</v>
      </c>
      <c r="H1243" s="32" t="s">
        <v>52</v>
      </c>
      <c r="I1243" s="32" t="s">
        <v>99</v>
      </c>
      <c r="J1243" s="34">
        <v>4</v>
      </c>
      <c r="K1243" s="35">
        <v>79</v>
      </c>
      <c r="L1243" s="35">
        <v>0</v>
      </c>
      <c r="M1243" s="36">
        <f t="shared" si="128"/>
        <v>316</v>
      </c>
      <c r="N1243" s="32" t="s">
        <v>65</v>
      </c>
      <c r="Q1243" s="49" t="s">
        <v>1674</v>
      </c>
      <c r="R1243" s="49" t="s">
        <v>37</v>
      </c>
      <c r="S1243" s="58">
        <f t="shared" si="127"/>
        <v>45681</v>
      </c>
      <c r="T1243" s="51" t="s">
        <v>22</v>
      </c>
      <c r="U1243" s="50" t="s">
        <v>52</v>
      </c>
      <c r="V1243" s="52" t="s">
        <v>99</v>
      </c>
      <c r="W1243" s="53">
        <v>4</v>
      </c>
      <c r="X1243" s="54">
        <v>79</v>
      </c>
      <c r="Y1243" s="54">
        <v>0</v>
      </c>
      <c r="Z1243" s="55">
        <f t="shared" si="129"/>
        <v>316</v>
      </c>
      <c r="AA1243" s="56" t="s">
        <v>65</v>
      </c>
      <c r="AB1243"/>
    </row>
    <row r="1244" spans="1:28" x14ac:dyDescent="0.25">
      <c r="A1244" s="26" t="s">
        <v>1675</v>
      </c>
      <c r="B1244" s="26" t="s">
        <v>63</v>
      </c>
      <c r="C1244" s="26" t="str">
        <f t="shared" si="124"/>
        <v>Marcos Rodrigues</v>
      </c>
      <c r="D1244" s="37" t="s">
        <v>684</v>
      </c>
      <c r="E1244" s="27">
        <f t="shared" si="125"/>
        <v>45756</v>
      </c>
      <c r="F1244" s="26" t="s">
        <v>29</v>
      </c>
      <c r="G1244" s="26" t="str">
        <f t="shared" si="126"/>
        <v>Camila Rocha</v>
      </c>
      <c r="H1244" s="26" t="s">
        <v>52</v>
      </c>
      <c r="I1244" s="26" t="s">
        <v>53</v>
      </c>
      <c r="J1244" s="28">
        <v>1</v>
      </c>
      <c r="K1244" s="29">
        <v>149</v>
      </c>
      <c r="L1244" s="29">
        <v>0</v>
      </c>
      <c r="M1244" s="30">
        <f t="shared" si="128"/>
        <v>149</v>
      </c>
      <c r="N1244" s="26" t="s">
        <v>49</v>
      </c>
      <c r="Q1244" s="42" t="s">
        <v>1675</v>
      </c>
      <c r="R1244" s="42" t="s">
        <v>63</v>
      </c>
      <c r="S1244" s="57">
        <f t="shared" si="127"/>
        <v>45756</v>
      </c>
      <c r="T1244" s="44" t="s">
        <v>29</v>
      </c>
      <c r="U1244" s="43" t="s">
        <v>52</v>
      </c>
      <c r="V1244" s="42" t="s">
        <v>53</v>
      </c>
      <c r="W1244" s="45">
        <v>1</v>
      </c>
      <c r="X1244" s="46">
        <v>149</v>
      </c>
      <c r="Y1244" s="46">
        <v>0</v>
      </c>
      <c r="Z1244" s="47">
        <f t="shared" si="129"/>
        <v>149</v>
      </c>
      <c r="AA1244" s="48" t="s">
        <v>49</v>
      </c>
      <c r="AB1244"/>
    </row>
    <row r="1245" spans="1:28" x14ac:dyDescent="0.25">
      <c r="A1245" s="31" t="s">
        <v>1676</v>
      </c>
      <c r="B1245" s="31" t="s">
        <v>13</v>
      </c>
      <c r="C1245" s="32" t="str">
        <f t="shared" si="124"/>
        <v>Lucas Almeida</v>
      </c>
      <c r="D1245" s="38" t="s">
        <v>711</v>
      </c>
      <c r="E1245" s="33">
        <f t="shared" si="125"/>
        <v>45726</v>
      </c>
      <c r="F1245" s="32" t="s">
        <v>47</v>
      </c>
      <c r="G1245" s="32" t="str">
        <f t="shared" si="126"/>
        <v>Bruno Martins</v>
      </c>
      <c r="H1245" s="32" t="s">
        <v>23</v>
      </c>
      <c r="I1245" s="32" t="s">
        <v>48</v>
      </c>
      <c r="J1245" s="34">
        <v>1</v>
      </c>
      <c r="K1245" s="35">
        <v>450</v>
      </c>
      <c r="L1245" s="35">
        <v>0</v>
      </c>
      <c r="M1245" s="36">
        <f t="shared" si="128"/>
        <v>450</v>
      </c>
      <c r="N1245" s="32" t="s">
        <v>18</v>
      </c>
      <c r="Q1245" s="49" t="s">
        <v>1676</v>
      </c>
      <c r="R1245" s="49" t="s">
        <v>13</v>
      </c>
      <c r="S1245" s="58">
        <f t="shared" si="127"/>
        <v>45726</v>
      </c>
      <c r="T1245" s="51" t="s">
        <v>47</v>
      </c>
      <c r="U1245" s="50" t="s">
        <v>23</v>
      </c>
      <c r="V1245" s="52" t="s">
        <v>48</v>
      </c>
      <c r="W1245" s="53">
        <v>1</v>
      </c>
      <c r="X1245" s="54">
        <v>450</v>
      </c>
      <c r="Y1245" s="54">
        <v>0</v>
      </c>
      <c r="Z1245" s="55">
        <f t="shared" si="129"/>
        <v>450</v>
      </c>
      <c r="AA1245" s="56" t="s">
        <v>18</v>
      </c>
      <c r="AB1245"/>
    </row>
    <row r="1246" spans="1:28" x14ac:dyDescent="0.25">
      <c r="A1246" s="26" t="s">
        <v>1677</v>
      </c>
      <c r="B1246" s="26" t="s">
        <v>41</v>
      </c>
      <c r="C1246" s="26" t="str">
        <f t="shared" si="124"/>
        <v>João Pereira</v>
      </c>
      <c r="D1246" s="37" t="s">
        <v>618</v>
      </c>
      <c r="E1246" s="27">
        <f t="shared" si="125"/>
        <v>45757</v>
      </c>
      <c r="F1246" s="26" t="s">
        <v>22</v>
      </c>
      <c r="G1246" s="26" t="str">
        <f t="shared" si="126"/>
        <v>Amanda Costa</v>
      </c>
      <c r="H1246" s="26" t="s">
        <v>16</v>
      </c>
      <c r="I1246" s="26" t="s">
        <v>17</v>
      </c>
      <c r="J1246" s="28">
        <v>1</v>
      </c>
      <c r="K1246" s="29">
        <v>39</v>
      </c>
      <c r="L1246" s="29">
        <v>0</v>
      </c>
      <c r="M1246" s="30">
        <f t="shared" si="128"/>
        <v>39</v>
      </c>
      <c r="N1246" s="26" t="s">
        <v>18</v>
      </c>
      <c r="Q1246" s="42" t="s">
        <v>1677</v>
      </c>
      <c r="R1246" s="42" t="s">
        <v>41</v>
      </c>
      <c r="S1246" s="57">
        <f t="shared" si="127"/>
        <v>45757</v>
      </c>
      <c r="T1246" s="44" t="s">
        <v>22</v>
      </c>
      <c r="U1246" s="43" t="s">
        <v>16</v>
      </c>
      <c r="V1246" s="42" t="s">
        <v>17</v>
      </c>
      <c r="W1246" s="45">
        <v>1</v>
      </c>
      <c r="X1246" s="46">
        <v>39</v>
      </c>
      <c r="Y1246" s="46">
        <v>0</v>
      </c>
      <c r="Z1246" s="47">
        <f t="shared" si="129"/>
        <v>39</v>
      </c>
      <c r="AA1246" s="48" t="s">
        <v>18</v>
      </c>
      <c r="AB1246"/>
    </row>
    <row r="1247" spans="1:28" x14ac:dyDescent="0.25">
      <c r="A1247" s="31" t="s">
        <v>1678</v>
      </c>
      <c r="B1247" s="31" t="s">
        <v>34</v>
      </c>
      <c r="C1247" s="32" t="str">
        <f t="shared" si="124"/>
        <v>Carlos Silva</v>
      </c>
      <c r="D1247" s="38" t="s">
        <v>314</v>
      </c>
      <c r="E1247" s="33">
        <f t="shared" si="125"/>
        <v>45803</v>
      </c>
      <c r="F1247" s="32" t="s">
        <v>22</v>
      </c>
      <c r="G1247" s="32" t="str">
        <f t="shared" si="126"/>
        <v>Amanda Costa</v>
      </c>
      <c r="H1247" s="32" t="s">
        <v>23</v>
      </c>
      <c r="I1247" s="32" t="s">
        <v>24</v>
      </c>
      <c r="J1247" s="34">
        <v>1</v>
      </c>
      <c r="K1247" s="35">
        <v>180</v>
      </c>
      <c r="L1247" s="35">
        <v>0</v>
      </c>
      <c r="M1247" s="36">
        <f t="shared" si="128"/>
        <v>180</v>
      </c>
      <c r="N1247" s="32" t="s">
        <v>89</v>
      </c>
      <c r="Q1247" s="49" t="s">
        <v>1678</v>
      </c>
      <c r="R1247" s="49" t="s">
        <v>34</v>
      </c>
      <c r="S1247" s="58">
        <f t="shared" si="127"/>
        <v>45803</v>
      </c>
      <c r="T1247" s="51" t="s">
        <v>22</v>
      </c>
      <c r="U1247" s="50" t="s">
        <v>23</v>
      </c>
      <c r="V1247" s="52" t="s">
        <v>24</v>
      </c>
      <c r="W1247" s="53">
        <v>1</v>
      </c>
      <c r="X1247" s="54">
        <v>180</v>
      </c>
      <c r="Y1247" s="54">
        <v>0</v>
      </c>
      <c r="Z1247" s="55">
        <f t="shared" si="129"/>
        <v>180</v>
      </c>
      <c r="AA1247" s="56" t="s">
        <v>89</v>
      </c>
      <c r="AB1247"/>
    </row>
    <row r="1248" spans="1:28" x14ac:dyDescent="0.25">
      <c r="A1248" s="26" t="s">
        <v>1679</v>
      </c>
      <c r="B1248" s="26" t="s">
        <v>63</v>
      </c>
      <c r="C1248" s="26" t="str">
        <f t="shared" si="124"/>
        <v>Marcos Rodrigues</v>
      </c>
      <c r="D1248" s="37" t="s">
        <v>900</v>
      </c>
      <c r="E1248" s="27">
        <f t="shared" si="125"/>
        <v>46053</v>
      </c>
      <c r="F1248" s="26" t="s">
        <v>29</v>
      </c>
      <c r="G1248" s="26" t="str">
        <f t="shared" si="126"/>
        <v>Camila Rocha</v>
      </c>
      <c r="H1248" s="26" t="s">
        <v>30</v>
      </c>
      <c r="I1248" s="26" t="s">
        <v>106</v>
      </c>
      <c r="J1248" s="28">
        <v>5</v>
      </c>
      <c r="K1248" s="29">
        <v>299</v>
      </c>
      <c r="L1248" s="29">
        <v>30.07</v>
      </c>
      <c r="M1248" s="30">
        <f t="shared" si="128"/>
        <v>1464.93</v>
      </c>
      <c r="N1248" s="26" t="s">
        <v>69</v>
      </c>
      <c r="Q1248" s="42" t="s">
        <v>1679</v>
      </c>
      <c r="R1248" s="42" t="s">
        <v>63</v>
      </c>
      <c r="S1248" s="57">
        <f t="shared" si="127"/>
        <v>46053</v>
      </c>
      <c r="T1248" s="44" t="s">
        <v>29</v>
      </c>
      <c r="U1248" s="43" t="s">
        <v>30</v>
      </c>
      <c r="V1248" s="42" t="s">
        <v>106</v>
      </c>
      <c r="W1248" s="45">
        <v>5</v>
      </c>
      <c r="X1248" s="46">
        <v>299</v>
      </c>
      <c r="Y1248" s="46">
        <v>30.07</v>
      </c>
      <c r="Z1248" s="47">
        <f t="shared" si="129"/>
        <v>1464.93</v>
      </c>
      <c r="AA1248" s="48" t="s">
        <v>69</v>
      </c>
      <c r="AB1248"/>
    </row>
    <row r="1249" spans="1:28" x14ac:dyDescent="0.25">
      <c r="A1249" s="31" t="s">
        <v>1680</v>
      </c>
      <c r="B1249" s="31" t="s">
        <v>101</v>
      </c>
      <c r="C1249" s="32" t="str">
        <f t="shared" si="124"/>
        <v>Ana Souza</v>
      </c>
      <c r="D1249" s="38" t="s">
        <v>72</v>
      </c>
      <c r="E1249" s="33">
        <f t="shared" si="125"/>
        <v>45765</v>
      </c>
      <c r="F1249" s="32" t="s">
        <v>47</v>
      </c>
      <c r="G1249" s="32" t="str">
        <f t="shared" si="126"/>
        <v>Bruno Martins</v>
      </c>
      <c r="H1249" s="32" t="s">
        <v>23</v>
      </c>
      <c r="I1249" s="32" t="s">
        <v>43</v>
      </c>
      <c r="J1249" s="34">
        <v>2</v>
      </c>
      <c r="K1249" s="35">
        <v>350</v>
      </c>
      <c r="L1249" s="35">
        <v>45.7</v>
      </c>
      <c r="M1249" s="36">
        <f t="shared" si="128"/>
        <v>654.29999999999995</v>
      </c>
      <c r="N1249" s="32" t="s">
        <v>49</v>
      </c>
      <c r="Q1249" s="49" t="s">
        <v>1680</v>
      </c>
      <c r="R1249" s="49" t="s">
        <v>101</v>
      </c>
      <c r="S1249" s="58">
        <f t="shared" si="127"/>
        <v>45765</v>
      </c>
      <c r="T1249" s="51" t="s">
        <v>47</v>
      </c>
      <c r="U1249" s="50" t="s">
        <v>23</v>
      </c>
      <c r="V1249" s="52" t="s">
        <v>43</v>
      </c>
      <c r="W1249" s="53">
        <v>2</v>
      </c>
      <c r="X1249" s="54">
        <v>350</v>
      </c>
      <c r="Y1249" s="54">
        <v>45.7</v>
      </c>
      <c r="Z1249" s="55">
        <f t="shared" si="129"/>
        <v>654.29999999999995</v>
      </c>
      <c r="AA1249" s="56" t="s">
        <v>49</v>
      </c>
      <c r="AB1249"/>
    </row>
    <row r="1250" spans="1:28" x14ac:dyDescent="0.25">
      <c r="A1250" s="26" t="s">
        <v>1681</v>
      </c>
      <c r="B1250" s="26" t="s">
        <v>34</v>
      </c>
      <c r="C1250" s="26" t="str">
        <f t="shared" si="124"/>
        <v>Carlos Silva</v>
      </c>
      <c r="D1250" s="37" t="s">
        <v>83</v>
      </c>
      <c r="E1250" s="27">
        <f t="shared" si="125"/>
        <v>45748</v>
      </c>
      <c r="F1250" s="26" t="s">
        <v>15</v>
      </c>
      <c r="G1250" s="26" t="str">
        <f t="shared" si="126"/>
        <v>Larissa Dias</v>
      </c>
      <c r="H1250" s="26" t="s">
        <v>52</v>
      </c>
      <c r="I1250" s="26" t="s">
        <v>75</v>
      </c>
      <c r="J1250" s="28">
        <v>3</v>
      </c>
      <c r="K1250" s="29">
        <v>249</v>
      </c>
      <c r="L1250" s="29">
        <v>31.68</v>
      </c>
      <c r="M1250" s="30">
        <f t="shared" si="128"/>
        <v>715.32</v>
      </c>
      <c r="N1250" s="26" t="s">
        <v>69</v>
      </c>
      <c r="Q1250" s="42" t="s">
        <v>1681</v>
      </c>
      <c r="R1250" s="42" t="s">
        <v>34</v>
      </c>
      <c r="S1250" s="57">
        <f t="shared" si="127"/>
        <v>45748</v>
      </c>
      <c r="T1250" s="44" t="s">
        <v>15</v>
      </c>
      <c r="U1250" s="43" t="s">
        <v>52</v>
      </c>
      <c r="V1250" s="42" t="s">
        <v>75</v>
      </c>
      <c r="W1250" s="45">
        <v>3</v>
      </c>
      <c r="X1250" s="46">
        <v>249</v>
      </c>
      <c r="Y1250" s="46">
        <v>31.68</v>
      </c>
      <c r="Z1250" s="47">
        <f t="shared" si="129"/>
        <v>715.32</v>
      </c>
      <c r="AA1250" s="48" t="s">
        <v>69</v>
      </c>
      <c r="AB1250"/>
    </row>
    <row r="1251" spans="1:28" x14ac:dyDescent="0.25">
      <c r="A1251" s="31" t="s">
        <v>1681</v>
      </c>
      <c r="B1251" s="31" t="s">
        <v>277</v>
      </c>
      <c r="C1251" s="32" t="str">
        <f t="shared" si="124"/>
        <v>Carlos Silva</v>
      </c>
      <c r="D1251" s="38" t="s">
        <v>83</v>
      </c>
      <c r="E1251" s="33">
        <f t="shared" si="125"/>
        <v>45748</v>
      </c>
      <c r="F1251" s="32" t="s">
        <v>47</v>
      </c>
      <c r="G1251" s="32" t="str">
        <f t="shared" si="126"/>
        <v>Bruno Martins</v>
      </c>
      <c r="H1251" s="32" t="s">
        <v>30</v>
      </c>
      <c r="I1251" s="32" t="s">
        <v>31</v>
      </c>
      <c r="J1251" s="34">
        <v>4</v>
      </c>
      <c r="K1251" s="35">
        <v>2500</v>
      </c>
      <c r="L1251" s="35">
        <v>0</v>
      </c>
      <c r="M1251" s="36">
        <f t="shared" si="128"/>
        <v>10000</v>
      </c>
      <c r="N1251" s="32" t="s">
        <v>69</v>
      </c>
      <c r="Q1251" s="49" t="s">
        <v>1681</v>
      </c>
      <c r="R1251" s="49" t="s">
        <v>34</v>
      </c>
      <c r="S1251" s="58">
        <f t="shared" si="127"/>
        <v>45748</v>
      </c>
      <c r="T1251" s="51" t="s">
        <v>47</v>
      </c>
      <c r="U1251" s="50" t="s">
        <v>30</v>
      </c>
      <c r="V1251" s="52" t="s">
        <v>31</v>
      </c>
      <c r="W1251" s="53">
        <v>4</v>
      </c>
      <c r="X1251" s="54">
        <v>2500</v>
      </c>
      <c r="Y1251" s="54">
        <v>0</v>
      </c>
      <c r="Z1251" s="55">
        <f t="shared" si="129"/>
        <v>10000</v>
      </c>
      <c r="AA1251" s="56" t="s">
        <v>69</v>
      </c>
      <c r="AB1251"/>
    </row>
    <row r="1252" spans="1:28" x14ac:dyDescent="0.25">
      <c r="A1252" s="26" t="s">
        <v>1682</v>
      </c>
      <c r="B1252" s="26" t="s">
        <v>95</v>
      </c>
      <c r="C1252" s="26" t="str">
        <f t="shared" si="124"/>
        <v>Maria Oliveira</v>
      </c>
      <c r="D1252" s="37" t="s">
        <v>87</v>
      </c>
      <c r="E1252" s="27">
        <f t="shared" si="125"/>
        <v>45996</v>
      </c>
      <c r="F1252" s="26" t="s">
        <v>22</v>
      </c>
      <c r="G1252" s="26" t="str">
        <f t="shared" si="126"/>
        <v>Amanda Costa</v>
      </c>
      <c r="H1252" s="26" t="s">
        <v>16</v>
      </c>
      <c r="I1252" s="26" t="s">
        <v>116</v>
      </c>
      <c r="J1252" s="28">
        <v>5</v>
      </c>
      <c r="K1252" s="29">
        <v>45</v>
      </c>
      <c r="L1252" s="29">
        <v>8.09</v>
      </c>
      <c r="M1252" s="30">
        <f t="shared" si="128"/>
        <v>216.91</v>
      </c>
      <c r="N1252" s="26" t="s">
        <v>32</v>
      </c>
      <c r="Q1252" s="42" t="s">
        <v>1682</v>
      </c>
      <c r="R1252" s="42" t="s">
        <v>95</v>
      </c>
      <c r="S1252" s="57">
        <f t="shared" si="127"/>
        <v>45996</v>
      </c>
      <c r="T1252" s="44" t="s">
        <v>22</v>
      </c>
      <c r="U1252" s="43" t="s">
        <v>16</v>
      </c>
      <c r="V1252" s="42" t="s">
        <v>116</v>
      </c>
      <c r="W1252" s="45">
        <v>5</v>
      </c>
      <c r="X1252" s="46">
        <v>45</v>
      </c>
      <c r="Y1252" s="46">
        <v>8.09</v>
      </c>
      <c r="Z1252" s="47">
        <f t="shared" si="129"/>
        <v>216.91</v>
      </c>
      <c r="AA1252" s="48" t="s">
        <v>32</v>
      </c>
      <c r="AB1252"/>
    </row>
    <row r="1253" spans="1:28" x14ac:dyDescent="0.25">
      <c r="A1253" s="31" t="s">
        <v>1683</v>
      </c>
      <c r="B1253" s="31" t="s">
        <v>277</v>
      </c>
      <c r="C1253" s="32" t="str">
        <f t="shared" si="124"/>
        <v>Carlos Silva</v>
      </c>
      <c r="D1253" s="38" t="s">
        <v>591</v>
      </c>
      <c r="E1253" s="33">
        <f t="shared" si="125"/>
        <v>45947</v>
      </c>
      <c r="F1253" s="32" t="s">
        <v>22</v>
      </c>
      <c r="G1253" s="32" t="str">
        <f t="shared" si="126"/>
        <v>Amanda Costa</v>
      </c>
      <c r="H1253" s="32" t="s">
        <v>30</v>
      </c>
      <c r="I1253" s="32" t="s">
        <v>31</v>
      </c>
      <c r="J1253" s="34">
        <v>5</v>
      </c>
      <c r="K1253" s="35">
        <v>2500</v>
      </c>
      <c r="L1253" s="35">
        <v>0</v>
      </c>
      <c r="M1253" s="36">
        <f t="shared" si="128"/>
        <v>12500</v>
      </c>
      <c r="N1253" s="32" t="s">
        <v>89</v>
      </c>
      <c r="Q1253" s="49" t="s">
        <v>1683</v>
      </c>
      <c r="R1253" s="49" t="s">
        <v>34</v>
      </c>
      <c r="S1253" s="58">
        <f t="shared" si="127"/>
        <v>45947</v>
      </c>
      <c r="T1253" s="51" t="s">
        <v>22</v>
      </c>
      <c r="U1253" s="50" t="s">
        <v>30</v>
      </c>
      <c r="V1253" s="52" t="s">
        <v>31</v>
      </c>
      <c r="W1253" s="53">
        <v>5</v>
      </c>
      <c r="X1253" s="54">
        <v>2500</v>
      </c>
      <c r="Y1253" s="54">
        <v>0</v>
      </c>
      <c r="Z1253" s="55">
        <f t="shared" si="129"/>
        <v>12500</v>
      </c>
      <c r="AA1253" s="56" t="s">
        <v>89</v>
      </c>
      <c r="AB1253"/>
    </row>
    <row r="1254" spans="1:28" x14ac:dyDescent="0.25">
      <c r="A1254" s="26" t="s">
        <v>1684</v>
      </c>
      <c r="B1254" s="26" t="s">
        <v>71</v>
      </c>
      <c r="C1254" s="26" t="str">
        <f t="shared" si="124"/>
        <v>Juliana Costa</v>
      </c>
      <c r="D1254" s="37" t="s">
        <v>1685</v>
      </c>
      <c r="E1254" s="27">
        <f t="shared" si="125"/>
        <v>45810</v>
      </c>
      <c r="F1254" s="26" t="s">
        <v>22</v>
      </c>
      <c r="G1254" s="26" t="str">
        <f t="shared" si="126"/>
        <v>Amanda Costa</v>
      </c>
      <c r="H1254" s="26" t="s">
        <v>30</v>
      </c>
      <c r="I1254" s="26" t="s">
        <v>106</v>
      </c>
      <c r="J1254" s="28">
        <v>3</v>
      </c>
      <c r="K1254" s="29">
        <v>299</v>
      </c>
      <c r="L1254" s="29">
        <v>61.02</v>
      </c>
      <c r="M1254" s="30">
        <f t="shared" si="128"/>
        <v>835.98</v>
      </c>
      <c r="N1254" s="26" t="s">
        <v>18</v>
      </c>
      <c r="Q1254" s="42" t="s">
        <v>1684</v>
      </c>
      <c r="R1254" s="42" t="s">
        <v>71</v>
      </c>
      <c r="S1254" s="57">
        <f t="shared" si="127"/>
        <v>45810</v>
      </c>
      <c r="T1254" s="44" t="s">
        <v>22</v>
      </c>
      <c r="U1254" s="43" t="s">
        <v>30</v>
      </c>
      <c r="V1254" s="42" t="s">
        <v>106</v>
      </c>
      <c r="W1254" s="45">
        <v>3</v>
      </c>
      <c r="X1254" s="46">
        <v>299</v>
      </c>
      <c r="Y1254" s="46">
        <v>61.02</v>
      </c>
      <c r="Z1254" s="47">
        <f t="shared" si="129"/>
        <v>835.98</v>
      </c>
      <c r="AA1254" s="48" t="s">
        <v>18</v>
      </c>
      <c r="AB1254"/>
    </row>
    <row r="1255" spans="1:28" x14ac:dyDescent="0.25">
      <c r="A1255" s="31" t="s">
        <v>1686</v>
      </c>
      <c r="B1255" s="31" t="s">
        <v>71</v>
      </c>
      <c r="C1255" s="32" t="str">
        <f t="shared" si="124"/>
        <v>Juliana Costa</v>
      </c>
      <c r="D1255" s="38" t="s">
        <v>1027</v>
      </c>
      <c r="E1255" s="33">
        <f t="shared" si="125"/>
        <v>45808</v>
      </c>
      <c r="F1255" s="32" t="s">
        <v>47</v>
      </c>
      <c r="G1255" s="32" t="str">
        <f t="shared" si="126"/>
        <v>Bruno Martins</v>
      </c>
      <c r="H1255" s="32" t="s">
        <v>30</v>
      </c>
      <c r="I1255" s="32" t="s">
        <v>31</v>
      </c>
      <c r="J1255" s="34">
        <v>3</v>
      </c>
      <c r="K1255" s="35">
        <v>2500</v>
      </c>
      <c r="L1255" s="35">
        <v>314.16000000000003</v>
      </c>
      <c r="M1255" s="36">
        <f t="shared" si="128"/>
        <v>7185.84</v>
      </c>
      <c r="N1255" s="32" t="s">
        <v>65</v>
      </c>
      <c r="Q1255" s="49" t="s">
        <v>1686</v>
      </c>
      <c r="R1255" s="49" t="s">
        <v>71</v>
      </c>
      <c r="S1255" s="58">
        <f t="shared" si="127"/>
        <v>45808</v>
      </c>
      <c r="T1255" s="51" t="s">
        <v>47</v>
      </c>
      <c r="U1255" s="50" t="s">
        <v>30</v>
      </c>
      <c r="V1255" s="52" t="s">
        <v>31</v>
      </c>
      <c r="W1255" s="53">
        <v>3</v>
      </c>
      <c r="X1255" s="54">
        <v>2500</v>
      </c>
      <c r="Y1255" s="54">
        <v>314.16000000000003</v>
      </c>
      <c r="Z1255" s="55">
        <f t="shared" si="129"/>
        <v>7185.84</v>
      </c>
      <c r="AA1255" s="56" t="s">
        <v>65</v>
      </c>
      <c r="AB1255"/>
    </row>
    <row r="1256" spans="1:28" x14ac:dyDescent="0.25">
      <c r="A1256" s="26" t="s">
        <v>1687</v>
      </c>
      <c r="B1256" s="26" t="s">
        <v>37</v>
      </c>
      <c r="C1256" s="26" t="str">
        <f t="shared" si="124"/>
        <v>Patricia Gomes</v>
      </c>
      <c r="D1256" s="37" t="s">
        <v>230</v>
      </c>
      <c r="E1256" s="27">
        <f t="shared" si="125"/>
        <v>46054</v>
      </c>
      <c r="F1256" s="26" t="s">
        <v>15</v>
      </c>
      <c r="G1256" s="26" t="str">
        <f t="shared" si="126"/>
        <v>Larissa Dias</v>
      </c>
      <c r="H1256" s="26" t="s">
        <v>52</v>
      </c>
      <c r="I1256" s="26" t="s">
        <v>53</v>
      </c>
      <c r="J1256" s="28">
        <v>3</v>
      </c>
      <c r="K1256" s="29">
        <v>149</v>
      </c>
      <c r="L1256" s="29">
        <v>19.920000000000002</v>
      </c>
      <c r="M1256" s="30">
        <f t="shared" si="128"/>
        <v>427.08</v>
      </c>
      <c r="N1256" s="26" t="s">
        <v>44</v>
      </c>
      <c r="Q1256" s="42" t="s">
        <v>1687</v>
      </c>
      <c r="R1256" s="42" t="s">
        <v>37</v>
      </c>
      <c r="S1256" s="57">
        <f t="shared" si="127"/>
        <v>46054</v>
      </c>
      <c r="T1256" s="44" t="s">
        <v>15</v>
      </c>
      <c r="U1256" s="43" t="s">
        <v>52</v>
      </c>
      <c r="V1256" s="42" t="s">
        <v>53</v>
      </c>
      <c r="W1256" s="45">
        <v>3</v>
      </c>
      <c r="X1256" s="46">
        <v>149</v>
      </c>
      <c r="Y1256" s="46">
        <v>19.920000000000002</v>
      </c>
      <c r="Z1256" s="47">
        <f t="shared" si="129"/>
        <v>427.08</v>
      </c>
      <c r="AA1256" s="48" t="s">
        <v>44</v>
      </c>
      <c r="AB1256"/>
    </row>
    <row r="1257" spans="1:28" x14ac:dyDescent="0.25">
      <c r="A1257" s="31" t="s">
        <v>1688</v>
      </c>
      <c r="B1257" s="31" t="s">
        <v>110</v>
      </c>
      <c r="C1257" s="32" t="str">
        <f t="shared" si="124"/>
        <v>Fernanda Lima</v>
      </c>
      <c r="D1257" s="38" t="s">
        <v>1018</v>
      </c>
      <c r="E1257" s="33">
        <f t="shared" si="125"/>
        <v>45836</v>
      </c>
      <c r="F1257" s="32" t="s">
        <v>22</v>
      </c>
      <c r="G1257" s="32" t="str">
        <f t="shared" si="126"/>
        <v>Amanda Costa</v>
      </c>
      <c r="H1257" s="32" t="s">
        <v>23</v>
      </c>
      <c r="I1257" s="32" t="s">
        <v>48</v>
      </c>
      <c r="J1257" s="34">
        <v>4</v>
      </c>
      <c r="K1257" s="35">
        <v>450</v>
      </c>
      <c r="L1257" s="35">
        <v>123.46</v>
      </c>
      <c r="M1257" s="36">
        <f t="shared" si="128"/>
        <v>1676.54</v>
      </c>
      <c r="N1257" s="32" t="s">
        <v>89</v>
      </c>
      <c r="Q1257" s="49" t="s">
        <v>1688</v>
      </c>
      <c r="R1257" s="49" t="s">
        <v>110</v>
      </c>
      <c r="S1257" s="58">
        <f t="shared" si="127"/>
        <v>45836</v>
      </c>
      <c r="T1257" s="51" t="s">
        <v>22</v>
      </c>
      <c r="U1257" s="50" t="s">
        <v>23</v>
      </c>
      <c r="V1257" s="52" t="s">
        <v>48</v>
      </c>
      <c r="W1257" s="53">
        <v>4</v>
      </c>
      <c r="X1257" s="54">
        <v>450</v>
      </c>
      <c r="Y1257" s="54">
        <v>123.46</v>
      </c>
      <c r="Z1257" s="55">
        <f t="shared" si="129"/>
        <v>1676.54</v>
      </c>
      <c r="AA1257" s="56" t="s">
        <v>89</v>
      </c>
      <c r="AB1257"/>
    </row>
  </sheetData>
  <autoFilter ref="A1:N1257" xr:uid="{0BE311A0-232B-4F3B-A042-F0D874D4F0C8}"/>
  <phoneticPr fontId="3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BD16-82C3-4C77-844B-68D193D9EE41}">
  <dimension ref="B2:L1258"/>
  <sheetViews>
    <sheetView topLeftCell="F1" zoomScale="110" zoomScaleNormal="110" workbookViewId="0">
      <selection activeCell="B6" sqref="B6:L40"/>
    </sheetView>
  </sheetViews>
  <sheetFormatPr defaultRowHeight="15" x14ac:dyDescent="0.25"/>
  <cols>
    <col min="2" max="2" width="10.28515625" bestFit="1" customWidth="1"/>
    <col min="3" max="3" width="16.7109375" bestFit="1" customWidth="1"/>
    <col min="4" max="4" width="10.7109375" bestFit="1" customWidth="1"/>
    <col min="5" max="5" width="13.7109375" bestFit="1" customWidth="1"/>
    <col min="6" max="6" width="16.5703125" bestFit="1" customWidth="1"/>
    <col min="7" max="7" width="22" bestFit="1" customWidth="1"/>
    <col min="8" max="8" width="11.42578125" bestFit="1" customWidth="1"/>
    <col min="9" max="9" width="13.42578125" bestFit="1" customWidth="1"/>
    <col min="10" max="10" width="10.7109375" bestFit="1" customWidth="1"/>
    <col min="11" max="11" width="11.7109375" style="20" bestFit="1" customWidth="1"/>
    <col min="12" max="12" width="14.28515625" bestFit="1" customWidth="1"/>
  </cols>
  <sheetData>
    <row r="2" spans="2:12" ht="16.5" x14ac:dyDescent="0.25">
      <c r="B2" s="40" t="s">
        <v>1</v>
      </c>
      <c r="C2" s="40" t="s">
        <v>2</v>
      </c>
      <c r="D2" s="40" t="s">
        <v>3</v>
      </c>
      <c r="E2" s="40" t="s">
        <v>4</v>
      </c>
      <c r="F2" s="40" t="s">
        <v>5</v>
      </c>
      <c r="G2" s="40" t="s">
        <v>6</v>
      </c>
      <c r="H2" s="40" t="s">
        <v>7</v>
      </c>
      <c r="I2" s="40" t="s">
        <v>8</v>
      </c>
      <c r="J2" s="40" t="s">
        <v>9</v>
      </c>
      <c r="K2" s="76" t="s">
        <v>1692</v>
      </c>
      <c r="L2" s="40" t="s">
        <v>11</v>
      </c>
    </row>
    <row r="3" spans="2:12" x14ac:dyDescent="0.25">
      <c r="B3" s="42" t="s">
        <v>12</v>
      </c>
      <c r="C3" s="42" t="s">
        <v>13</v>
      </c>
      <c r="D3" s="57">
        <v>45918</v>
      </c>
      <c r="E3" s="44" t="s">
        <v>29</v>
      </c>
      <c r="F3" s="43" t="s">
        <v>23</v>
      </c>
      <c r="G3" s="42" t="s">
        <v>88</v>
      </c>
      <c r="H3" s="45">
        <v>2</v>
      </c>
      <c r="I3" s="46">
        <v>650</v>
      </c>
      <c r="J3" s="46">
        <v>148.37</v>
      </c>
      <c r="K3" s="46">
        <v>1151.6300000000001</v>
      </c>
      <c r="L3" s="48" t="s">
        <v>89</v>
      </c>
    </row>
    <row r="4" spans="2:12" x14ac:dyDescent="0.25">
      <c r="B4" s="49" t="s">
        <v>19</v>
      </c>
      <c r="C4" s="49" t="s">
        <v>20</v>
      </c>
      <c r="D4" s="58">
        <v>45985</v>
      </c>
      <c r="E4" s="51" t="s">
        <v>47</v>
      </c>
      <c r="F4" s="50" t="s">
        <v>16</v>
      </c>
      <c r="G4" s="52" t="s">
        <v>103</v>
      </c>
      <c r="H4" s="53">
        <v>3</v>
      </c>
      <c r="I4" s="54">
        <v>89</v>
      </c>
      <c r="J4" s="54">
        <v>0</v>
      </c>
      <c r="K4" s="54">
        <v>267</v>
      </c>
      <c r="L4" s="56" t="s">
        <v>49</v>
      </c>
    </row>
    <row r="5" spans="2:12" x14ac:dyDescent="0.25">
      <c r="B5" s="42" t="s">
        <v>26</v>
      </c>
      <c r="C5" s="42" t="s">
        <v>27</v>
      </c>
      <c r="D5" s="57">
        <v>45901</v>
      </c>
      <c r="E5" s="44" t="s">
        <v>29</v>
      </c>
      <c r="F5" s="43" t="s">
        <v>16</v>
      </c>
      <c r="G5" s="42" t="s">
        <v>103</v>
      </c>
      <c r="H5" s="45">
        <v>4</v>
      </c>
      <c r="I5" s="46">
        <v>89</v>
      </c>
      <c r="J5" s="46">
        <v>11.91</v>
      </c>
      <c r="K5" s="46">
        <v>344.09</v>
      </c>
      <c r="L5" s="48" t="s">
        <v>25</v>
      </c>
    </row>
    <row r="6" spans="2:12" x14ac:dyDescent="0.25">
      <c r="B6" s="49" t="s">
        <v>33</v>
      </c>
      <c r="C6" s="49" t="s">
        <v>34</v>
      </c>
      <c r="D6" s="58">
        <v>45809</v>
      </c>
      <c r="E6" s="51" t="s">
        <v>39</v>
      </c>
      <c r="F6" s="50" t="s">
        <v>52</v>
      </c>
      <c r="G6" s="52" t="s">
        <v>99</v>
      </c>
      <c r="H6" s="53">
        <v>3</v>
      </c>
      <c r="I6" s="54">
        <v>79</v>
      </c>
      <c r="J6" s="54">
        <v>27.37</v>
      </c>
      <c r="K6" s="54">
        <v>209.63</v>
      </c>
      <c r="L6" s="56" t="s">
        <v>32</v>
      </c>
    </row>
    <row r="7" spans="2:12" x14ac:dyDescent="0.25">
      <c r="B7" s="42" t="s">
        <v>36</v>
      </c>
      <c r="C7" s="42" t="s">
        <v>37</v>
      </c>
      <c r="D7" s="57">
        <v>45662</v>
      </c>
      <c r="E7" s="44" t="s">
        <v>22</v>
      </c>
      <c r="F7" s="43" t="s">
        <v>30</v>
      </c>
      <c r="G7" s="42" t="s">
        <v>106</v>
      </c>
      <c r="H7" s="45">
        <v>2</v>
      </c>
      <c r="I7" s="46">
        <v>299</v>
      </c>
      <c r="J7" s="46">
        <v>4.37</v>
      </c>
      <c r="K7" s="46">
        <v>593.63</v>
      </c>
      <c r="L7" s="48" t="s">
        <v>32</v>
      </c>
    </row>
    <row r="8" spans="2:12" x14ac:dyDescent="0.25">
      <c r="B8" s="49" t="s">
        <v>40</v>
      </c>
      <c r="C8" s="49" t="s">
        <v>41</v>
      </c>
      <c r="D8" s="58">
        <v>46004</v>
      </c>
      <c r="E8" s="51" t="s">
        <v>47</v>
      </c>
      <c r="F8" s="50" t="s">
        <v>23</v>
      </c>
      <c r="G8" s="52" t="s">
        <v>48</v>
      </c>
      <c r="H8" s="53">
        <v>3</v>
      </c>
      <c r="I8" s="54">
        <v>450</v>
      </c>
      <c r="J8" s="54">
        <v>82.14</v>
      </c>
      <c r="K8" s="54">
        <v>1267.8599999999999</v>
      </c>
      <c r="L8" s="56" t="s">
        <v>18</v>
      </c>
    </row>
    <row r="9" spans="2:12" x14ac:dyDescent="0.25">
      <c r="B9" s="42" t="s">
        <v>45</v>
      </c>
      <c r="C9" s="42" t="s">
        <v>20</v>
      </c>
      <c r="D9" s="57">
        <v>45723</v>
      </c>
      <c r="E9" s="44" t="s">
        <v>22</v>
      </c>
      <c r="F9" s="43" t="s">
        <v>16</v>
      </c>
      <c r="G9" s="42" t="s">
        <v>116</v>
      </c>
      <c r="H9" s="45">
        <v>5</v>
      </c>
      <c r="I9" s="46">
        <v>45</v>
      </c>
      <c r="J9" s="46">
        <v>18.760000000000002</v>
      </c>
      <c r="K9" s="46">
        <v>206.24</v>
      </c>
      <c r="L9" s="48" t="s">
        <v>18</v>
      </c>
    </row>
    <row r="10" spans="2:12" x14ac:dyDescent="0.25">
      <c r="B10" s="49" t="s">
        <v>50</v>
      </c>
      <c r="C10" s="49" t="s">
        <v>20</v>
      </c>
      <c r="D10" s="58">
        <v>45659</v>
      </c>
      <c r="E10" s="51" t="s">
        <v>22</v>
      </c>
      <c r="F10" s="50" t="s">
        <v>16</v>
      </c>
      <c r="G10" s="52" t="s">
        <v>116</v>
      </c>
      <c r="H10" s="53">
        <v>4</v>
      </c>
      <c r="I10" s="54">
        <v>45</v>
      </c>
      <c r="J10" s="54">
        <v>19.84</v>
      </c>
      <c r="K10" s="54">
        <v>160.16</v>
      </c>
      <c r="L10" s="56" t="s">
        <v>25</v>
      </c>
    </row>
    <row r="11" spans="2:12" x14ac:dyDescent="0.25">
      <c r="B11" s="42" t="s">
        <v>54</v>
      </c>
      <c r="C11" s="42" t="s">
        <v>55</v>
      </c>
      <c r="D11" s="57">
        <v>45965</v>
      </c>
      <c r="E11" s="44" t="s">
        <v>47</v>
      </c>
      <c r="F11" s="43" t="s">
        <v>16</v>
      </c>
      <c r="G11" s="42" t="s">
        <v>116</v>
      </c>
      <c r="H11" s="45">
        <v>2</v>
      </c>
      <c r="I11" s="46">
        <v>45</v>
      </c>
      <c r="J11" s="46">
        <v>0</v>
      </c>
      <c r="K11" s="46">
        <v>90</v>
      </c>
      <c r="L11" s="48" t="s">
        <v>49</v>
      </c>
    </row>
    <row r="12" spans="2:12" x14ac:dyDescent="0.25">
      <c r="B12" s="49" t="s">
        <v>57</v>
      </c>
      <c r="C12" s="49" t="s">
        <v>27</v>
      </c>
      <c r="D12" s="58">
        <v>45920</v>
      </c>
      <c r="E12" s="51" t="s">
        <v>39</v>
      </c>
      <c r="F12" s="50" t="s">
        <v>52</v>
      </c>
      <c r="G12" s="52" t="s">
        <v>61</v>
      </c>
      <c r="H12" s="53">
        <v>1</v>
      </c>
      <c r="I12" s="54">
        <v>199</v>
      </c>
      <c r="J12" s="54">
        <v>29.32</v>
      </c>
      <c r="K12" s="54">
        <v>169.68</v>
      </c>
      <c r="L12" s="56" t="s">
        <v>69</v>
      </c>
    </row>
    <row r="13" spans="2:12" x14ac:dyDescent="0.25">
      <c r="B13" s="42" t="s">
        <v>59</v>
      </c>
      <c r="C13" s="42" t="s">
        <v>34</v>
      </c>
      <c r="D13" s="57">
        <v>45763</v>
      </c>
      <c r="E13" s="44" t="s">
        <v>22</v>
      </c>
      <c r="F13" s="43" t="s">
        <v>30</v>
      </c>
      <c r="G13" s="42" t="s">
        <v>68</v>
      </c>
      <c r="H13" s="45">
        <v>2</v>
      </c>
      <c r="I13" s="46">
        <v>799</v>
      </c>
      <c r="J13" s="46">
        <v>0</v>
      </c>
      <c r="K13" s="46">
        <v>1598</v>
      </c>
      <c r="L13" s="48" t="s">
        <v>18</v>
      </c>
    </row>
    <row r="14" spans="2:12" x14ac:dyDescent="0.25">
      <c r="B14" s="49" t="s">
        <v>62</v>
      </c>
      <c r="C14" s="49" t="s">
        <v>63</v>
      </c>
      <c r="D14" s="58">
        <v>45847</v>
      </c>
      <c r="E14" s="51" t="s">
        <v>29</v>
      </c>
      <c r="F14" s="50" t="s">
        <v>30</v>
      </c>
      <c r="G14" s="52" t="s">
        <v>31</v>
      </c>
      <c r="H14" s="53">
        <v>5</v>
      </c>
      <c r="I14" s="54">
        <v>2500</v>
      </c>
      <c r="J14" s="54">
        <v>1389.98</v>
      </c>
      <c r="K14" s="54">
        <v>11110.02</v>
      </c>
      <c r="L14" s="56" t="s">
        <v>69</v>
      </c>
    </row>
    <row r="15" spans="2:12" x14ac:dyDescent="0.25">
      <c r="B15" s="42" t="s">
        <v>66</v>
      </c>
      <c r="C15" s="42" t="s">
        <v>37</v>
      </c>
      <c r="D15" s="57">
        <v>45905</v>
      </c>
      <c r="E15" s="44" t="s">
        <v>22</v>
      </c>
      <c r="F15" s="43" t="s">
        <v>52</v>
      </c>
      <c r="G15" s="42" t="s">
        <v>61</v>
      </c>
      <c r="H15" s="45">
        <v>1</v>
      </c>
      <c r="I15" s="46">
        <v>199</v>
      </c>
      <c r="J15" s="46">
        <v>28.01</v>
      </c>
      <c r="K15" s="46">
        <v>170.99</v>
      </c>
      <c r="L15" s="48" t="s">
        <v>49</v>
      </c>
    </row>
    <row r="16" spans="2:12" x14ac:dyDescent="0.25">
      <c r="B16" s="49" t="s">
        <v>70</v>
      </c>
      <c r="C16" s="49" t="s">
        <v>71</v>
      </c>
      <c r="D16" s="58">
        <v>45765</v>
      </c>
      <c r="E16" s="51" t="s">
        <v>29</v>
      </c>
      <c r="F16" s="50" t="s">
        <v>30</v>
      </c>
      <c r="G16" s="52" t="s">
        <v>31</v>
      </c>
      <c r="H16" s="53">
        <v>2</v>
      </c>
      <c r="I16" s="54">
        <v>2500</v>
      </c>
      <c r="J16" s="54">
        <v>0</v>
      </c>
      <c r="K16" s="54">
        <v>5000</v>
      </c>
      <c r="L16" s="56" t="s">
        <v>44</v>
      </c>
    </row>
    <row r="17" spans="2:12" x14ac:dyDescent="0.25">
      <c r="B17" s="42" t="s">
        <v>73</v>
      </c>
      <c r="C17" s="42" t="s">
        <v>63</v>
      </c>
      <c r="D17" s="57">
        <v>45942</v>
      </c>
      <c r="E17" s="44" t="s">
        <v>22</v>
      </c>
      <c r="F17" s="43" t="s">
        <v>16</v>
      </c>
      <c r="G17" s="42" t="s">
        <v>17</v>
      </c>
      <c r="H17" s="45">
        <v>4</v>
      </c>
      <c r="I17" s="46">
        <v>39</v>
      </c>
      <c r="J17" s="46">
        <v>4.12</v>
      </c>
      <c r="K17" s="46">
        <v>151.88</v>
      </c>
      <c r="L17" s="48" t="s">
        <v>25</v>
      </c>
    </row>
    <row r="18" spans="2:12" x14ac:dyDescent="0.25">
      <c r="B18" s="49" t="s">
        <v>76</v>
      </c>
      <c r="C18" s="49" t="s">
        <v>63</v>
      </c>
      <c r="D18" s="58">
        <v>45708</v>
      </c>
      <c r="E18" s="51" t="s">
        <v>22</v>
      </c>
      <c r="F18" s="50" t="s">
        <v>52</v>
      </c>
      <c r="G18" s="52" t="s">
        <v>61</v>
      </c>
      <c r="H18" s="53">
        <v>1</v>
      </c>
      <c r="I18" s="54">
        <v>199</v>
      </c>
      <c r="J18" s="54">
        <v>3.28</v>
      </c>
      <c r="K18" s="54">
        <v>195.72</v>
      </c>
      <c r="L18" s="56" t="s">
        <v>25</v>
      </c>
    </row>
    <row r="19" spans="2:12" x14ac:dyDescent="0.25">
      <c r="B19" s="42" t="s">
        <v>79</v>
      </c>
      <c r="C19" s="42" t="s">
        <v>13</v>
      </c>
      <c r="D19" s="57">
        <v>45813</v>
      </c>
      <c r="E19" s="44" t="s">
        <v>47</v>
      </c>
      <c r="F19" s="43" t="s">
        <v>16</v>
      </c>
      <c r="G19" s="42" t="s">
        <v>17</v>
      </c>
      <c r="H19" s="45">
        <v>3</v>
      </c>
      <c r="I19" s="46">
        <v>39</v>
      </c>
      <c r="J19" s="46">
        <v>0</v>
      </c>
      <c r="K19" s="46">
        <v>117</v>
      </c>
      <c r="L19" s="48" t="s">
        <v>25</v>
      </c>
    </row>
    <row r="20" spans="2:12" x14ac:dyDescent="0.25">
      <c r="B20" s="49" t="s">
        <v>81</v>
      </c>
      <c r="C20" s="49" t="s">
        <v>13</v>
      </c>
      <c r="D20" s="58">
        <v>45920</v>
      </c>
      <c r="E20" s="51" t="s">
        <v>47</v>
      </c>
      <c r="F20" s="50" t="s">
        <v>23</v>
      </c>
      <c r="G20" s="52" t="s">
        <v>48</v>
      </c>
      <c r="H20" s="53">
        <v>1</v>
      </c>
      <c r="I20" s="54">
        <v>450</v>
      </c>
      <c r="J20" s="54">
        <v>0</v>
      </c>
      <c r="K20" s="54">
        <v>450</v>
      </c>
      <c r="L20" s="56" t="s">
        <v>25</v>
      </c>
    </row>
    <row r="21" spans="2:12" x14ac:dyDescent="0.25">
      <c r="B21" s="42" t="s">
        <v>82</v>
      </c>
      <c r="C21" s="42" t="s">
        <v>13</v>
      </c>
      <c r="D21" s="57">
        <v>45748</v>
      </c>
      <c r="E21" s="44" t="s">
        <v>47</v>
      </c>
      <c r="F21" s="43" t="s">
        <v>52</v>
      </c>
      <c r="G21" s="42" t="s">
        <v>75</v>
      </c>
      <c r="H21" s="45">
        <v>3</v>
      </c>
      <c r="I21" s="46">
        <v>249</v>
      </c>
      <c r="J21" s="46">
        <v>0</v>
      </c>
      <c r="K21" s="46">
        <v>747</v>
      </c>
      <c r="L21" s="48" t="s">
        <v>44</v>
      </c>
    </row>
    <row r="22" spans="2:12" x14ac:dyDescent="0.25">
      <c r="B22" s="49" t="s">
        <v>84</v>
      </c>
      <c r="C22" s="49" t="s">
        <v>71</v>
      </c>
      <c r="D22" s="58">
        <v>45715</v>
      </c>
      <c r="E22" s="51" t="s">
        <v>39</v>
      </c>
      <c r="F22" s="50" t="s">
        <v>16</v>
      </c>
      <c r="G22" s="52" t="s">
        <v>17</v>
      </c>
      <c r="H22" s="53">
        <v>5</v>
      </c>
      <c r="I22" s="54">
        <v>39</v>
      </c>
      <c r="J22" s="54">
        <v>0</v>
      </c>
      <c r="K22" s="54">
        <v>195</v>
      </c>
      <c r="L22" s="56" t="s">
        <v>32</v>
      </c>
    </row>
    <row r="23" spans="2:12" x14ac:dyDescent="0.25">
      <c r="B23" s="42" t="s">
        <v>86</v>
      </c>
      <c r="C23" s="42" t="s">
        <v>55</v>
      </c>
      <c r="D23" s="57">
        <v>45996</v>
      </c>
      <c r="E23" s="44" t="s">
        <v>29</v>
      </c>
      <c r="F23" s="43" t="s">
        <v>52</v>
      </c>
      <c r="G23" s="42" t="s">
        <v>53</v>
      </c>
      <c r="H23" s="45">
        <v>3</v>
      </c>
      <c r="I23" s="46">
        <v>149</v>
      </c>
      <c r="J23" s="46">
        <v>29.57</v>
      </c>
      <c r="K23" s="46">
        <v>417.43</v>
      </c>
      <c r="L23" s="48" t="s">
        <v>44</v>
      </c>
    </row>
    <row r="24" spans="2:12" x14ac:dyDescent="0.25">
      <c r="B24" s="49" t="s">
        <v>90</v>
      </c>
      <c r="C24" s="49" t="s">
        <v>13</v>
      </c>
      <c r="D24" s="58">
        <v>45860</v>
      </c>
      <c r="E24" s="51" t="s">
        <v>47</v>
      </c>
      <c r="F24" s="50" t="s">
        <v>52</v>
      </c>
      <c r="G24" s="52" t="s">
        <v>99</v>
      </c>
      <c r="H24" s="53">
        <v>2</v>
      </c>
      <c r="I24" s="54">
        <v>79</v>
      </c>
      <c r="J24" s="54">
        <v>0</v>
      </c>
      <c r="K24" s="54">
        <v>158</v>
      </c>
      <c r="L24" s="56" t="s">
        <v>25</v>
      </c>
    </row>
    <row r="25" spans="2:12" x14ac:dyDescent="0.25">
      <c r="B25" s="42" t="s">
        <v>92</v>
      </c>
      <c r="C25" s="42" t="s">
        <v>27</v>
      </c>
      <c r="D25" s="57">
        <v>46023</v>
      </c>
      <c r="E25" s="44" t="s">
        <v>22</v>
      </c>
      <c r="F25" s="43" t="s">
        <v>30</v>
      </c>
      <c r="G25" s="42" t="s">
        <v>152</v>
      </c>
      <c r="H25" s="45">
        <v>3</v>
      </c>
      <c r="I25" s="46">
        <v>4500</v>
      </c>
      <c r="J25" s="46">
        <v>647.85</v>
      </c>
      <c r="K25" s="46">
        <v>12852.15</v>
      </c>
      <c r="L25" s="48" t="s">
        <v>65</v>
      </c>
    </row>
    <row r="26" spans="2:12" x14ac:dyDescent="0.25">
      <c r="B26" s="49" t="s">
        <v>94</v>
      </c>
      <c r="C26" s="49" t="s">
        <v>95</v>
      </c>
      <c r="D26" s="58">
        <v>45879</v>
      </c>
      <c r="E26" s="51" t="s">
        <v>15</v>
      </c>
      <c r="F26" s="50" t="s">
        <v>30</v>
      </c>
      <c r="G26" s="52" t="s">
        <v>152</v>
      </c>
      <c r="H26" s="53">
        <v>2</v>
      </c>
      <c r="I26" s="54">
        <v>4500</v>
      </c>
      <c r="J26" s="54">
        <v>0</v>
      </c>
      <c r="K26" s="54">
        <v>9000</v>
      </c>
      <c r="L26" s="56" t="s">
        <v>25</v>
      </c>
    </row>
    <row r="27" spans="2:12" x14ac:dyDescent="0.25">
      <c r="B27" s="42" t="s">
        <v>97</v>
      </c>
      <c r="C27" s="42" t="s">
        <v>41</v>
      </c>
      <c r="D27" s="57">
        <v>45666</v>
      </c>
      <c r="E27" s="44" t="s">
        <v>15</v>
      </c>
      <c r="F27" s="43" t="s">
        <v>52</v>
      </c>
      <c r="G27" s="42" t="s">
        <v>75</v>
      </c>
      <c r="H27" s="45">
        <v>1</v>
      </c>
      <c r="I27" s="46">
        <v>249</v>
      </c>
      <c r="J27" s="46">
        <v>3.99</v>
      </c>
      <c r="K27" s="46">
        <v>245.01</v>
      </c>
      <c r="L27" s="48" t="s">
        <v>69</v>
      </c>
    </row>
    <row r="28" spans="2:12" x14ac:dyDescent="0.25">
      <c r="B28" s="49" t="s">
        <v>100</v>
      </c>
      <c r="C28" s="49" t="s">
        <v>101</v>
      </c>
      <c r="D28" s="58">
        <v>46055</v>
      </c>
      <c r="E28" s="51" t="s">
        <v>39</v>
      </c>
      <c r="F28" s="50" t="s">
        <v>23</v>
      </c>
      <c r="G28" s="52" t="s">
        <v>88</v>
      </c>
      <c r="H28" s="53">
        <v>2</v>
      </c>
      <c r="I28" s="54">
        <v>650</v>
      </c>
      <c r="J28" s="54">
        <v>158.76</v>
      </c>
      <c r="K28" s="54">
        <v>1141.24</v>
      </c>
      <c r="L28" s="56" t="s">
        <v>18</v>
      </c>
    </row>
    <row r="29" spans="2:12" x14ac:dyDescent="0.25">
      <c r="B29" s="42" t="s">
        <v>104</v>
      </c>
      <c r="C29" s="42" t="s">
        <v>41</v>
      </c>
      <c r="D29" s="57">
        <v>45902</v>
      </c>
      <c r="E29" s="44" t="s">
        <v>22</v>
      </c>
      <c r="F29" s="43" t="s">
        <v>23</v>
      </c>
      <c r="G29" s="42" t="s">
        <v>48</v>
      </c>
      <c r="H29" s="45">
        <v>3</v>
      </c>
      <c r="I29" s="46">
        <v>450</v>
      </c>
      <c r="J29" s="46">
        <v>0</v>
      </c>
      <c r="K29" s="46">
        <v>1350</v>
      </c>
      <c r="L29" s="48" t="s">
        <v>65</v>
      </c>
    </row>
    <row r="30" spans="2:12" x14ac:dyDescent="0.25">
      <c r="B30" s="49" t="s">
        <v>107</v>
      </c>
      <c r="C30" s="49" t="s">
        <v>27</v>
      </c>
      <c r="D30" s="58">
        <v>46003</v>
      </c>
      <c r="E30" s="51" t="s">
        <v>29</v>
      </c>
      <c r="F30" s="50" t="s">
        <v>23</v>
      </c>
      <c r="G30" s="52" t="s">
        <v>24</v>
      </c>
      <c r="H30" s="53">
        <v>4</v>
      </c>
      <c r="I30" s="54">
        <v>180</v>
      </c>
      <c r="J30" s="54">
        <v>0</v>
      </c>
      <c r="K30" s="54">
        <v>720</v>
      </c>
      <c r="L30" s="56" t="s">
        <v>25</v>
      </c>
    </row>
    <row r="31" spans="2:12" x14ac:dyDescent="0.25">
      <c r="B31" s="42" t="s">
        <v>109</v>
      </c>
      <c r="C31" s="42" t="s">
        <v>110</v>
      </c>
      <c r="D31" s="57">
        <v>45976</v>
      </c>
      <c r="E31" s="44" t="s">
        <v>47</v>
      </c>
      <c r="F31" s="43" t="s">
        <v>30</v>
      </c>
      <c r="G31" s="42" t="s">
        <v>152</v>
      </c>
      <c r="H31" s="45">
        <v>3</v>
      </c>
      <c r="I31" s="46">
        <v>4500</v>
      </c>
      <c r="J31" s="46">
        <v>0</v>
      </c>
      <c r="K31" s="46">
        <v>13500</v>
      </c>
      <c r="L31" s="48" t="s">
        <v>32</v>
      </c>
    </row>
    <row r="32" spans="2:12" x14ac:dyDescent="0.25">
      <c r="B32" s="49" t="s">
        <v>112</v>
      </c>
      <c r="C32" s="49" t="s">
        <v>41</v>
      </c>
      <c r="D32" s="58">
        <v>45814</v>
      </c>
      <c r="E32" s="51" t="s">
        <v>15</v>
      </c>
      <c r="F32" s="50" t="s">
        <v>16</v>
      </c>
      <c r="G32" s="52" t="s">
        <v>116</v>
      </c>
      <c r="H32" s="53">
        <v>1</v>
      </c>
      <c r="I32" s="54">
        <v>45</v>
      </c>
      <c r="J32" s="54">
        <v>0</v>
      </c>
      <c r="K32" s="54">
        <v>45</v>
      </c>
      <c r="L32" s="56" t="s">
        <v>18</v>
      </c>
    </row>
    <row r="33" spans="2:12" x14ac:dyDescent="0.25">
      <c r="B33" s="42" t="s">
        <v>114</v>
      </c>
      <c r="C33" s="42" t="s">
        <v>27</v>
      </c>
      <c r="D33" s="57">
        <v>45727</v>
      </c>
      <c r="E33" s="44" t="s">
        <v>29</v>
      </c>
      <c r="F33" s="43" t="s">
        <v>52</v>
      </c>
      <c r="G33" s="42" t="s">
        <v>61</v>
      </c>
      <c r="H33" s="45">
        <v>5</v>
      </c>
      <c r="I33" s="46">
        <v>199</v>
      </c>
      <c r="J33" s="46">
        <v>0</v>
      </c>
      <c r="K33" s="46">
        <v>995</v>
      </c>
      <c r="L33" s="48" t="s">
        <v>25</v>
      </c>
    </row>
    <row r="34" spans="2:12" x14ac:dyDescent="0.25">
      <c r="B34" s="49" t="s">
        <v>117</v>
      </c>
      <c r="C34" s="49" t="s">
        <v>20</v>
      </c>
      <c r="D34" s="58">
        <v>45736</v>
      </c>
      <c r="E34" s="51" t="s">
        <v>15</v>
      </c>
      <c r="F34" s="50" t="s">
        <v>30</v>
      </c>
      <c r="G34" s="52" t="s">
        <v>31</v>
      </c>
      <c r="H34" s="53">
        <v>2</v>
      </c>
      <c r="I34" s="54">
        <v>2500</v>
      </c>
      <c r="J34" s="54">
        <v>288.57</v>
      </c>
      <c r="K34" s="54">
        <v>4711.43</v>
      </c>
      <c r="L34" s="56" t="s">
        <v>69</v>
      </c>
    </row>
    <row r="35" spans="2:12" x14ac:dyDescent="0.25">
      <c r="B35" s="42" t="s">
        <v>119</v>
      </c>
      <c r="C35" s="42" t="s">
        <v>27</v>
      </c>
      <c r="D35" s="57">
        <v>45730</v>
      </c>
      <c r="E35" s="44" t="s">
        <v>39</v>
      </c>
      <c r="F35" s="43" t="s">
        <v>52</v>
      </c>
      <c r="G35" s="42" t="s">
        <v>53</v>
      </c>
      <c r="H35" s="45">
        <v>4</v>
      </c>
      <c r="I35" s="46">
        <v>149</v>
      </c>
      <c r="J35" s="46">
        <v>0.74</v>
      </c>
      <c r="K35" s="46">
        <v>595.26</v>
      </c>
      <c r="L35" s="48" t="s">
        <v>44</v>
      </c>
    </row>
    <row r="36" spans="2:12" x14ac:dyDescent="0.25">
      <c r="B36" s="49" t="s">
        <v>121</v>
      </c>
      <c r="C36" s="49" t="s">
        <v>110</v>
      </c>
      <c r="D36" s="58">
        <v>45817</v>
      </c>
      <c r="E36" s="51" t="s">
        <v>15</v>
      </c>
      <c r="F36" s="50" t="s">
        <v>30</v>
      </c>
      <c r="G36" s="52" t="s">
        <v>152</v>
      </c>
      <c r="H36" s="53">
        <v>1</v>
      </c>
      <c r="I36" s="54">
        <v>4500</v>
      </c>
      <c r="J36" s="54">
        <v>0</v>
      </c>
      <c r="K36" s="54">
        <v>4500</v>
      </c>
      <c r="L36" s="56" t="s">
        <v>25</v>
      </c>
    </row>
    <row r="37" spans="2:12" x14ac:dyDescent="0.25">
      <c r="B37" s="42" t="s">
        <v>123</v>
      </c>
      <c r="C37" s="42" t="s">
        <v>55</v>
      </c>
      <c r="D37" s="57">
        <v>45888</v>
      </c>
      <c r="E37" s="44" t="s">
        <v>15</v>
      </c>
      <c r="F37" s="43" t="s">
        <v>23</v>
      </c>
      <c r="G37" s="42" t="s">
        <v>48</v>
      </c>
      <c r="H37" s="45">
        <v>1</v>
      </c>
      <c r="I37" s="46">
        <v>450</v>
      </c>
      <c r="J37" s="46">
        <v>0</v>
      </c>
      <c r="K37" s="46">
        <v>450</v>
      </c>
      <c r="L37" s="48" t="s">
        <v>32</v>
      </c>
    </row>
    <row r="38" spans="2:12" x14ac:dyDescent="0.25">
      <c r="B38" s="49" t="s">
        <v>125</v>
      </c>
      <c r="C38" s="49" t="s">
        <v>101</v>
      </c>
      <c r="D38" s="58">
        <v>45861</v>
      </c>
      <c r="E38" s="51" t="s">
        <v>22</v>
      </c>
      <c r="F38" s="50" t="s">
        <v>16</v>
      </c>
      <c r="G38" s="52" t="s">
        <v>17</v>
      </c>
      <c r="H38" s="53">
        <v>4</v>
      </c>
      <c r="I38" s="54">
        <v>39</v>
      </c>
      <c r="J38" s="54">
        <v>0</v>
      </c>
      <c r="K38" s="54">
        <v>156</v>
      </c>
      <c r="L38" s="56" t="s">
        <v>18</v>
      </c>
    </row>
    <row r="39" spans="2:12" x14ac:dyDescent="0.25">
      <c r="B39" s="42" t="s">
        <v>127</v>
      </c>
      <c r="C39" s="42" t="s">
        <v>37</v>
      </c>
      <c r="D39" s="57">
        <v>45826</v>
      </c>
      <c r="E39" s="44" t="s">
        <v>39</v>
      </c>
      <c r="F39" s="43" t="s">
        <v>30</v>
      </c>
      <c r="G39" s="42" t="s">
        <v>106</v>
      </c>
      <c r="H39" s="45">
        <v>3</v>
      </c>
      <c r="I39" s="46">
        <v>299</v>
      </c>
      <c r="J39" s="46">
        <v>99.19</v>
      </c>
      <c r="K39" s="46">
        <v>797.81</v>
      </c>
      <c r="L39" s="48" t="s">
        <v>89</v>
      </c>
    </row>
    <row r="40" spans="2:12" x14ac:dyDescent="0.25">
      <c r="B40" s="49" t="s">
        <v>129</v>
      </c>
      <c r="C40" s="49" t="s">
        <v>101</v>
      </c>
      <c r="D40" s="58">
        <v>45887</v>
      </c>
      <c r="E40" s="51" t="s">
        <v>47</v>
      </c>
      <c r="F40" s="50" t="s">
        <v>16</v>
      </c>
      <c r="G40" s="52" t="s">
        <v>78</v>
      </c>
      <c r="H40" s="53">
        <v>2</v>
      </c>
      <c r="I40" s="54">
        <v>59</v>
      </c>
      <c r="J40" s="54">
        <v>4.63</v>
      </c>
      <c r="K40" s="54">
        <v>113.37</v>
      </c>
      <c r="L40" s="56" t="s">
        <v>18</v>
      </c>
    </row>
    <row r="41" spans="2:12" x14ac:dyDescent="0.25">
      <c r="B41" s="42" t="s">
        <v>131</v>
      </c>
      <c r="C41" s="42" t="s">
        <v>37</v>
      </c>
      <c r="D41" s="57">
        <v>45747</v>
      </c>
      <c r="E41" s="44" t="s">
        <v>22</v>
      </c>
      <c r="F41" s="43" t="s">
        <v>30</v>
      </c>
      <c r="G41" s="42" t="s">
        <v>152</v>
      </c>
      <c r="H41" s="45">
        <v>2</v>
      </c>
      <c r="I41" s="46">
        <v>4500</v>
      </c>
      <c r="J41" s="46">
        <v>512.13</v>
      </c>
      <c r="K41" s="46">
        <v>8487.8700000000008</v>
      </c>
      <c r="L41" s="48" t="s">
        <v>25</v>
      </c>
    </row>
    <row r="42" spans="2:12" x14ac:dyDescent="0.25">
      <c r="B42" s="49" t="s">
        <v>133</v>
      </c>
      <c r="C42" s="49" t="s">
        <v>101</v>
      </c>
      <c r="D42" s="58">
        <v>45901</v>
      </c>
      <c r="E42" s="51" t="s">
        <v>22</v>
      </c>
      <c r="F42" s="50" t="s">
        <v>52</v>
      </c>
      <c r="G42" s="52" t="s">
        <v>61</v>
      </c>
      <c r="H42" s="53">
        <v>4</v>
      </c>
      <c r="I42" s="54">
        <v>199</v>
      </c>
      <c r="J42" s="54">
        <v>0</v>
      </c>
      <c r="K42" s="54">
        <v>796</v>
      </c>
      <c r="L42" s="56" t="s">
        <v>44</v>
      </c>
    </row>
    <row r="43" spans="2:12" x14ac:dyDescent="0.25">
      <c r="B43" s="42" t="s">
        <v>135</v>
      </c>
      <c r="C43" s="42" t="s">
        <v>37</v>
      </c>
      <c r="D43" s="57">
        <v>45695</v>
      </c>
      <c r="E43" s="44" t="s">
        <v>29</v>
      </c>
      <c r="F43" s="43" t="s">
        <v>23</v>
      </c>
      <c r="G43" s="42" t="s">
        <v>43</v>
      </c>
      <c r="H43" s="45">
        <v>5</v>
      </c>
      <c r="I43" s="46">
        <v>350</v>
      </c>
      <c r="J43" s="46">
        <v>0.28999999999999998</v>
      </c>
      <c r="K43" s="46">
        <v>1749.71</v>
      </c>
      <c r="L43" s="48" t="s">
        <v>25</v>
      </c>
    </row>
    <row r="44" spans="2:12" x14ac:dyDescent="0.25">
      <c r="B44" s="49" t="s">
        <v>137</v>
      </c>
      <c r="C44" s="49" t="s">
        <v>101</v>
      </c>
      <c r="D44" s="58">
        <v>46055</v>
      </c>
      <c r="E44" s="51" t="s">
        <v>15</v>
      </c>
      <c r="F44" s="50" t="s">
        <v>52</v>
      </c>
      <c r="G44" s="52" t="s">
        <v>53</v>
      </c>
      <c r="H44" s="53">
        <v>2</v>
      </c>
      <c r="I44" s="54">
        <v>149</v>
      </c>
      <c r="J44" s="54">
        <v>21.54</v>
      </c>
      <c r="K44" s="54">
        <v>276.45999999999998</v>
      </c>
      <c r="L44" s="56" t="s">
        <v>49</v>
      </c>
    </row>
    <row r="45" spans="2:12" x14ac:dyDescent="0.25">
      <c r="B45" s="42" t="s">
        <v>138</v>
      </c>
      <c r="C45" s="42" t="s">
        <v>34</v>
      </c>
      <c r="D45" s="57">
        <v>45765</v>
      </c>
      <c r="E45" s="44" t="s">
        <v>47</v>
      </c>
      <c r="F45" s="43" t="s">
        <v>23</v>
      </c>
      <c r="G45" s="42" t="s">
        <v>88</v>
      </c>
      <c r="H45" s="45">
        <v>1</v>
      </c>
      <c r="I45" s="46">
        <v>650</v>
      </c>
      <c r="J45" s="46">
        <v>0</v>
      </c>
      <c r="K45" s="46">
        <v>650</v>
      </c>
      <c r="L45" s="48" t="s">
        <v>32</v>
      </c>
    </row>
    <row r="46" spans="2:12" x14ac:dyDescent="0.25">
      <c r="B46" s="49" t="s">
        <v>139</v>
      </c>
      <c r="C46" s="49" t="s">
        <v>55</v>
      </c>
      <c r="D46" s="58">
        <v>45852</v>
      </c>
      <c r="E46" s="51" t="s">
        <v>15</v>
      </c>
      <c r="F46" s="50" t="s">
        <v>23</v>
      </c>
      <c r="G46" s="52" t="s">
        <v>88</v>
      </c>
      <c r="H46" s="53">
        <v>5</v>
      </c>
      <c r="I46" s="54">
        <v>650</v>
      </c>
      <c r="J46" s="54">
        <v>0</v>
      </c>
      <c r="K46" s="54">
        <v>3250</v>
      </c>
      <c r="L46" s="56" t="s">
        <v>18</v>
      </c>
    </row>
    <row r="47" spans="2:12" x14ac:dyDescent="0.25">
      <c r="B47" s="42" t="s">
        <v>141</v>
      </c>
      <c r="C47" s="42" t="s">
        <v>71</v>
      </c>
      <c r="D47" s="57">
        <v>45796</v>
      </c>
      <c r="E47" s="44" t="s">
        <v>15</v>
      </c>
      <c r="F47" s="43" t="s">
        <v>30</v>
      </c>
      <c r="G47" s="42" t="s">
        <v>152</v>
      </c>
      <c r="H47" s="45">
        <v>5</v>
      </c>
      <c r="I47" s="46">
        <v>4500</v>
      </c>
      <c r="J47" s="46">
        <v>0</v>
      </c>
      <c r="K47" s="46">
        <v>22500</v>
      </c>
      <c r="L47" s="48" t="s">
        <v>69</v>
      </c>
    </row>
    <row r="48" spans="2:12" x14ac:dyDescent="0.25">
      <c r="B48" s="49" t="s">
        <v>143</v>
      </c>
      <c r="C48" s="49" t="s">
        <v>55</v>
      </c>
      <c r="D48" s="58">
        <v>45923</v>
      </c>
      <c r="E48" s="51" t="s">
        <v>39</v>
      </c>
      <c r="F48" s="50" t="s">
        <v>30</v>
      </c>
      <c r="G48" s="52" t="s">
        <v>68</v>
      </c>
      <c r="H48" s="53">
        <v>4</v>
      </c>
      <c r="I48" s="54">
        <v>799</v>
      </c>
      <c r="J48" s="54">
        <v>0</v>
      </c>
      <c r="K48" s="54">
        <v>3196</v>
      </c>
      <c r="L48" s="56" t="s">
        <v>69</v>
      </c>
    </row>
    <row r="49" spans="2:12" x14ac:dyDescent="0.25">
      <c r="B49" s="42" t="s">
        <v>145</v>
      </c>
      <c r="C49" s="42" t="s">
        <v>27</v>
      </c>
      <c r="D49" s="57">
        <v>45857</v>
      </c>
      <c r="E49" s="44" t="s">
        <v>22</v>
      </c>
      <c r="F49" s="43" t="s">
        <v>52</v>
      </c>
      <c r="G49" s="42" t="s">
        <v>99</v>
      </c>
      <c r="H49" s="45">
        <v>2</v>
      </c>
      <c r="I49" s="46">
        <v>79</v>
      </c>
      <c r="J49" s="46">
        <v>20.27</v>
      </c>
      <c r="K49" s="46">
        <v>137.72999999999999</v>
      </c>
      <c r="L49" s="48" t="s">
        <v>69</v>
      </c>
    </row>
    <row r="50" spans="2:12" x14ac:dyDescent="0.25">
      <c r="B50" s="49" t="s">
        <v>147</v>
      </c>
      <c r="C50" s="49" t="s">
        <v>20</v>
      </c>
      <c r="D50" s="58">
        <v>45798</v>
      </c>
      <c r="E50" s="51" t="s">
        <v>47</v>
      </c>
      <c r="F50" s="50" t="s">
        <v>16</v>
      </c>
      <c r="G50" s="52" t="s">
        <v>103</v>
      </c>
      <c r="H50" s="53">
        <v>3</v>
      </c>
      <c r="I50" s="54">
        <v>89</v>
      </c>
      <c r="J50" s="54">
        <v>0</v>
      </c>
      <c r="K50" s="54">
        <v>267</v>
      </c>
      <c r="L50" s="56" t="s">
        <v>44</v>
      </c>
    </row>
    <row r="51" spans="2:12" x14ac:dyDescent="0.25">
      <c r="B51" s="42" t="s">
        <v>150</v>
      </c>
      <c r="C51" s="42" t="s">
        <v>41</v>
      </c>
      <c r="D51" s="57">
        <v>45843</v>
      </c>
      <c r="E51" s="44" t="s">
        <v>15</v>
      </c>
      <c r="F51" s="43" t="s">
        <v>30</v>
      </c>
      <c r="G51" s="42" t="s">
        <v>152</v>
      </c>
      <c r="H51" s="45">
        <v>2</v>
      </c>
      <c r="I51" s="46">
        <v>4500</v>
      </c>
      <c r="J51" s="46">
        <v>0</v>
      </c>
      <c r="K51" s="46">
        <v>9000</v>
      </c>
      <c r="L51" s="48" t="s">
        <v>32</v>
      </c>
    </row>
    <row r="52" spans="2:12" x14ac:dyDescent="0.25">
      <c r="B52" s="49" t="s">
        <v>153</v>
      </c>
      <c r="C52" s="49" t="s">
        <v>101</v>
      </c>
      <c r="D52" s="58">
        <v>45942</v>
      </c>
      <c r="E52" s="51" t="s">
        <v>47</v>
      </c>
      <c r="F52" s="50" t="s">
        <v>23</v>
      </c>
      <c r="G52" s="52" t="s">
        <v>24</v>
      </c>
      <c r="H52" s="53">
        <v>4</v>
      </c>
      <c r="I52" s="54">
        <v>180</v>
      </c>
      <c r="J52" s="54">
        <v>0</v>
      </c>
      <c r="K52" s="54">
        <v>720</v>
      </c>
      <c r="L52" s="56" t="s">
        <v>44</v>
      </c>
    </row>
    <row r="53" spans="2:12" x14ac:dyDescent="0.25">
      <c r="B53" s="42" t="s">
        <v>154</v>
      </c>
      <c r="C53" s="42" t="s">
        <v>71</v>
      </c>
      <c r="D53" s="57">
        <v>45668</v>
      </c>
      <c r="E53" s="44" t="s">
        <v>29</v>
      </c>
      <c r="F53" s="43" t="s">
        <v>16</v>
      </c>
      <c r="G53" s="42" t="s">
        <v>103</v>
      </c>
      <c r="H53" s="45">
        <v>4</v>
      </c>
      <c r="I53" s="46">
        <v>89</v>
      </c>
      <c r="J53" s="46">
        <v>0</v>
      </c>
      <c r="K53" s="46">
        <v>356</v>
      </c>
      <c r="L53" s="48" t="s">
        <v>89</v>
      </c>
    </row>
    <row r="54" spans="2:12" x14ac:dyDescent="0.25">
      <c r="B54" s="49" t="s">
        <v>156</v>
      </c>
      <c r="C54" s="49" t="s">
        <v>63</v>
      </c>
      <c r="D54" s="58">
        <v>45862</v>
      </c>
      <c r="E54" s="51" t="s">
        <v>47</v>
      </c>
      <c r="F54" s="50" t="s">
        <v>52</v>
      </c>
      <c r="G54" s="52" t="s">
        <v>75</v>
      </c>
      <c r="H54" s="53">
        <v>2</v>
      </c>
      <c r="I54" s="54">
        <v>249</v>
      </c>
      <c r="J54" s="54">
        <v>45.76</v>
      </c>
      <c r="K54" s="54">
        <v>452.24</v>
      </c>
      <c r="L54" s="56" t="s">
        <v>44</v>
      </c>
    </row>
    <row r="55" spans="2:12" x14ac:dyDescent="0.25">
      <c r="B55" s="42" t="s">
        <v>158</v>
      </c>
      <c r="C55" s="42" t="s">
        <v>27</v>
      </c>
      <c r="D55" s="57">
        <v>45917</v>
      </c>
      <c r="E55" s="44" t="s">
        <v>15</v>
      </c>
      <c r="F55" s="43" t="s">
        <v>52</v>
      </c>
      <c r="G55" s="42" t="s">
        <v>75</v>
      </c>
      <c r="H55" s="45">
        <v>2</v>
      </c>
      <c r="I55" s="46">
        <v>249</v>
      </c>
      <c r="J55" s="46">
        <v>58</v>
      </c>
      <c r="K55" s="46">
        <v>440</v>
      </c>
      <c r="L55" s="48" t="s">
        <v>44</v>
      </c>
    </row>
    <row r="56" spans="2:12" x14ac:dyDescent="0.25">
      <c r="B56" s="49" t="s">
        <v>160</v>
      </c>
      <c r="C56" s="49" t="s">
        <v>71</v>
      </c>
      <c r="D56" s="58">
        <v>45716</v>
      </c>
      <c r="E56" s="51" t="s">
        <v>39</v>
      </c>
      <c r="F56" s="50" t="s">
        <v>52</v>
      </c>
      <c r="G56" s="52" t="s">
        <v>53</v>
      </c>
      <c r="H56" s="53">
        <v>3</v>
      </c>
      <c r="I56" s="54">
        <v>149</v>
      </c>
      <c r="J56" s="54">
        <v>0</v>
      </c>
      <c r="K56" s="54">
        <v>447</v>
      </c>
      <c r="L56" s="56" t="s">
        <v>49</v>
      </c>
    </row>
    <row r="57" spans="2:12" x14ac:dyDescent="0.25">
      <c r="B57" s="42" t="s">
        <v>162</v>
      </c>
      <c r="C57" s="42" t="s">
        <v>55</v>
      </c>
      <c r="D57" s="57">
        <v>46055</v>
      </c>
      <c r="E57" s="44" t="s">
        <v>47</v>
      </c>
      <c r="F57" s="43" t="s">
        <v>52</v>
      </c>
      <c r="G57" s="42" t="s">
        <v>61</v>
      </c>
      <c r="H57" s="45">
        <v>2</v>
      </c>
      <c r="I57" s="46">
        <v>199</v>
      </c>
      <c r="J57" s="46">
        <v>14.73</v>
      </c>
      <c r="K57" s="46">
        <v>383.27</v>
      </c>
      <c r="L57" s="48" t="s">
        <v>69</v>
      </c>
    </row>
    <row r="58" spans="2:12" x14ac:dyDescent="0.25">
      <c r="B58" s="49" t="s">
        <v>163</v>
      </c>
      <c r="C58" s="49" t="s">
        <v>101</v>
      </c>
      <c r="D58" s="58">
        <v>46031</v>
      </c>
      <c r="E58" s="51" t="s">
        <v>22</v>
      </c>
      <c r="F58" s="50" t="s">
        <v>23</v>
      </c>
      <c r="G58" s="52" t="s">
        <v>88</v>
      </c>
      <c r="H58" s="53">
        <v>4</v>
      </c>
      <c r="I58" s="54">
        <v>650</v>
      </c>
      <c r="J58" s="54">
        <v>5.67</v>
      </c>
      <c r="K58" s="54">
        <v>2594.33</v>
      </c>
      <c r="L58" s="56" t="s">
        <v>89</v>
      </c>
    </row>
    <row r="59" spans="2:12" x14ac:dyDescent="0.25">
      <c r="B59" s="42" t="s">
        <v>165</v>
      </c>
      <c r="C59" s="42" t="s">
        <v>20</v>
      </c>
      <c r="D59" s="57">
        <v>45830</v>
      </c>
      <c r="E59" s="44" t="s">
        <v>15</v>
      </c>
      <c r="F59" s="43" t="s">
        <v>23</v>
      </c>
      <c r="G59" s="42" t="s">
        <v>48</v>
      </c>
      <c r="H59" s="45">
        <v>2</v>
      </c>
      <c r="I59" s="46">
        <v>450</v>
      </c>
      <c r="J59" s="46">
        <v>9.5500000000000007</v>
      </c>
      <c r="K59" s="46">
        <v>890.45</v>
      </c>
      <c r="L59" s="48" t="s">
        <v>69</v>
      </c>
    </row>
    <row r="60" spans="2:12" x14ac:dyDescent="0.25">
      <c r="B60" s="49" t="s">
        <v>167</v>
      </c>
      <c r="C60" s="49" t="s">
        <v>110</v>
      </c>
      <c r="D60" s="58">
        <v>45874</v>
      </c>
      <c r="E60" s="51" t="s">
        <v>22</v>
      </c>
      <c r="F60" s="50" t="s">
        <v>23</v>
      </c>
      <c r="G60" s="52" t="s">
        <v>24</v>
      </c>
      <c r="H60" s="53">
        <v>1</v>
      </c>
      <c r="I60" s="54">
        <v>180</v>
      </c>
      <c r="J60" s="54">
        <v>16.34</v>
      </c>
      <c r="K60" s="54">
        <v>163.66</v>
      </c>
      <c r="L60" s="56" t="s">
        <v>18</v>
      </c>
    </row>
    <row r="61" spans="2:12" x14ac:dyDescent="0.25">
      <c r="B61" s="42" t="s">
        <v>169</v>
      </c>
      <c r="C61" s="42" t="s">
        <v>41</v>
      </c>
      <c r="D61" s="57">
        <v>45936</v>
      </c>
      <c r="E61" s="44" t="s">
        <v>22</v>
      </c>
      <c r="F61" s="43" t="s">
        <v>30</v>
      </c>
      <c r="G61" s="42" t="s">
        <v>68</v>
      </c>
      <c r="H61" s="45">
        <v>1</v>
      </c>
      <c r="I61" s="46">
        <v>799</v>
      </c>
      <c r="J61" s="46">
        <v>5.5</v>
      </c>
      <c r="K61" s="46">
        <v>793.5</v>
      </c>
      <c r="L61" s="48" t="s">
        <v>49</v>
      </c>
    </row>
    <row r="62" spans="2:12" x14ac:dyDescent="0.25">
      <c r="B62" s="49" t="s">
        <v>171</v>
      </c>
      <c r="C62" s="49" t="s">
        <v>101</v>
      </c>
      <c r="D62" s="58">
        <v>45823</v>
      </c>
      <c r="E62" s="51" t="s">
        <v>15</v>
      </c>
      <c r="F62" s="50" t="s">
        <v>30</v>
      </c>
      <c r="G62" s="52" t="s">
        <v>31</v>
      </c>
      <c r="H62" s="53">
        <v>4</v>
      </c>
      <c r="I62" s="54">
        <v>2500</v>
      </c>
      <c r="J62" s="54">
        <v>1182.82</v>
      </c>
      <c r="K62" s="54">
        <v>8817.18</v>
      </c>
      <c r="L62" s="56" t="s">
        <v>18</v>
      </c>
    </row>
    <row r="63" spans="2:12" x14ac:dyDescent="0.25">
      <c r="B63" s="42" t="s">
        <v>173</v>
      </c>
      <c r="C63" s="42" t="s">
        <v>37</v>
      </c>
      <c r="D63" s="57">
        <v>46029</v>
      </c>
      <c r="E63" s="44" t="s">
        <v>39</v>
      </c>
      <c r="F63" s="43" t="s">
        <v>30</v>
      </c>
      <c r="G63" s="42" t="s">
        <v>31</v>
      </c>
      <c r="H63" s="45">
        <v>1</v>
      </c>
      <c r="I63" s="46">
        <v>2500</v>
      </c>
      <c r="J63" s="46">
        <v>0</v>
      </c>
      <c r="K63" s="46">
        <v>2500</v>
      </c>
      <c r="L63" s="48" t="s">
        <v>65</v>
      </c>
    </row>
    <row r="64" spans="2:12" x14ac:dyDescent="0.25">
      <c r="B64" s="49" t="s">
        <v>175</v>
      </c>
      <c r="C64" s="49" t="s">
        <v>63</v>
      </c>
      <c r="D64" s="58">
        <v>45839</v>
      </c>
      <c r="E64" s="51" t="s">
        <v>22</v>
      </c>
      <c r="F64" s="50" t="s">
        <v>52</v>
      </c>
      <c r="G64" s="52" t="s">
        <v>99</v>
      </c>
      <c r="H64" s="53">
        <v>5</v>
      </c>
      <c r="I64" s="54">
        <v>79</v>
      </c>
      <c r="J64" s="54">
        <v>0</v>
      </c>
      <c r="K64" s="54">
        <v>395</v>
      </c>
      <c r="L64" s="56" t="s">
        <v>32</v>
      </c>
    </row>
    <row r="65" spans="2:12" x14ac:dyDescent="0.25">
      <c r="B65" s="42" t="s">
        <v>177</v>
      </c>
      <c r="C65" s="42" t="s">
        <v>101</v>
      </c>
      <c r="D65" s="57">
        <v>45941</v>
      </c>
      <c r="E65" s="44" t="s">
        <v>47</v>
      </c>
      <c r="F65" s="43" t="s">
        <v>30</v>
      </c>
      <c r="G65" s="42" t="s">
        <v>31</v>
      </c>
      <c r="H65" s="45">
        <v>5</v>
      </c>
      <c r="I65" s="46">
        <v>2500</v>
      </c>
      <c r="J65" s="46">
        <v>0</v>
      </c>
      <c r="K65" s="46">
        <v>12500</v>
      </c>
      <c r="L65" s="48" t="s">
        <v>25</v>
      </c>
    </row>
    <row r="66" spans="2:12" x14ac:dyDescent="0.25">
      <c r="B66" s="49" t="s">
        <v>179</v>
      </c>
      <c r="C66" s="49" t="s">
        <v>20</v>
      </c>
      <c r="D66" s="58">
        <v>45753</v>
      </c>
      <c r="E66" s="51" t="s">
        <v>22</v>
      </c>
      <c r="F66" s="50" t="s">
        <v>23</v>
      </c>
      <c r="G66" s="52" t="s">
        <v>24</v>
      </c>
      <c r="H66" s="53">
        <v>1</v>
      </c>
      <c r="I66" s="54">
        <v>180</v>
      </c>
      <c r="J66" s="54">
        <v>26.01</v>
      </c>
      <c r="K66" s="54">
        <v>153.99</v>
      </c>
      <c r="L66" s="56" t="s">
        <v>18</v>
      </c>
    </row>
    <row r="67" spans="2:12" x14ac:dyDescent="0.25">
      <c r="B67" s="42" t="s">
        <v>181</v>
      </c>
      <c r="C67" s="42" t="s">
        <v>13</v>
      </c>
      <c r="D67" s="57">
        <v>45941</v>
      </c>
      <c r="E67" s="44" t="s">
        <v>15</v>
      </c>
      <c r="F67" s="43" t="s">
        <v>16</v>
      </c>
      <c r="G67" s="42" t="s">
        <v>116</v>
      </c>
      <c r="H67" s="45">
        <v>1</v>
      </c>
      <c r="I67" s="46">
        <v>45</v>
      </c>
      <c r="J67" s="46">
        <v>0.5</v>
      </c>
      <c r="K67" s="46">
        <v>44.5</v>
      </c>
      <c r="L67" s="48" t="s">
        <v>44</v>
      </c>
    </row>
    <row r="68" spans="2:12" x14ac:dyDescent="0.25">
      <c r="B68" s="49" t="s">
        <v>182</v>
      </c>
      <c r="C68" s="49" t="s">
        <v>95</v>
      </c>
      <c r="D68" s="58">
        <v>45802</v>
      </c>
      <c r="E68" s="51" t="s">
        <v>15</v>
      </c>
      <c r="F68" s="50" t="s">
        <v>23</v>
      </c>
      <c r="G68" s="52" t="s">
        <v>43</v>
      </c>
      <c r="H68" s="53">
        <v>2</v>
      </c>
      <c r="I68" s="54">
        <v>350</v>
      </c>
      <c r="J68" s="54">
        <v>0</v>
      </c>
      <c r="K68" s="54">
        <v>700</v>
      </c>
      <c r="L68" s="56" t="s">
        <v>25</v>
      </c>
    </row>
    <row r="69" spans="2:12" x14ac:dyDescent="0.25">
      <c r="B69" s="42" t="s">
        <v>184</v>
      </c>
      <c r="C69" s="42" t="s">
        <v>63</v>
      </c>
      <c r="D69" s="57">
        <v>45723</v>
      </c>
      <c r="E69" s="44" t="s">
        <v>15</v>
      </c>
      <c r="F69" s="43" t="s">
        <v>52</v>
      </c>
      <c r="G69" s="42" t="s">
        <v>53</v>
      </c>
      <c r="H69" s="45">
        <v>5</v>
      </c>
      <c r="I69" s="46">
        <v>149</v>
      </c>
      <c r="J69" s="46">
        <v>53.18</v>
      </c>
      <c r="K69" s="46">
        <v>691.82</v>
      </c>
      <c r="L69" s="48" t="s">
        <v>32</v>
      </c>
    </row>
    <row r="70" spans="2:12" x14ac:dyDescent="0.25">
      <c r="B70" s="49" t="s">
        <v>185</v>
      </c>
      <c r="C70" s="49" t="s">
        <v>13</v>
      </c>
      <c r="D70" s="58">
        <v>45792</v>
      </c>
      <c r="E70" s="51" t="s">
        <v>39</v>
      </c>
      <c r="F70" s="50" t="s">
        <v>52</v>
      </c>
      <c r="G70" s="52" t="s">
        <v>53</v>
      </c>
      <c r="H70" s="53">
        <v>1</v>
      </c>
      <c r="I70" s="54">
        <v>149</v>
      </c>
      <c r="J70" s="54">
        <v>0</v>
      </c>
      <c r="K70" s="54">
        <v>149</v>
      </c>
      <c r="L70" s="56" t="s">
        <v>44</v>
      </c>
    </row>
    <row r="71" spans="2:12" x14ac:dyDescent="0.25">
      <c r="B71" s="42" t="s">
        <v>187</v>
      </c>
      <c r="C71" s="42" t="s">
        <v>27</v>
      </c>
      <c r="D71" s="57">
        <v>45972</v>
      </c>
      <c r="E71" s="44" t="s">
        <v>22</v>
      </c>
      <c r="F71" s="43" t="s">
        <v>16</v>
      </c>
      <c r="G71" s="42" t="s">
        <v>116</v>
      </c>
      <c r="H71" s="45">
        <v>2</v>
      </c>
      <c r="I71" s="46">
        <v>45</v>
      </c>
      <c r="J71" s="46">
        <v>9.69</v>
      </c>
      <c r="K71" s="46">
        <v>80.31</v>
      </c>
      <c r="L71" s="48" t="s">
        <v>89</v>
      </c>
    </row>
    <row r="72" spans="2:12" x14ac:dyDescent="0.25">
      <c r="B72" s="49" t="s">
        <v>189</v>
      </c>
      <c r="C72" s="49" t="s">
        <v>20</v>
      </c>
      <c r="D72" s="58">
        <v>45928</v>
      </c>
      <c r="E72" s="51" t="s">
        <v>47</v>
      </c>
      <c r="F72" s="50" t="s">
        <v>23</v>
      </c>
      <c r="G72" s="52" t="s">
        <v>24</v>
      </c>
      <c r="H72" s="53">
        <v>5</v>
      </c>
      <c r="I72" s="54">
        <v>180</v>
      </c>
      <c r="J72" s="54">
        <v>82.19</v>
      </c>
      <c r="K72" s="54">
        <v>817.81</v>
      </c>
      <c r="L72" s="56" t="s">
        <v>18</v>
      </c>
    </row>
    <row r="73" spans="2:12" x14ac:dyDescent="0.25">
      <c r="B73" s="42" t="s">
        <v>191</v>
      </c>
      <c r="C73" s="42" t="s">
        <v>63</v>
      </c>
      <c r="D73" s="57">
        <v>45776</v>
      </c>
      <c r="E73" s="44" t="s">
        <v>47</v>
      </c>
      <c r="F73" s="43" t="s">
        <v>30</v>
      </c>
      <c r="G73" s="42" t="s">
        <v>106</v>
      </c>
      <c r="H73" s="45">
        <v>1</v>
      </c>
      <c r="I73" s="46">
        <v>299</v>
      </c>
      <c r="J73" s="46">
        <v>0</v>
      </c>
      <c r="K73" s="46">
        <v>299</v>
      </c>
      <c r="L73" s="48" t="s">
        <v>18</v>
      </c>
    </row>
    <row r="74" spans="2:12" x14ac:dyDescent="0.25">
      <c r="B74" s="49" t="s">
        <v>193</v>
      </c>
      <c r="C74" s="49" t="s">
        <v>55</v>
      </c>
      <c r="D74" s="58">
        <v>45987</v>
      </c>
      <c r="E74" s="51" t="s">
        <v>39</v>
      </c>
      <c r="F74" s="50" t="s">
        <v>23</v>
      </c>
      <c r="G74" s="52" t="s">
        <v>88</v>
      </c>
      <c r="H74" s="53">
        <v>4</v>
      </c>
      <c r="I74" s="54">
        <v>650</v>
      </c>
      <c r="J74" s="54">
        <v>46.67</v>
      </c>
      <c r="K74" s="54">
        <v>2553.33</v>
      </c>
      <c r="L74" s="56" t="s">
        <v>65</v>
      </c>
    </row>
    <row r="75" spans="2:12" x14ac:dyDescent="0.25">
      <c r="B75" s="42" t="s">
        <v>195</v>
      </c>
      <c r="C75" s="42" t="s">
        <v>20</v>
      </c>
      <c r="D75" s="57">
        <v>45743</v>
      </c>
      <c r="E75" s="44" t="s">
        <v>22</v>
      </c>
      <c r="F75" s="43" t="s">
        <v>23</v>
      </c>
      <c r="G75" s="42" t="s">
        <v>88</v>
      </c>
      <c r="H75" s="45">
        <v>2</v>
      </c>
      <c r="I75" s="46">
        <v>650</v>
      </c>
      <c r="J75" s="46">
        <v>0</v>
      </c>
      <c r="K75" s="46">
        <v>1300</v>
      </c>
      <c r="L75" s="48" t="s">
        <v>49</v>
      </c>
    </row>
    <row r="76" spans="2:12" x14ac:dyDescent="0.25">
      <c r="B76" s="49" t="s">
        <v>197</v>
      </c>
      <c r="C76" s="49" t="s">
        <v>20</v>
      </c>
      <c r="D76" s="58">
        <v>45702</v>
      </c>
      <c r="E76" s="51" t="s">
        <v>22</v>
      </c>
      <c r="F76" s="50" t="s">
        <v>23</v>
      </c>
      <c r="G76" s="52" t="s">
        <v>88</v>
      </c>
      <c r="H76" s="53">
        <v>2</v>
      </c>
      <c r="I76" s="54">
        <v>650</v>
      </c>
      <c r="J76" s="54">
        <v>5.84</v>
      </c>
      <c r="K76" s="54">
        <v>1294.1600000000001</v>
      </c>
      <c r="L76" s="56" t="s">
        <v>65</v>
      </c>
    </row>
    <row r="77" spans="2:12" x14ac:dyDescent="0.25">
      <c r="B77" s="42" t="s">
        <v>199</v>
      </c>
      <c r="C77" s="42" t="s">
        <v>34</v>
      </c>
      <c r="D77" s="57">
        <v>45870</v>
      </c>
      <c r="E77" s="44" t="s">
        <v>15</v>
      </c>
      <c r="F77" s="43" t="s">
        <v>23</v>
      </c>
      <c r="G77" s="42" t="s">
        <v>48</v>
      </c>
      <c r="H77" s="45">
        <v>3</v>
      </c>
      <c r="I77" s="46">
        <v>450</v>
      </c>
      <c r="J77" s="46">
        <v>141.08000000000001</v>
      </c>
      <c r="K77" s="46">
        <v>1208.92</v>
      </c>
      <c r="L77" s="48" t="s">
        <v>18</v>
      </c>
    </row>
    <row r="78" spans="2:12" x14ac:dyDescent="0.25">
      <c r="B78" s="49" t="s">
        <v>201</v>
      </c>
      <c r="C78" s="49" t="s">
        <v>55</v>
      </c>
      <c r="D78" s="58">
        <v>46038</v>
      </c>
      <c r="E78" s="51" t="s">
        <v>15</v>
      </c>
      <c r="F78" s="50" t="s">
        <v>16</v>
      </c>
      <c r="G78" s="52" t="s">
        <v>116</v>
      </c>
      <c r="H78" s="53">
        <v>5</v>
      </c>
      <c r="I78" s="54">
        <v>45</v>
      </c>
      <c r="J78" s="54">
        <v>0</v>
      </c>
      <c r="K78" s="54">
        <v>225</v>
      </c>
      <c r="L78" s="56" t="s">
        <v>18</v>
      </c>
    </row>
    <row r="79" spans="2:12" x14ac:dyDescent="0.25">
      <c r="B79" s="42" t="s">
        <v>203</v>
      </c>
      <c r="C79" s="42" t="s">
        <v>101</v>
      </c>
      <c r="D79" s="57">
        <v>46048</v>
      </c>
      <c r="E79" s="44" t="s">
        <v>29</v>
      </c>
      <c r="F79" s="43" t="s">
        <v>23</v>
      </c>
      <c r="G79" s="42" t="s">
        <v>24</v>
      </c>
      <c r="H79" s="45">
        <v>4</v>
      </c>
      <c r="I79" s="46">
        <v>180</v>
      </c>
      <c r="J79" s="46">
        <v>0</v>
      </c>
      <c r="K79" s="46">
        <v>720</v>
      </c>
      <c r="L79" s="48" t="s">
        <v>49</v>
      </c>
    </row>
    <row r="80" spans="2:12" x14ac:dyDescent="0.25">
      <c r="B80" s="49" t="s">
        <v>205</v>
      </c>
      <c r="C80" s="49" t="s">
        <v>95</v>
      </c>
      <c r="D80" s="58">
        <v>45906</v>
      </c>
      <c r="E80" s="51" t="s">
        <v>22</v>
      </c>
      <c r="F80" s="50" t="s">
        <v>52</v>
      </c>
      <c r="G80" s="52" t="s">
        <v>61</v>
      </c>
      <c r="H80" s="53">
        <v>4</v>
      </c>
      <c r="I80" s="54">
        <v>199</v>
      </c>
      <c r="J80" s="54">
        <v>89.09</v>
      </c>
      <c r="K80" s="54">
        <v>706.91</v>
      </c>
      <c r="L80" s="56" t="s">
        <v>44</v>
      </c>
    </row>
    <row r="81" spans="2:12" x14ac:dyDescent="0.25">
      <c r="B81" s="42" t="s">
        <v>207</v>
      </c>
      <c r="C81" s="42" t="s">
        <v>34</v>
      </c>
      <c r="D81" s="57">
        <v>45708</v>
      </c>
      <c r="E81" s="44" t="s">
        <v>22</v>
      </c>
      <c r="F81" s="43" t="s">
        <v>30</v>
      </c>
      <c r="G81" s="42" t="s">
        <v>106</v>
      </c>
      <c r="H81" s="45">
        <v>2</v>
      </c>
      <c r="I81" s="46">
        <v>299</v>
      </c>
      <c r="J81" s="46">
        <v>78.23</v>
      </c>
      <c r="K81" s="46">
        <v>519.77</v>
      </c>
      <c r="L81" s="48" t="s">
        <v>44</v>
      </c>
    </row>
    <row r="82" spans="2:12" x14ac:dyDescent="0.25">
      <c r="B82" s="49" t="s">
        <v>208</v>
      </c>
      <c r="C82" s="49" t="s">
        <v>71</v>
      </c>
      <c r="D82" s="58">
        <v>46018</v>
      </c>
      <c r="E82" s="51" t="s">
        <v>39</v>
      </c>
      <c r="F82" s="50" t="s">
        <v>23</v>
      </c>
      <c r="G82" s="52" t="s">
        <v>88</v>
      </c>
      <c r="H82" s="53">
        <v>3</v>
      </c>
      <c r="I82" s="54">
        <v>650</v>
      </c>
      <c r="J82" s="54">
        <v>0</v>
      </c>
      <c r="K82" s="54">
        <v>1950</v>
      </c>
      <c r="L82" s="56" t="s">
        <v>69</v>
      </c>
    </row>
    <row r="83" spans="2:12" x14ac:dyDescent="0.25">
      <c r="B83" s="42" t="s">
        <v>210</v>
      </c>
      <c r="C83" s="42" t="s">
        <v>101</v>
      </c>
      <c r="D83" s="57">
        <v>45919</v>
      </c>
      <c r="E83" s="44" t="s">
        <v>15</v>
      </c>
      <c r="F83" s="43" t="s">
        <v>16</v>
      </c>
      <c r="G83" s="42" t="s">
        <v>116</v>
      </c>
      <c r="H83" s="45">
        <v>5</v>
      </c>
      <c r="I83" s="46">
        <v>45</v>
      </c>
      <c r="J83" s="46">
        <v>0</v>
      </c>
      <c r="K83" s="46">
        <v>225</v>
      </c>
      <c r="L83" s="48" t="s">
        <v>49</v>
      </c>
    </row>
    <row r="84" spans="2:12" x14ac:dyDescent="0.25">
      <c r="B84" s="49" t="s">
        <v>212</v>
      </c>
      <c r="C84" s="49" t="s">
        <v>13</v>
      </c>
      <c r="D84" s="58">
        <v>46029</v>
      </c>
      <c r="E84" s="51" t="s">
        <v>29</v>
      </c>
      <c r="F84" s="50" t="s">
        <v>30</v>
      </c>
      <c r="G84" s="52" t="s">
        <v>68</v>
      </c>
      <c r="H84" s="53">
        <v>2</v>
      </c>
      <c r="I84" s="54">
        <v>799</v>
      </c>
      <c r="J84" s="54">
        <v>95.72</v>
      </c>
      <c r="K84" s="54">
        <v>1502.28</v>
      </c>
      <c r="L84" s="56" t="s">
        <v>69</v>
      </c>
    </row>
    <row r="85" spans="2:12" x14ac:dyDescent="0.25">
      <c r="B85" s="42" t="s">
        <v>213</v>
      </c>
      <c r="C85" s="42" t="s">
        <v>101</v>
      </c>
      <c r="D85" s="57">
        <v>45965</v>
      </c>
      <c r="E85" s="44" t="s">
        <v>15</v>
      </c>
      <c r="F85" s="43" t="s">
        <v>30</v>
      </c>
      <c r="G85" s="42" t="s">
        <v>68</v>
      </c>
      <c r="H85" s="45">
        <v>4</v>
      </c>
      <c r="I85" s="46">
        <v>799</v>
      </c>
      <c r="J85" s="46">
        <v>0</v>
      </c>
      <c r="K85" s="46">
        <v>3196</v>
      </c>
      <c r="L85" s="48" t="s">
        <v>89</v>
      </c>
    </row>
    <row r="86" spans="2:12" x14ac:dyDescent="0.25">
      <c r="B86" s="49" t="s">
        <v>214</v>
      </c>
      <c r="C86" s="49" t="s">
        <v>37</v>
      </c>
      <c r="D86" s="58">
        <v>45989</v>
      </c>
      <c r="E86" s="51" t="s">
        <v>47</v>
      </c>
      <c r="F86" s="50" t="s">
        <v>23</v>
      </c>
      <c r="G86" s="52" t="s">
        <v>48</v>
      </c>
      <c r="H86" s="53">
        <v>4</v>
      </c>
      <c r="I86" s="54">
        <v>450</v>
      </c>
      <c r="J86" s="54">
        <v>178.86</v>
      </c>
      <c r="K86" s="54">
        <v>1621.1399999999999</v>
      </c>
      <c r="L86" s="56" t="s">
        <v>49</v>
      </c>
    </row>
    <row r="87" spans="2:12" x14ac:dyDescent="0.25">
      <c r="B87" s="42" t="s">
        <v>216</v>
      </c>
      <c r="C87" s="42" t="s">
        <v>41</v>
      </c>
      <c r="D87" s="57">
        <v>45989</v>
      </c>
      <c r="E87" s="44" t="s">
        <v>22</v>
      </c>
      <c r="F87" s="43" t="s">
        <v>30</v>
      </c>
      <c r="G87" s="42" t="s">
        <v>68</v>
      </c>
      <c r="H87" s="45">
        <v>4</v>
      </c>
      <c r="I87" s="46">
        <v>799</v>
      </c>
      <c r="J87" s="46">
        <v>0</v>
      </c>
      <c r="K87" s="46">
        <v>3196</v>
      </c>
      <c r="L87" s="48" t="s">
        <v>44</v>
      </c>
    </row>
    <row r="88" spans="2:12" x14ac:dyDescent="0.25">
      <c r="B88" s="49" t="s">
        <v>217</v>
      </c>
      <c r="C88" s="49" t="s">
        <v>101</v>
      </c>
      <c r="D88" s="58">
        <v>45735</v>
      </c>
      <c r="E88" s="51" t="s">
        <v>22</v>
      </c>
      <c r="F88" s="50" t="s">
        <v>16</v>
      </c>
      <c r="G88" s="52" t="s">
        <v>116</v>
      </c>
      <c r="H88" s="53">
        <v>1</v>
      </c>
      <c r="I88" s="54">
        <v>45</v>
      </c>
      <c r="J88" s="54">
        <v>0</v>
      </c>
      <c r="K88" s="54">
        <v>45</v>
      </c>
      <c r="L88" s="56" t="s">
        <v>69</v>
      </c>
    </row>
    <row r="89" spans="2:12" x14ac:dyDescent="0.25">
      <c r="B89" s="42" t="s">
        <v>219</v>
      </c>
      <c r="C89" s="42" t="s">
        <v>71</v>
      </c>
      <c r="D89" s="57">
        <v>45760</v>
      </c>
      <c r="E89" s="44" t="s">
        <v>29</v>
      </c>
      <c r="F89" s="43" t="s">
        <v>52</v>
      </c>
      <c r="G89" s="42" t="s">
        <v>61</v>
      </c>
      <c r="H89" s="45">
        <v>3</v>
      </c>
      <c r="I89" s="46">
        <v>199</v>
      </c>
      <c r="J89" s="46">
        <v>6.15</v>
      </c>
      <c r="K89" s="46">
        <v>590.85</v>
      </c>
      <c r="L89" s="48" t="s">
        <v>44</v>
      </c>
    </row>
    <row r="90" spans="2:12" x14ac:dyDescent="0.25">
      <c r="B90" s="49" t="s">
        <v>221</v>
      </c>
      <c r="C90" s="49" t="s">
        <v>110</v>
      </c>
      <c r="D90" s="58">
        <v>45989</v>
      </c>
      <c r="E90" s="51" t="s">
        <v>22</v>
      </c>
      <c r="F90" s="50" t="s">
        <v>23</v>
      </c>
      <c r="G90" s="52" t="s">
        <v>48</v>
      </c>
      <c r="H90" s="53">
        <v>3</v>
      </c>
      <c r="I90" s="54">
        <v>450</v>
      </c>
      <c r="J90" s="54">
        <v>0</v>
      </c>
      <c r="K90" s="54">
        <v>1350</v>
      </c>
      <c r="L90" s="56" t="s">
        <v>25</v>
      </c>
    </row>
    <row r="91" spans="2:12" x14ac:dyDescent="0.25">
      <c r="B91" s="42" t="s">
        <v>222</v>
      </c>
      <c r="C91" s="42" t="s">
        <v>20</v>
      </c>
      <c r="D91" s="57">
        <v>46021</v>
      </c>
      <c r="E91" s="44" t="s">
        <v>15</v>
      </c>
      <c r="F91" s="43" t="s">
        <v>16</v>
      </c>
      <c r="G91" s="42" t="s">
        <v>17</v>
      </c>
      <c r="H91" s="45">
        <v>5</v>
      </c>
      <c r="I91" s="46">
        <v>39</v>
      </c>
      <c r="J91" s="46">
        <v>0</v>
      </c>
      <c r="K91" s="46">
        <v>195</v>
      </c>
      <c r="L91" s="48" t="s">
        <v>89</v>
      </c>
    </row>
    <row r="92" spans="2:12" x14ac:dyDescent="0.25">
      <c r="B92" s="49" t="s">
        <v>224</v>
      </c>
      <c r="C92" s="49" t="s">
        <v>13</v>
      </c>
      <c r="D92" s="58">
        <v>46039</v>
      </c>
      <c r="E92" s="51" t="s">
        <v>15</v>
      </c>
      <c r="F92" s="50" t="s">
        <v>30</v>
      </c>
      <c r="G92" s="52" t="s">
        <v>106</v>
      </c>
      <c r="H92" s="53">
        <v>2</v>
      </c>
      <c r="I92" s="54">
        <v>299</v>
      </c>
      <c r="J92" s="54">
        <v>54.25</v>
      </c>
      <c r="K92" s="54">
        <v>543.75</v>
      </c>
      <c r="L92" s="56" t="s">
        <v>89</v>
      </c>
    </row>
    <row r="93" spans="2:12" x14ac:dyDescent="0.25">
      <c r="B93" s="42" t="s">
        <v>226</v>
      </c>
      <c r="C93" s="42" t="s">
        <v>95</v>
      </c>
      <c r="D93" s="57">
        <v>45853</v>
      </c>
      <c r="E93" s="44" t="s">
        <v>29</v>
      </c>
      <c r="F93" s="43" t="s">
        <v>52</v>
      </c>
      <c r="G93" s="42" t="s">
        <v>53</v>
      </c>
      <c r="H93" s="45">
        <v>2</v>
      </c>
      <c r="I93" s="46">
        <v>149</v>
      </c>
      <c r="J93" s="46">
        <v>0</v>
      </c>
      <c r="K93" s="46">
        <v>298</v>
      </c>
      <c r="L93" s="48" t="s">
        <v>65</v>
      </c>
    </row>
    <row r="94" spans="2:12" x14ac:dyDescent="0.25">
      <c r="B94" s="49" t="s">
        <v>228</v>
      </c>
      <c r="C94" s="49" t="s">
        <v>41</v>
      </c>
      <c r="D94" s="58">
        <v>45792</v>
      </c>
      <c r="E94" s="51" t="s">
        <v>47</v>
      </c>
      <c r="F94" s="50" t="s">
        <v>30</v>
      </c>
      <c r="G94" s="52" t="s">
        <v>68</v>
      </c>
      <c r="H94" s="53">
        <v>4</v>
      </c>
      <c r="I94" s="54">
        <v>799</v>
      </c>
      <c r="J94" s="54">
        <v>226.17</v>
      </c>
      <c r="K94" s="54">
        <v>2969.83</v>
      </c>
      <c r="L94" s="56" t="s">
        <v>69</v>
      </c>
    </row>
    <row r="95" spans="2:12" x14ac:dyDescent="0.25">
      <c r="B95" s="42" t="s">
        <v>229</v>
      </c>
      <c r="C95" s="42" t="s">
        <v>71</v>
      </c>
      <c r="D95" s="57">
        <v>46054</v>
      </c>
      <c r="E95" s="44" t="s">
        <v>29</v>
      </c>
      <c r="F95" s="43" t="s">
        <v>23</v>
      </c>
      <c r="G95" s="42" t="s">
        <v>24</v>
      </c>
      <c r="H95" s="45">
        <v>4</v>
      </c>
      <c r="I95" s="46">
        <v>180</v>
      </c>
      <c r="J95" s="46">
        <v>0</v>
      </c>
      <c r="K95" s="46">
        <v>720</v>
      </c>
      <c r="L95" s="48" t="s">
        <v>18</v>
      </c>
    </row>
    <row r="96" spans="2:12" x14ac:dyDescent="0.25">
      <c r="B96" s="49" t="s">
        <v>231</v>
      </c>
      <c r="C96" s="49" t="s">
        <v>41</v>
      </c>
      <c r="D96" s="58">
        <v>45700</v>
      </c>
      <c r="E96" s="51" t="s">
        <v>22</v>
      </c>
      <c r="F96" s="50" t="s">
        <v>30</v>
      </c>
      <c r="G96" s="52" t="s">
        <v>106</v>
      </c>
      <c r="H96" s="53">
        <v>1</v>
      </c>
      <c r="I96" s="54">
        <v>299</v>
      </c>
      <c r="J96" s="54">
        <v>0</v>
      </c>
      <c r="K96" s="54">
        <v>299</v>
      </c>
      <c r="L96" s="56" t="s">
        <v>32</v>
      </c>
    </row>
    <row r="97" spans="2:12" x14ac:dyDescent="0.25">
      <c r="B97" s="42" t="s">
        <v>233</v>
      </c>
      <c r="C97" s="42" t="s">
        <v>55</v>
      </c>
      <c r="D97" s="57">
        <v>45683</v>
      </c>
      <c r="E97" s="44" t="s">
        <v>22</v>
      </c>
      <c r="F97" s="43" t="s">
        <v>23</v>
      </c>
      <c r="G97" s="42" t="s">
        <v>43</v>
      </c>
      <c r="H97" s="45">
        <v>4</v>
      </c>
      <c r="I97" s="46">
        <v>350</v>
      </c>
      <c r="J97" s="46">
        <v>3.34</v>
      </c>
      <c r="K97" s="46">
        <v>1396.66</v>
      </c>
      <c r="L97" s="48" t="s">
        <v>49</v>
      </c>
    </row>
    <row r="98" spans="2:12" x14ac:dyDescent="0.25">
      <c r="B98" s="49" t="s">
        <v>235</v>
      </c>
      <c r="C98" s="49" t="s">
        <v>63</v>
      </c>
      <c r="D98" s="58">
        <v>45776</v>
      </c>
      <c r="E98" s="51" t="s">
        <v>22</v>
      </c>
      <c r="F98" s="50" t="s">
        <v>52</v>
      </c>
      <c r="G98" s="52" t="s">
        <v>99</v>
      </c>
      <c r="H98" s="53">
        <v>2</v>
      </c>
      <c r="I98" s="54">
        <v>79</v>
      </c>
      <c r="J98" s="54">
        <v>0</v>
      </c>
      <c r="K98" s="54">
        <v>158</v>
      </c>
      <c r="L98" s="56" t="s">
        <v>49</v>
      </c>
    </row>
    <row r="99" spans="2:12" x14ac:dyDescent="0.25">
      <c r="B99" s="42" t="s">
        <v>236</v>
      </c>
      <c r="C99" s="42" t="s">
        <v>101</v>
      </c>
      <c r="D99" s="57">
        <v>45749</v>
      </c>
      <c r="E99" s="44" t="s">
        <v>39</v>
      </c>
      <c r="F99" s="43" t="s">
        <v>52</v>
      </c>
      <c r="G99" s="42" t="s">
        <v>53</v>
      </c>
      <c r="H99" s="45">
        <v>2</v>
      </c>
      <c r="I99" s="46">
        <v>149</v>
      </c>
      <c r="J99" s="46">
        <v>13.25</v>
      </c>
      <c r="K99" s="46">
        <v>284.75</v>
      </c>
      <c r="L99" s="48" t="s">
        <v>65</v>
      </c>
    </row>
    <row r="100" spans="2:12" x14ac:dyDescent="0.25">
      <c r="B100" s="49" t="s">
        <v>238</v>
      </c>
      <c r="C100" s="49" t="s">
        <v>101</v>
      </c>
      <c r="D100" s="58">
        <v>45818</v>
      </c>
      <c r="E100" s="51" t="s">
        <v>15</v>
      </c>
      <c r="F100" s="50" t="s">
        <v>23</v>
      </c>
      <c r="G100" s="52" t="s">
        <v>48</v>
      </c>
      <c r="H100" s="53">
        <v>1</v>
      </c>
      <c r="I100" s="54">
        <v>450</v>
      </c>
      <c r="J100" s="54">
        <v>40.17</v>
      </c>
      <c r="K100" s="54">
        <v>409.83</v>
      </c>
      <c r="L100" s="56" t="s">
        <v>65</v>
      </c>
    </row>
    <row r="101" spans="2:12" x14ac:dyDescent="0.25">
      <c r="B101" s="42" t="s">
        <v>240</v>
      </c>
      <c r="C101" s="42" t="s">
        <v>55</v>
      </c>
      <c r="D101" s="57">
        <v>45724</v>
      </c>
      <c r="E101" s="44" t="s">
        <v>15</v>
      </c>
      <c r="F101" s="43" t="s">
        <v>52</v>
      </c>
      <c r="G101" s="42" t="s">
        <v>75</v>
      </c>
      <c r="H101" s="45">
        <v>5</v>
      </c>
      <c r="I101" s="46">
        <v>249</v>
      </c>
      <c r="J101" s="46">
        <v>150.19</v>
      </c>
      <c r="K101" s="46">
        <v>1094.81</v>
      </c>
      <c r="L101" s="48" t="s">
        <v>49</v>
      </c>
    </row>
    <row r="102" spans="2:12" x14ac:dyDescent="0.25">
      <c r="B102" s="49" t="s">
        <v>242</v>
      </c>
      <c r="C102" s="49" t="s">
        <v>41</v>
      </c>
      <c r="D102" s="58">
        <v>45880</v>
      </c>
      <c r="E102" s="51" t="s">
        <v>29</v>
      </c>
      <c r="F102" s="50" t="s">
        <v>52</v>
      </c>
      <c r="G102" s="52" t="s">
        <v>99</v>
      </c>
      <c r="H102" s="53">
        <v>1</v>
      </c>
      <c r="I102" s="54">
        <v>79</v>
      </c>
      <c r="J102" s="54">
        <v>0</v>
      </c>
      <c r="K102" s="54">
        <v>79</v>
      </c>
      <c r="L102" s="56" t="s">
        <v>32</v>
      </c>
    </row>
    <row r="103" spans="2:12" x14ac:dyDescent="0.25">
      <c r="B103" s="42" t="s">
        <v>244</v>
      </c>
      <c r="C103" s="42" t="s">
        <v>71</v>
      </c>
      <c r="D103" s="57">
        <v>45747</v>
      </c>
      <c r="E103" s="44" t="s">
        <v>47</v>
      </c>
      <c r="F103" s="43" t="s">
        <v>30</v>
      </c>
      <c r="G103" s="42" t="s">
        <v>106</v>
      </c>
      <c r="H103" s="45">
        <v>1</v>
      </c>
      <c r="I103" s="46">
        <v>299</v>
      </c>
      <c r="J103" s="46">
        <v>0</v>
      </c>
      <c r="K103" s="46">
        <v>299</v>
      </c>
      <c r="L103" s="48" t="s">
        <v>49</v>
      </c>
    </row>
    <row r="104" spans="2:12" x14ac:dyDescent="0.25">
      <c r="B104" s="49" t="s">
        <v>245</v>
      </c>
      <c r="C104" s="49" t="s">
        <v>34</v>
      </c>
      <c r="D104" s="58">
        <v>46049</v>
      </c>
      <c r="E104" s="51" t="s">
        <v>39</v>
      </c>
      <c r="F104" s="50" t="s">
        <v>23</v>
      </c>
      <c r="G104" s="52" t="s">
        <v>48</v>
      </c>
      <c r="H104" s="53">
        <v>4</v>
      </c>
      <c r="I104" s="54">
        <v>450</v>
      </c>
      <c r="J104" s="54">
        <v>165.66</v>
      </c>
      <c r="K104" s="54">
        <v>1634.34</v>
      </c>
      <c r="L104" s="56" t="s">
        <v>65</v>
      </c>
    </row>
    <row r="105" spans="2:12" x14ac:dyDescent="0.25">
      <c r="B105" s="42" t="s">
        <v>247</v>
      </c>
      <c r="C105" s="42" t="s">
        <v>13</v>
      </c>
      <c r="D105" s="57">
        <v>45962</v>
      </c>
      <c r="E105" s="44" t="s">
        <v>22</v>
      </c>
      <c r="F105" s="43" t="s">
        <v>52</v>
      </c>
      <c r="G105" s="42" t="s">
        <v>99</v>
      </c>
      <c r="H105" s="45">
        <v>1</v>
      </c>
      <c r="I105" s="46">
        <v>79</v>
      </c>
      <c r="J105" s="46">
        <v>1.69</v>
      </c>
      <c r="K105" s="46">
        <v>77.31</v>
      </c>
      <c r="L105" s="48" t="s">
        <v>49</v>
      </c>
    </row>
    <row r="106" spans="2:12" x14ac:dyDescent="0.25">
      <c r="B106" s="49" t="s">
        <v>249</v>
      </c>
      <c r="C106" s="49" t="s">
        <v>27</v>
      </c>
      <c r="D106" s="58">
        <v>45686</v>
      </c>
      <c r="E106" s="51" t="s">
        <v>29</v>
      </c>
      <c r="F106" s="50" t="s">
        <v>16</v>
      </c>
      <c r="G106" s="52" t="s">
        <v>103</v>
      </c>
      <c r="H106" s="53">
        <v>5</v>
      </c>
      <c r="I106" s="54">
        <v>89</v>
      </c>
      <c r="J106" s="54">
        <v>9.01</v>
      </c>
      <c r="K106" s="54">
        <v>435.99</v>
      </c>
      <c r="L106" s="56" t="s">
        <v>18</v>
      </c>
    </row>
    <row r="107" spans="2:12" x14ac:dyDescent="0.25">
      <c r="B107" s="42" t="s">
        <v>251</v>
      </c>
      <c r="C107" s="42" t="s">
        <v>27</v>
      </c>
      <c r="D107" s="57">
        <v>45985</v>
      </c>
      <c r="E107" s="44" t="s">
        <v>15</v>
      </c>
      <c r="F107" s="43" t="s">
        <v>23</v>
      </c>
      <c r="G107" s="42" t="s">
        <v>24</v>
      </c>
      <c r="H107" s="45">
        <v>2</v>
      </c>
      <c r="I107" s="46">
        <v>180</v>
      </c>
      <c r="J107" s="46">
        <v>0</v>
      </c>
      <c r="K107" s="46">
        <v>360</v>
      </c>
      <c r="L107" s="48" t="s">
        <v>44</v>
      </c>
    </row>
    <row r="108" spans="2:12" x14ac:dyDescent="0.25">
      <c r="B108" s="49" t="s">
        <v>252</v>
      </c>
      <c r="C108" s="49" t="s">
        <v>37</v>
      </c>
      <c r="D108" s="58">
        <v>45805</v>
      </c>
      <c r="E108" s="51" t="s">
        <v>22</v>
      </c>
      <c r="F108" s="50" t="s">
        <v>23</v>
      </c>
      <c r="G108" s="52" t="s">
        <v>24</v>
      </c>
      <c r="H108" s="53">
        <v>5</v>
      </c>
      <c r="I108" s="54">
        <v>180</v>
      </c>
      <c r="J108" s="54">
        <v>0</v>
      </c>
      <c r="K108" s="54">
        <v>900</v>
      </c>
      <c r="L108" s="56" t="s">
        <v>25</v>
      </c>
    </row>
    <row r="109" spans="2:12" x14ac:dyDescent="0.25">
      <c r="B109" s="42" t="s">
        <v>254</v>
      </c>
      <c r="C109" s="42" t="s">
        <v>13</v>
      </c>
      <c r="D109" s="57">
        <v>46035</v>
      </c>
      <c r="E109" s="44" t="s">
        <v>47</v>
      </c>
      <c r="F109" s="43" t="s">
        <v>30</v>
      </c>
      <c r="G109" s="42" t="s">
        <v>152</v>
      </c>
      <c r="H109" s="45">
        <v>4</v>
      </c>
      <c r="I109" s="46">
        <v>4500</v>
      </c>
      <c r="J109" s="46">
        <v>2053.6999999999998</v>
      </c>
      <c r="K109" s="46">
        <v>15946.3</v>
      </c>
      <c r="L109" s="48" t="s">
        <v>18</v>
      </c>
    </row>
    <row r="110" spans="2:12" x14ac:dyDescent="0.25">
      <c r="B110" s="49" t="s">
        <v>256</v>
      </c>
      <c r="C110" s="49" t="s">
        <v>41</v>
      </c>
      <c r="D110" s="58">
        <v>45816</v>
      </c>
      <c r="E110" s="51" t="s">
        <v>29</v>
      </c>
      <c r="F110" s="50" t="s">
        <v>16</v>
      </c>
      <c r="G110" s="52" t="s">
        <v>78</v>
      </c>
      <c r="H110" s="53">
        <v>5</v>
      </c>
      <c r="I110" s="54">
        <v>59</v>
      </c>
      <c r="J110" s="54">
        <v>0</v>
      </c>
      <c r="K110" s="54">
        <v>295</v>
      </c>
      <c r="L110" s="56" t="s">
        <v>25</v>
      </c>
    </row>
    <row r="111" spans="2:12" x14ac:dyDescent="0.25">
      <c r="B111" s="42" t="s">
        <v>258</v>
      </c>
      <c r="C111" s="42" t="s">
        <v>27</v>
      </c>
      <c r="D111" s="57">
        <v>46055</v>
      </c>
      <c r="E111" s="44" t="s">
        <v>22</v>
      </c>
      <c r="F111" s="43" t="s">
        <v>52</v>
      </c>
      <c r="G111" s="42" t="s">
        <v>99</v>
      </c>
      <c r="H111" s="45">
        <v>3</v>
      </c>
      <c r="I111" s="46">
        <v>79</v>
      </c>
      <c r="J111" s="46">
        <v>23.94</v>
      </c>
      <c r="K111" s="46">
        <v>213.06</v>
      </c>
      <c r="L111" s="48" t="s">
        <v>65</v>
      </c>
    </row>
    <row r="112" spans="2:12" x14ac:dyDescent="0.25">
      <c r="B112" s="49" t="s">
        <v>259</v>
      </c>
      <c r="C112" s="49" t="s">
        <v>63</v>
      </c>
      <c r="D112" s="58">
        <v>45722</v>
      </c>
      <c r="E112" s="51" t="s">
        <v>39</v>
      </c>
      <c r="F112" s="50" t="s">
        <v>52</v>
      </c>
      <c r="G112" s="52" t="s">
        <v>53</v>
      </c>
      <c r="H112" s="53">
        <v>4</v>
      </c>
      <c r="I112" s="54">
        <v>149</v>
      </c>
      <c r="J112" s="54">
        <v>4.72</v>
      </c>
      <c r="K112" s="54">
        <v>591.28</v>
      </c>
      <c r="L112" s="56" t="s">
        <v>89</v>
      </c>
    </row>
    <row r="113" spans="2:12" x14ac:dyDescent="0.25">
      <c r="B113" s="42" t="s">
        <v>261</v>
      </c>
      <c r="C113" s="42" t="s">
        <v>20</v>
      </c>
      <c r="D113" s="57">
        <v>45723</v>
      </c>
      <c r="E113" s="44" t="s">
        <v>15</v>
      </c>
      <c r="F113" s="43" t="s">
        <v>16</v>
      </c>
      <c r="G113" s="42" t="s">
        <v>116</v>
      </c>
      <c r="H113" s="45">
        <v>4</v>
      </c>
      <c r="I113" s="46">
        <v>45</v>
      </c>
      <c r="J113" s="46">
        <v>0</v>
      </c>
      <c r="K113" s="46">
        <v>180</v>
      </c>
      <c r="L113" s="48" t="s">
        <v>18</v>
      </c>
    </row>
    <row r="114" spans="2:12" x14ac:dyDescent="0.25">
      <c r="B114" s="49" t="s">
        <v>262</v>
      </c>
      <c r="C114" s="49" t="s">
        <v>55</v>
      </c>
      <c r="D114" s="58">
        <v>45684</v>
      </c>
      <c r="E114" s="51" t="s">
        <v>47</v>
      </c>
      <c r="F114" s="50" t="s">
        <v>52</v>
      </c>
      <c r="G114" s="52" t="s">
        <v>53</v>
      </c>
      <c r="H114" s="53">
        <v>4</v>
      </c>
      <c r="I114" s="54">
        <v>149</v>
      </c>
      <c r="J114" s="54">
        <v>50</v>
      </c>
      <c r="K114" s="54">
        <v>546</v>
      </c>
      <c r="L114" s="56" t="s">
        <v>89</v>
      </c>
    </row>
    <row r="115" spans="2:12" x14ac:dyDescent="0.25">
      <c r="B115" s="42" t="s">
        <v>264</v>
      </c>
      <c r="C115" s="42" t="s">
        <v>71</v>
      </c>
      <c r="D115" s="57">
        <v>45703</v>
      </c>
      <c r="E115" s="44" t="s">
        <v>47</v>
      </c>
      <c r="F115" s="43" t="s">
        <v>52</v>
      </c>
      <c r="G115" s="42" t="s">
        <v>61</v>
      </c>
      <c r="H115" s="45">
        <v>3</v>
      </c>
      <c r="I115" s="46">
        <v>199</v>
      </c>
      <c r="J115" s="46">
        <v>17.41</v>
      </c>
      <c r="K115" s="46">
        <v>579.59</v>
      </c>
      <c r="L115" s="48" t="s">
        <v>44</v>
      </c>
    </row>
    <row r="116" spans="2:12" x14ac:dyDescent="0.25">
      <c r="B116" s="49" t="s">
        <v>266</v>
      </c>
      <c r="C116" s="49" t="s">
        <v>95</v>
      </c>
      <c r="D116" s="58">
        <v>45682</v>
      </c>
      <c r="E116" s="51" t="s">
        <v>15</v>
      </c>
      <c r="F116" s="50" t="s">
        <v>16</v>
      </c>
      <c r="G116" s="52" t="s">
        <v>103</v>
      </c>
      <c r="H116" s="53">
        <v>2</v>
      </c>
      <c r="I116" s="54">
        <v>89</v>
      </c>
      <c r="J116" s="54">
        <v>0</v>
      </c>
      <c r="K116" s="54">
        <v>178</v>
      </c>
      <c r="L116" s="56" t="s">
        <v>65</v>
      </c>
    </row>
    <row r="117" spans="2:12" x14ac:dyDescent="0.25">
      <c r="B117" s="42" t="s">
        <v>268</v>
      </c>
      <c r="C117" s="42" t="s">
        <v>41</v>
      </c>
      <c r="D117" s="57">
        <v>45871</v>
      </c>
      <c r="E117" s="44" t="s">
        <v>39</v>
      </c>
      <c r="F117" s="43" t="s">
        <v>52</v>
      </c>
      <c r="G117" s="42" t="s">
        <v>75</v>
      </c>
      <c r="H117" s="45">
        <v>3</v>
      </c>
      <c r="I117" s="46">
        <v>249</v>
      </c>
      <c r="J117" s="46">
        <v>0</v>
      </c>
      <c r="K117" s="46">
        <v>747</v>
      </c>
      <c r="L117" s="48" t="s">
        <v>25</v>
      </c>
    </row>
    <row r="118" spans="2:12" x14ac:dyDescent="0.25">
      <c r="B118" s="49" t="s">
        <v>270</v>
      </c>
      <c r="C118" s="49" t="s">
        <v>41</v>
      </c>
      <c r="D118" s="58">
        <v>45891</v>
      </c>
      <c r="E118" s="51" t="s">
        <v>22</v>
      </c>
      <c r="F118" s="50" t="s">
        <v>52</v>
      </c>
      <c r="G118" s="52" t="s">
        <v>53</v>
      </c>
      <c r="H118" s="53">
        <v>1</v>
      </c>
      <c r="I118" s="54">
        <v>149</v>
      </c>
      <c r="J118" s="54">
        <v>20.03</v>
      </c>
      <c r="K118" s="54">
        <v>128.97</v>
      </c>
      <c r="L118" s="56" t="s">
        <v>89</v>
      </c>
    </row>
    <row r="119" spans="2:12" x14ac:dyDescent="0.25">
      <c r="B119" s="42" t="s">
        <v>272</v>
      </c>
      <c r="C119" s="42" t="s">
        <v>55</v>
      </c>
      <c r="D119" s="57">
        <v>45777</v>
      </c>
      <c r="E119" s="44" t="s">
        <v>47</v>
      </c>
      <c r="F119" s="43" t="s">
        <v>30</v>
      </c>
      <c r="G119" s="42" t="s">
        <v>152</v>
      </c>
      <c r="H119" s="45">
        <v>3</v>
      </c>
      <c r="I119" s="46">
        <v>4500</v>
      </c>
      <c r="J119" s="46">
        <v>80.239999999999995</v>
      </c>
      <c r="K119" s="46">
        <v>13419.76</v>
      </c>
      <c r="L119" s="48" t="s">
        <v>25</v>
      </c>
    </row>
    <row r="120" spans="2:12" x14ac:dyDescent="0.25">
      <c r="B120" s="49" t="s">
        <v>274</v>
      </c>
      <c r="C120" s="49" t="s">
        <v>55</v>
      </c>
      <c r="D120" s="58">
        <v>45795</v>
      </c>
      <c r="E120" s="51" t="s">
        <v>29</v>
      </c>
      <c r="F120" s="50" t="s">
        <v>52</v>
      </c>
      <c r="G120" s="52" t="s">
        <v>53</v>
      </c>
      <c r="H120" s="53">
        <v>5</v>
      </c>
      <c r="I120" s="54">
        <v>149</v>
      </c>
      <c r="J120" s="54">
        <v>108.92</v>
      </c>
      <c r="K120" s="54">
        <v>636.08000000000004</v>
      </c>
      <c r="L120" s="56" t="s">
        <v>89</v>
      </c>
    </row>
    <row r="121" spans="2:12" x14ac:dyDescent="0.25">
      <c r="B121" s="42" t="s">
        <v>276</v>
      </c>
      <c r="C121" s="42" t="s">
        <v>34</v>
      </c>
      <c r="D121" s="57">
        <v>45916</v>
      </c>
      <c r="E121" s="44" t="s">
        <v>29</v>
      </c>
      <c r="F121" s="43" t="s">
        <v>30</v>
      </c>
      <c r="G121" s="42" t="s">
        <v>152</v>
      </c>
      <c r="H121" s="45">
        <v>1</v>
      </c>
      <c r="I121" s="46">
        <v>4500</v>
      </c>
      <c r="J121" s="46">
        <v>0</v>
      </c>
      <c r="K121" s="46">
        <v>4500</v>
      </c>
      <c r="L121" s="48" t="s">
        <v>69</v>
      </c>
    </row>
    <row r="122" spans="2:12" x14ac:dyDescent="0.25">
      <c r="B122" s="49" t="s">
        <v>279</v>
      </c>
      <c r="C122" s="49" t="s">
        <v>37</v>
      </c>
      <c r="D122" s="58">
        <v>45893</v>
      </c>
      <c r="E122" s="51" t="s">
        <v>39</v>
      </c>
      <c r="F122" s="50" t="s">
        <v>23</v>
      </c>
      <c r="G122" s="52" t="s">
        <v>24</v>
      </c>
      <c r="H122" s="53">
        <v>5</v>
      </c>
      <c r="I122" s="54">
        <v>180</v>
      </c>
      <c r="J122" s="54">
        <v>0</v>
      </c>
      <c r="K122" s="54">
        <v>900</v>
      </c>
      <c r="L122" s="56" t="s">
        <v>89</v>
      </c>
    </row>
    <row r="123" spans="2:12" x14ac:dyDescent="0.25">
      <c r="B123" s="42" t="s">
        <v>281</v>
      </c>
      <c r="C123" s="42" t="s">
        <v>34</v>
      </c>
      <c r="D123" s="57">
        <v>45984</v>
      </c>
      <c r="E123" s="44" t="s">
        <v>39</v>
      </c>
      <c r="F123" s="43" t="s">
        <v>30</v>
      </c>
      <c r="G123" s="42" t="s">
        <v>152</v>
      </c>
      <c r="H123" s="45">
        <v>1</v>
      </c>
      <c r="I123" s="46">
        <v>4500</v>
      </c>
      <c r="J123" s="46">
        <v>0</v>
      </c>
      <c r="K123" s="46">
        <v>4500</v>
      </c>
      <c r="L123" s="48" t="s">
        <v>18</v>
      </c>
    </row>
    <row r="124" spans="2:12" x14ac:dyDescent="0.25">
      <c r="B124" s="49" t="s">
        <v>283</v>
      </c>
      <c r="C124" s="49" t="s">
        <v>71</v>
      </c>
      <c r="D124" s="58">
        <v>46032</v>
      </c>
      <c r="E124" s="51" t="s">
        <v>22</v>
      </c>
      <c r="F124" s="50" t="s">
        <v>30</v>
      </c>
      <c r="G124" s="52" t="s">
        <v>152</v>
      </c>
      <c r="H124" s="53">
        <v>4</v>
      </c>
      <c r="I124" s="54">
        <v>4500</v>
      </c>
      <c r="J124" s="54">
        <v>0</v>
      </c>
      <c r="K124" s="54">
        <v>18000</v>
      </c>
      <c r="L124" s="56" t="s">
        <v>32</v>
      </c>
    </row>
    <row r="125" spans="2:12" x14ac:dyDescent="0.25">
      <c r="B125" s="42" t="s">
        <v>285</v>
      </c>
      <c r="C125" s="42" t="s">
        <v>55</v>
      </c>
      <c r="D125" s="57">
        <v>45712</v>
      </c>
      <c r="E125" s="44" t="s">
        <v>47</v>
      </c>
      <c r="F125" s="43" t="s">
        <v>16</v>
      </c>
      <c r="G125" s="42" t="s">
        <v>78</v>
      </c>
      <c r="H125" s="45">
        <v>4</v>
      </c>
      <c r="I125" s="46">
        <v>59</v>
      </c>
      <c r="J125" s="46">
        <v>19.7</v>
      </c>
      <c r="K125" s="46">
        <v>216.3</v>
      </c>
      <c r="L125" s="48" t="s">
        <v>89</v>
      </c>
    </row>
    <row r="126" spans="2:12" x14ac:dyDescent="0.25">
      <c r="B126" s="49" t="s">
        <v>287</v>
      </c>
      <c r="C126" s="49" t="s">
        <v>101</v>
      </c>
      <c r="D126" s="58">
        <v>45744</v>
      </c>
      <c r="E126" s="51" t="s">
        <v>47</v>
      </c>
      <c r="F126" s="50" t="s">
        <v>23</v>
      </c>
      <c r="G126" s="52" t="s">
        <v>88</v>
      </c>
      <c r="H126" s="53">
        <v>4</v>
      </c>
      <c r="I126" s="54">
        <v>650</v>
      </c>
      <c r="J126" s="54">
        <v>376.18</v>
      </c>
      <c r="K126" s="54">
        <v>2223.8200000000002</v>
      </c>
      <c r="L126" s="56" t="s">
        <v>44</v>
      </c>
    </row>
    <row r="127" spans="2:12" x14ac:dyDescent="0.25">
      <c r="B127" s="42" t="s">
        <v>289</v>
      </c>
      <c r="C127" s="42" t="s">
        <v>20</v>
      </c>
      <c r="D127" s="57">
        <v>45884</v>
      </c>
      <c r="E127" s="44" t="s">
        <v>39</v>
      </c>
      <c r="F127" s="43" t="s">
        <v>30</v>
      </c>
      <c r="G127" s="42" t="s">
        <v>106</v>
      </c>
      <c r="H127" s="45">
        <v>4</v>
      </c>
      <c r="I127" s="46">
        <v>299</v>
      </c>
      <c r="J127" s="46">
        <v>157.84</v>
      </c>
      <c r="K127" s="46">
        <v>1038.1600000000001</v>
      </c>
      <c r="L127" s="48" t="s">
        <v>44</v>
      </c>
    </row>
    <row r="128" spans="2:12" x14ac:dyDescent="0.25">
      <c r="B128" s="49" t="s">
        <v>291</v>
      </c>
      <c r="C128" s="49" t="s">
        <v>95</v>
      </c>
      <c r="D128" s="58">
        <v>45785</v>
      </c>
      <c r="E128" s="51" t="s">
        <v>29</v>
      </c>
      <c r="F128" s="50" t="s">
        <v>23</v>
      </c>
      <c r="G128" s="52" t="s">
        <v>24</v>
      </c>
      <c r="H128" s="53">
        <v>4</v>
      </c>
      <c r="I128" s="54">
        <v>180</v>
      </c>
      <c r="J128" s="54">
        <v>0</v>
      </c>
      <c r="K128" s="54">
        <v>720</v>
      </c>
      <c r="L128" s="56" t="s">
        <v>69</v>
      </c>
    </row>
    <row r="129" spans="2:12" x14ac:dyDescent="0.25">
      <c r="B129" s="42" t="s">
        <v>293</v>
      </c>
      <c r="C129" s="42" t="s">
        <v>34</v>
      </c>
      <c r="D129" s="57">
        <v>45999</v>
      </c>
      <c r="E129" s="44" t="s">
        <v>29</v>
      </c>
      <c r="F129" s="43" t="s">
        <v>23</v>
      </c>
      <c r="G129" s="42" t="s">
        <v>48</v>
      </c>
      <c r="H129" s="45">
        <v>3</v>
      </c>
      <c r="I129" s="46">
        <v>450</v>
      </c>
      <c r="J129" s="46">
        <v>0</v>
      </c>
      <c r="K129" s="46">
        <v>1350</v>
      </c>
      <c r="L129" s="48" t="s">
        <v>69</v>
      </c>
    </row>
    <row r="130" spans="2:12" x14ac:dyDescent="0.25">
      <c r="B130" s="49" t="s">
        <v>295</v>
      </c>
      <c r="C130" s="49" t="s">
        <v>71</v>
      </c>
      <c r="D130" s="58">
        <v>46041</v>
      </c>
      <c r="E130" s="51" t="s">
        <v>47</v>
      </c>
      <c r="F130" s="50" t="s">
        <v>16</v>
      </c>
      <c r="G130" s="52" t="s">
        <v>78</v>
      </c>
      <c r="H130" s="53">
        <v>1</v>
      </c>
      <c r="I130" s="54">
        <v>59</v>
      </c>
      <c r="J130" s="54">
        <v>0</v>
      </c>
      <c r="K130" s="54">
        <v>59</v>
      </c>
      <c r="L130" s="56" t="s">
        <v>18</v>
      </c>
    </row>
    <row r="131" spans="2:12" x14ac:dyDescent="0.25">
      <c r="B131" s="42" t="s">
        <v>297</v>
      </c>
      <c r="C131" s="42" t="s">
        <v>27</v>
      </c>
      <c r="D131" s="57">
        <v>45697</v>
      </c>
      <c r="E131" s="44" t="s">
        <v>29</v>
      </c>
      <c r="F131" s="43" t="s">
        <v>52</v>
      </c>
      <c r="G131" s="42" t="s">
        <v>61</v>
      </c>
      <c r="H131" s="45">
        <v>5</v>
      </c>
      <c r="I131" s="46">
        <v>199</v>
      </c>
      <c r="J131" s="46">
        <v>0</v>
      </c>
      <c r="K131" s="46">
        <v>995</v>
      </c>
      <c r="L131" s="48" t="s">
        <v>65</v>
      </c>
    </row>
    <row r="132" spans="2:12" x14ac:dyDescent="0.25">
      <c r="B132" s="49" t="s">
        <v>299</v>
      </c>
      <c r="C132" s="49" t="s">
        <v>27</v>
      </c>
      <c r="D132" s="58">
        <v>45901</v>
      </c>
      <c r="E132" s="51" t="s">
        <v>22</v>
      </c>
      <c r="F132" s="50" t="s">
        <v>52</v>
      </c>
      <c r="G132" s="52" t="s">
        <v>61</v>
      </c>
      <c r="H132" s="53">
        <v>5</v>
      </c>
      <c r="I132" s="54">
        <v>199</v>
      </c>
      <c r="J132" s="54">
        <v>0</v>
      </c>
      <c r="K132" s="54">
        <v>995</v>
      </c>
      <c r="L132" s="56" t="s">
        <v>65</v>
      </c>
    </row>
    <row r="133" spans="2:12" x14ac:dyDescent="0.25">
      <c r="B133" s="42" t="s">
        <v>300</v>
      </c>
      <c r="C133" s="42" t="s">
        <v>101</v>
      </c>
      <c r="D133" s="57">
        <v>45732</v>
      </c>
      <c r="E133" s="44" t="s">
        <v>39</v>
      </c>
      <c r="F133" s="43" t="s">
        <v>23</v>
      </c>
      <c r="G133" s="42" t="s">
        <v>24</v>
      </c>
      <c r="H133" s="45">
        <v>2</v>
      </c>
      <c r="I133" s="46">
        <v>180</v>
      </c>
      <c r="J133" s="46">
        <v>0</v>
      </c>
      <c r="K133" s="46">
        <v>360</v>
      </c>
      <c r="L133" s="48" t="s">
        <v>89</v>
      </c>
    </row>
    <row r="134" spans="2:12" x14ac:dyDescent="0.25">
      <c r="B134" s="49" t="s">
        <v>302</v>
      </c>
      <c r="C134" s="49" t="s">
        <v>110</v>
      </c>
      <c r="D134" s="58">
        <v>45724</v>
      </c>
      <c r="E134" s="51" t="s">
        <v>47</v>
      </c>
      <c r="F134" s="50" t="s">
        <v>30</v>
      </c>
      <c r="G134" s="52" t="s">
        <v>31</v>
      </c>
      <c r="H134" s="53">
        <v>4</v>
      </c>
      <c r="I134" s="54">
        <v>2500</v>
      </c>
      <c r="J134" s="54">
        <v>1423.65</v>
      </c>
      <c r="K134" s="54">
        <v>8576.35</v>
      </c>
      <c r="L134" s="56" t="s">
        <v>69</v>
      </c>
    </row>
    <row r="135" spans="2:12" x14ac:dyDescent="0.25">
      <c r="B135" s="42" t="s">
        <v>303</v>
      </c>
      <c r="C135" s="42" t="s">
        <v>27</v>
      </c>
      <c r="D135" s="57">
        <v>46016</v>
      </c>
      <c r="E135" s="44" t="s">
        <v>47</v>
      </c>
      <c r="F135" s="43" t="s">
        <v>52</v>
      </c>
      <c r="G135" s="42" t="s">
        <v>99</v>
      </c>
      <c r="H135" s="45">
        <v>2</v>
      </c>
      <c r="I135" s="46">
        <v>79</v>
      </c>
      <c r="J135" s="46">
        <v>0</v>
      </c>
      <c r="K135" s="46">
        <v>158</v>
      </c>
      <c r="L135" s="48" t="s">
        <v>49</v>
      </c>
    </row>
    <row r="136" spans="2:12" x14ac:dyDescent="0.25">
      <c r="B136" s="49" t="s">
        <v>305</v>
      </c>
      <c r="C136" s="49" t="s">
        <v>13</v>
      </c>
      <c r="D136" s="58">
        <v>45919</v>
      </c>
      <c r="E136" s="51" t="s">
        <v>47</v>
      </c>
      <c r="F136" s="50" t="s">
        <v>16</v>
      </c>
      <c r="G136" s="52" t="s">
        <v>17</v>
      </c>
      <c r="H136" s="53">
        <v>2</v>
      </c>
      <c r="I136" s="54">
        <v>39</v>
      </c>
      <c r="J136" s="54">
        <v>4.08</v>
      </c>
      <c r="K136" s="54">
        <v>73.92</v>
      </c>
      <c r="L136" s="56" t="s">
        <v>25</v>
      </c>
    </row>
    <row r="137" spans="2:12" x14ac:dyDescent="0.25">
      <c r="B137" s="42" t="s">
        <v>306</v>
      </c>
      <c r="C137" s="42" t="s">
        <v>95</v>
      </c>
      <c r="D137" s="57">
        <v>45822</v>
      </c>
      <c r="E137" s="44" t="s">
        <v>29</v>
      </c>
      <c r="F137" s="43" t="s">
        <v>16</v>
      </c>
      <c r="G137" s="42" t="s">
        <v>78</v>
      </c>
      <c r="H137" s="45">
        <v>1</v>
      </c>
      <c r="I137" s="46">
        <v>59</v>
      </c>
      <c r="J137" s="46">
        <v>0.08</v>
      </c>
      <c r="K137" s="46">
        <v>58.92</v>
      </c>
      <c r="L137" s="48" t="s">
        <v>49</v>
      </c>
    </row>
    <row r="138" spans="2:12" x14ac:dyDescent="0.25">
      <c r="B138" s="49" t="s">
        <v>308</v>
      </c>
      <c r="C138" s="49" t="s">
        <v>27</v>
      </c>
      <c r="D138" s="58">
        <v>45868</v>
      </c>
      <c r="E138" s="51" t="s">
        <v>39</v>
      </c>
      <c r="F138" s="50" t="s">
        <v>16</v>
      </c>
      <c r="G138" s="52" t="s">
        <v>78</v>
      </c>
      <c r="H138" s="53">
        <v>5</v>
      </c>
      <c r="I138" s="54">
        <v>59</v>
      </c>
      <c r="J138" s="54">
        <v>4.67</v>
      </c>
      <c r="K138" s="54">
        <v>290.33</v>
      </c>
      <c r="L138" s="56" t="s">
        <v>49</v>
      </c>
    </row>
    <row r="139" spans="2:12" x14ac:dyDescent="0.25">
      <c r="B139" s="42" t="s">
        <v>310</v>
      </c>
      <c r="C139" s="42" t="s">
        <v>71</v>
      </c>
      <c r="D139" s="57">
        <v>46002</v>
      </c>
      <c r="E139" s="44" t="s">
        <v>47</v>
      </c>
      <c r="F139" s="43" t="s">
        <v>30</v>
      </c>
      <c r="G139" s="42" t="s">
        <v>68</v>
      </c>
      <c r="H139" s="45">
        <v>1</v>
      </c>
      <c r="I139" s="46">
        <v>799</v>
      </c>
      <c r="J139" s="46">
        <v>25.43</v>
      </c>
      <c r="K139" s="46">
        <v>773.57</v>
      </c>
      <c r="L139" s="48" t="s">
        <v>18</v>
      </c>
    </row>
    <row r="140" spans="2:12" x14ac:dyDescent="0.25">
      <c r="B140" s="49" t="s">
        <v>312</v>
      </c>
      <c r="C140" s="49" t="s">
        <v>71</v>
      </c>
      <c r="D140" s="58">
        <v>45906</v>
      </c>
      <c r="E140" s="51" t="s">
        <v>22</v>
      </c>
      <c r="F140" s="50" t="s">
        <v>16</v>
      </c>
      <c r="G140" s="52" t="s">
        <v>78</v>
      </c>
      <c r="H140" s="53">
        <v>3</v>
      </c>
      <c r="I140" s="54">
        <v>59</v>
      </c>
      <c r="J140" s="54">
        <v>0</v>
      </c>
      <c r="K140" s="54">
        <v>177</v>
      </c>
      <c r="L140" s="56" t="s">
        <v>18</v>
      </c>
    </row>
    <row r="141" spans="2:12" x14ac:dyDescent="0.25">
      <c r="B141" s="42" t="s">
        <v>313</v>
      </c>
      <c r="C141" s="42" t="s">
        <v>110</v>
      </c>
      <c r="D141" s="57">
        <v>45803</v>
      </c>
      <c r="E141" s="44" t="s">
        <v>47</v>
      </c>
      <c r="F141" s="43" t="s">
        <v>30</v>
      </c>
      <c r="G141" s="42" t="s">
        <v>68</v>
      </c>
      <c r="H141" s="45">
        <v>5</v>
      </c>
      <c r="I141" s="46">
        <v>799</v>
      </c>
      <c r="J141" s="46">
        <v>96.52</v>
      </c>
      <c r="K141" s="46">
        <v>3898.48</v>
      </c>
      <c r="L141" s="48" t="s">
        <v>69</v>
      </c>
    </row>
    <row r="142" spans="2:12" x14ac:dyDescent="0.25">
      <c r="B142" s="49" t="s">
        <v>315</v>
      </c>
      <c r="C142" s="49" t="s">
        <v>110</v>
      </c>
      <c r="D142" s="58">
        <v>46043</v>
      </c>
      <c r="E142" s="51" t="s">
        <v>39</v>
      </c>
      <c r="F142" s="50" t="s">
        <v>16</v>
      </c>
      <c r="G142" s="52" t="s">
        <v>78</v>
      </c>
      <c r="H142" s="53">
        <v>2</v>
      </c>
      <c r="I142" s="54">
        <v>59</v>
      </c>
      <c r="J142" s="54">
        <v>5.25</v>
      </c>
      <c r="K142" s="54">
        <v>112.75</v>
      </c>
      <c r="L142" s="56" t="s">
        <v>69</v>
      </c>
    </row>
    <row r="143" spans="2:12" x14ac:dyDescent="0.25">
      <c r="B143" s="42" t="s">
        <v>317</v>
      </c>
      <c r="C143" s="42" t="s">
        <v>63</v>
      </c>
      <c r="D143" s="57">
        <v>45717</v>
      </c>
      <c r="E143" s="44" t="s">
        <v>22</v>
      </c>
      <c r="F143" s="43" t="s">
        <v>16</v>
      </c>
      <c r="G143" s="42" t="s">
        <v>17</v>
      </c>
      <c r="H143" s="45">
        <v>4</v>
      </c>
      <c r="I143" s="46">
        <v>39</v>
      </c>
      <c r="J143" s="46">
        <v>0</v>
      </c>
      <c r="K143" s="46">
        <v>156</v>
      </c>
      <c r="L143" s="48" t="s">
        <v>32</v>
      </c>
    </row>
    <row r="144" spans="2:12" x14ac:dyDescent="0.25">
      <c r="B144" s="49" t="s">
        <v>319</v>
      </c>
      <c r="C144" s="49" t="s">
        <v>20</v>
      </c>
      <c r="D144" s="58">
        <v>46056</v>
      </c>
      <c r="E144" s="51" t="s">
        <v>22</v>
      </c>
      <c r="F144" s="50" t="s">
        <v>30</v>
      </c>
      <c r="G144" s="52" t="s">
        <v>31</v>
      </c>
      <c r="H144" s="53">
        <v>3</v>
      </c>
      <c r="I144" s="54">
        <v>2500</v>
      </c>
      <c r="J144" s="54">
        <v>0</v>
      </c>
      <c r="K144" s="54">
        <v>7500</v>
      </c>
      <c r="L144" s="56" t="s">
        <v>65</v>
      </c>
    </row>
    <row r="145" spans="2:12" x14ac:dyDescent="0.25">
      <c r="B145" s="42" t="s">
        <v>321</v>
      </c>
      <c r="C145" s="42" t="s">
        <v>71</v>
      </c>
      <c r="D145" s="57">
        <v>45972</v>
      </c>
      <c r="E145" s="44" t="s">
        <v>22</v>
      </c>
      <c r="F145" s="43" t="s">
        <v>52</v>
      </c>
      <c r="G145" s="42" t="s">
        <v>75</v>
      </c>
      <c r="H145" s="45">
        <v>2</v>
      </c>
      <c r="I145" s="46">
        <v>249</v>
      </c>
      <c r="J145" s="46">
        <v>0</v>
      </c>
      <c r="K145" s="46">
        <v>498</v>
      </c>
      <c r="L145" s="48" t="s">
        <v>69</v>
      </c>
    </row>
    <row r="146" spans="2:12" x14ac:dyDescent="0.25">
      <c r="B146" s="49" t="s">
        <v>322</v>
      </c>
      <c r="C146" s="49" t="s">
        <v>55</v>
      </c>
      <c r="D146" s="58">
        <v>45858</v>
      </c>
      <c r="E146" s="51" t="s">
        <v>22</v>
      </c>
      <c r="F146" s="50" t="s">
        <v>30</v>
      </c>
      <c r="G146" s="52" t="s">
        <v>68</v>
      </c>
      <c r="H146" s="53">
        <v>1</v>
      </c>
      <c r="I146" s="54">
        <v>799</v>
      </c>
      <c r="J146" s="54">
        <v>67.239999999999995</v>
      </c>
      <c r="K146" s="54">
        <v>731.76</v>
      </c>
      <c r="L146" s="56" t="s">
        <v>32</v>
      </c>
    </row>
    <row r="147" spans="2:12" x14ac:dyDescent="0.25">
      <c r="B147" s="42" t="s">
        <v>324</v>
      </c>
      <c r="C147" s="42" t="s">
        <v>101</v>
      </c>
      <c r="D147" s="57">
        <v>46034</v>
      </c>
      <c r="E147" s="44" t="s">
        <v>39</v>
      </c>
      <c r="F147" s="43" t="s">
        <v>23</v>
      </c>
      <c r="G147" s="42" t="s">
        <v>24</v>
      </c>
      <c r="H147" s="45">
        <v>5</v>
      </c>
      <c r="I147" s="46">
        <v>180</v>
      </c>
      <c r="J147" s="46">
        <v>0</v>
      </c>
      <c r="K147" s="46">
        <v>900</v>
      </c>
      <c r="L147" s="48" t="s">
        <v>49</v>
      </c>
    </row>
    <row r="148" spans="2:12" x14ac:dyDescent="0.25">
      <c r="B148" s="49" t="s">
        <v>326</v>
      </c>
      <c r="C148" s="49" t="s">
        <v>110</v>
      </c>
      <c r="D148" s="58">
        <v>45955</v>
      </c>
      <c r="E148" s="51" t="s">
        <v>22</v>
      </c>
      <c r="F148" s="50" t="s">
        <v>23</v>
      </c>
      <c r="G148" s="52" t="s">
        <v>24</v>
      </c>
      <c r="H148" s="53">
        <v>4</v>
      </c>
      <c r="I148" s="54">
        <v>180</v>
      </c>
      <c r="J148" s="54">
        <v>86.29</v>
      </c>
      <c r="K148" s="54">
        <v>633.71</v>
      </c>
      <c r="L148" s="56" t="s">
        <v>18</v>
      </c>
    </row>
    <row r="149" spans="2:12" x14ac:dyDescent="0.25">
      <c r="B149" s="42" t="s">
        <v>328</v>
      </c>
      <c r="C149" s="42" t="s">
        <v>34</v>
      </c>
      <c r="D149" s="57">
        <v>46036</v>
      </c>
      <c r="E149" s="44" t="s">
        <v>22</v>
      </c>
      <c r="F149" s="43" t="s">
        <v>16</v>
      </c>
      <c r="G149" s="42" t="s">
        <v>78</v>
      </c>
      <c r="H149" s="45">
        <v>1</v>
      </c>
      <c r="I149" s="46">
        <v>59</v>
      </c>
      <c r="J149" s="46">
        <v>5.81</v>
      </c>
      <c r="K149" s="46">
        <v>53.19</v>
      </c>
      <c r="L149" s="48" t="s">
        <v>25</v>
      </c>
    </row>
    <row r="150" spans="2:12" x14ac:dyDescent="0.25">
      <c r="B150" s="49" t="s">
        <v>330</v>
      </c>
      <c r="C150" s="49" t="s">
        <v>13</v>
      </c>
      <c r="D150" s="58">
        <v>45854</v>
      </c>
      <c r="E150" s="51" t="s">
        <v>15</v>
      </c>
      <c r="F150" s="50" t="s">
        <v>52</v>
      </c>
      <c r="G150" s="52" t="s">
        <v>75</v>
      </c>
      <c r="H150" s="53">
        <v>3</v>
      </c>
      <c r="I150" s="54">
        <v>249</v>
      </c>
      <c r="J150" s="54">
        <v>0</v>
      </c>
      <c r="K150" s="54">
        <v>747</v>
      </c>
      <c r="L150" s="56" t="s">
        <v>44</v>
      </c>
    </row>
    <row r="151" spans="2:12" x14ac:dyDescent="0.25">
      <c r="B151" s="42" t="s">
        <v>332</v>
      </c>
      <c r="C151" s="42" t="s">
        <v>13</v>
      </c>
      <c r="D151" s="57">
        <v>45870</v>
      </c>
      <c r="E151" s="44" t="s">
        <v>29</v>
      </c>
      <c r="F151" s="43" t="s">
        <v>52</v>
      </c>
      <c r="G151" s="42" t="s">
        <v>75</v>
      </c>
      <c r="H151" s="45">
        <v>5</v>
      </c>
      <c r="I151" s="46">
        <v>249</v>
      </c>
      <c r="J151" s="46">
        <v>107.03</v>
      </c>
      <c r="K151" s="46">
        <v>1137.97</v>
      </c>
      <c r="L151" s="48" t="s">
        <v>49</v>
      </c>
    </row>
    <row r="152" spans="2:12" x14ac:dyDescent="0.25">
      <c r="B152" s="49" t="s">
        <v>333</v>
      </c>
      <c r="C152" s="49" t="s">
        <v>71</v>
      </c>
      <c r="D152" s="58">
        <v>45920</v>
      </c>
      <c r="E152" s="51" t="s">
        <v>39</v>
      </c>
      <c r="F152" s="50" t="s">
        <v>16</v>
      </c>
      <c r="G152" s="52" t="s">
        <v>78</v>
      </c>
      <c r="H152" s="53">
        <v>5</v>
      </c>
      <c r="I152" s="54">
        <v>59</v>
      </c>
      <c r="J152" s="54">
        <v>0</v>
      </c>
      <c r="K152" s="54">
        <v>295</v>
      </c>
      <c r="L152" s="56" t="s">
        <v>44</v>
      </c>
    </row>
    <row r="153" spans="2:12" x14ac:dyDescent="0.25">
      <c r="B153" s="42" t="s">
        <v>334</v>
      </c>
      <c r="C153" s="42" t="s">
        <v>34</v>
      </c>
      <c r="D153" s="57">
        <v>45805</v>
      </c>
      <c r="E153" s="44" t="s">
        <v>15</v>
      </c>
      <c r="F153" s="43" t="s">
        <v>16</v>
      </c>
      <c r="G153" s="42" t="s">
        <v>78</v>
      </c>
      <c r="H153" s="45">
        <v>3</v>
      </c>
      <c r="I153" s="46">
        <v>59</v>
      </c>
      <c r="J153" s="46">
        <v>0</v>
      </c>
      <c r="K153" s="46">
        <v>177</v>
      </c>
      <c r="L153" s="48" t="s">
        <v>25</v>
      </c>
    </row>
    <row r="154" spans="2:12" x14ac:dyDescent="0.25">
      <c r="B154" s="49" t="s">
        <v>335</v>
      </c>
      <c r="C154" s="49" t="s">
        <v>101</v>
      </c>
      <c r="D154" s="58">
        <v>45696</v>
      </c>
      <c r="E154" s="51" t="s">
        <v>39</v>
      </c>
      <c r="F154" s="50" t="s">
        <v>23</v>
      </c>
      <c r="G154" s="52" t="s">
        <v>24</v>
      </c>
      <c r="H154" s="53">
        <v>4</v>
      </c>
      <c r="I154" s="54">
        <v>180</v>
      </c>
      <c r="J154" s="54">
        <v>0</v>
      </c>
      <c r="K154" s="54">
        <v>720</v>
      </c>
      <c r="L154" s="56" t="s">
        <v>32</v>
      </c>
    </row>
    <row r="155" spans="2:12" x14ac:dyDescent="0.25">
      <c r="B155" s="42" t="s">
        <v>337</v>
      </c>
      <c r="C155" s="42" t="s">
        <v>55</v>
      </c>
      <c r="D155" s="57">
        <v>45661</v>
      </c>
      <c r="E155" s="44" t="s">
        <v>22</v>
      </c>
      <c r="F155" s="43" t="s">
        <v>23</v>
      </c>
      <c r="G155" s="42" t="s">
        <v>48</v>
      </c>
      <c r="H155" s="45">
        <v>5</v>
      </c>
      <c r="I155" s="46">
        <v>450</v>
      </c>
      <c r="J155" s="46">
        <v>0</v>
      </c>
      <c r="K155" s="46">
        <v>2250</v>
      </c>
      <c r="L155" s="48" t="s">
        <v>65</v>
      </c>
    </row>
    <row r="156" spans="2:12" x14ac:dyDescent="0.25">
      <c r="B156" s="49" t="s">
        <v>339</v>
      </c>
      <c r="C156" s="49" t="s">
        <v>110</v>
      </c>
      <c r="D156" s="58">
        <v>45690</v>
      </c>
      <c r="E156" s="51" t="s">
        <v>22</v>
      </c>
      <c r="F156" s="50" t="s">
        <v>16</v>
      </c>
      <c r="G156" s="52" t="s">
        <v>78</v>
      </c>
      <c r="H156" s="53">
        <v>4</v>
      </c>
      <c r="I156" s="54">
        <v>59</v>
      </c>
      <c r="J156" s="54">
        <v>12.92</v>
      </c>
      <c r="K156" s="54">
        <v>223.08</v>
      </c>
      <c r="L156" s="56" t="s">
        <v>44</v>
      </c>
    </row>
    <row r="157" spans="2:12" x14ac:dyDescent="0.25">
      <c r="B157" s="42" t="s">
        <v>341</v>
      </c>
      <c r="C157" s="42" t="s">
        <v>34</v>
      </c>
      <c r="D157" s="57">
        <v>45973</v>
      </c>
      <c r="E157" s="44" t="s">
        <v>47</v>
      </c>
      <c r="F157" s="43" t="s">
        <v>23</v>
      </c>
      <c r="G157" s="42" t="s">
        <v>48</v>
      </c>
      <c r="H157" s="45">
        <v>2</v>
      </c>
      <c r="I157" s="46">
        <v>450</v>
      </c>
      <c r="J157" s="46">
        <v>3.64</v>
      </c>
      <c r="K157" s="46">
        <v>896.36</v>
      </c>
      <c r="L157" s="48" t="s">
        <v>44</v>
      </c>
    </row>
    <row r="158" spans="2:12" x14ac:dyDescent="0.25">
      <c r="B158" s="49" t="s">
        <v>343</v>
      </c>
      <c r="C158" s="49" t="s">
        <v>110</v>
      </c>
      <c r="D158" s="58">
        <v>45801</v>
      </c>
      <c r="E158" s="51" t="s">
        <v>15</v>
      </c>
      <c r="F158" s="50" t="s">
        <v>23</v>
      </c>
      <c r="G158" s="52" t="s">
        <v>24</v>
      </c>
      <c r="H158" s="53">
        <v>4</v>
      </c>
      <c r="I158" s="54">
        <v>180</v>
      </c>
      <c r="J158" s="54">
        <v>59.67</v>
      </c>
      <c r="K158" s="54">
        <v>660.33</v>
      </c>
      <c r="L158" s="56" t="s">
        <v>44</v>
      </c>
    </row>
    <row r="159" spans="2:12" x14ac:dyDescent="0.25">
      <c r="B159" s="42" t="s">
        <v>345</v>
      </c>
      <c r="C159" s="42" t="s">
        <v>34</v>
      </c>
      <c r="D159" s="57">
        <v>46016</v>
      </c>
      <c r="E159" s="44" t="s">
        <v>15</v>
      </c>
      <c r="F159" s="43" t="s">
        <v>16</v>
      </c>
      <c r="G159" s="42" t="s">
        <v>17</v>
      </c>
      <c r="H159" s="45">
        <v>5</v>
      </c>
      <c r="I159" s="46">
        <v>39</v>
      </c>
      <c r="J159" s="46">
        <v>0</v>
      </c>
      <c r="K159" s="46">
        <v>195</v>
      </c>
      <c r="L159" s="48" t="s">
        <v>18</v>
      </c>
    </row>
    <row r="160" spans="2:12" x14ac:dyDescent="0.25">
      <c r="B160" s="49" t="s">
        <v>347</v>
      </c>
      <c r="C160" s="49" t="s">
        <v>37</v>
      </c>
      <c r="D160" s="58">
        <v>45862</v>
      </c>
      <c r="E160" s="51" t="s">
        <v>22</v>
      </c>
      <c r="F160" s="50" t="s">
        <v>16</v>
      </c>
      <c r="G160" s="52" t="s">
        <v>116</v>
      </c>
      <c r="H160" s="53">
        <v>5</v>
      </c>
      <c r="I160" s="54">
        <v>45</v>
      </c>
      <c r="J160" s="54">
        <v>13.93</v>
      </c>
      <c r="K160" s="54">
        <v>211.07</v>
      </c>
      <c r="L160" s="56" t="s">
        <v>32</v>
      </c>
    </row>
    <row r="161" spans="2:12" x14ac:dyDescent="0.25">
      <c r="B161" s="42" t="s">
        <v>348</v>
      </c>
      <c r="C161" s="42" t="s">
        <v>41</v>
      </c>
      <c r="D161" s="57">
        <v>45939</v>
      </c>
      <c r="E161" s="44" t="s">
        <v>15</v>
      </c>
      <c r="F161" s="43" t="s">
        <v>23</v>
      </c>
      <c r="G161" s="42" t="s">
        <v>43</v>
      </c>
      <c r="H161" s="45">
        <v>3</v>
      </c>
      <c r="I161" s="46">
        <v>350</v>
      </c>
      <c r="J161" s="46">
        <v>0</v>
      </c>
      <c r="K161" s="46">
        <v>1050</v>
      </c>
      <c r="L161" s="48" t="s">
        <v>89</v>
      </c>
    </row>
    <row r="162" spans="2:12" x14ac:dyDescent="0.25">
      <c r="B162" s="49" t="s">
        <v>350</v>
      </c>
      <c r="C162" s="49" t="s">
        <v>71</v>
      </c>
      <c r="D162" s="58">
        <v>46023</v>
      </c>
      <c r="E162" s="51" t="s">
        <v>39</v>
      </c>
      <c r="F162" s="50" t="s">
        <v>30</v>
      </c>
      <c r="G162" s="52" t="s">
        <v>106</v>
      </c>
      <c r="H162" s="53">
        <v>3</v>
      </c>
      <c r="I162" s="54">
        <v>299</v>
      </c>
      <c r="J162" s="54">
        <v>116.55</v>
      </c>
      <c r="K162" s="54">
        <v>780.45</v>
      </c>
      <c r="L162" s="56" t="s">
        <v>65</v>
      </c>
    </row>
    <row r="163" spans="2:12" x14ac:dyDescent="0.25">
      <c r="B163" s="42" t="s">
        <v>351</v>
      </c>
      <c r="C163" s="42" t="s">
        <v>13</v>
      </c>
      <c r="D163" s="57">
        <v>45785</v>
      </c>
      <c r="E163" s="44" t="s">
        <v>29</v>
      </c>
      <c r="F163" s="43" t="s">
        <v>23</v>
      </c>
      <c r="G163" s="42" t="s">
        <v>88</v>
      </c>
      <c r="H163" s="45">
        <v>3</v>
      </c>
      <c r="I163" s="46">
        <v>650</v>
      </c>
      <c r="J163" s="46">
        <v>0</v>
      </c>
      <c r="K163" s="46">
        <v>1950</v>
      </c>
      <c r="L163" s="48" t="s">
        <v>44</v>
      </c>
    </row>
    <row r="164" spans="2:12" x14ac:dyDescent="0.25">
      <c r="B164" s="49" t="s">
        <v>352</v>
      </c>
      <c r="C164" s="49" t="s">
        <v>27</v>
      </c>
      <c r="D164" s="58">
        <v>45774</v>
      </c>
      <c r="E164" s="51" t="s">
        <v>47</v>
      </c>
      <c r="F164" s="50" t="s">
        <v>23</v>
      </c>
      <c r="G164" s="52" t="s">
        <v>88</v>
      </c>
      <c r="H164" s="53">
        <v>4</v>
      </c>
      <c r="I164" s="54">
        <v>650</v>
      </c>
      <c r="J164" s="54">
        <v>0</v>
      </c>
      <c r="K164" s="54">
        <v>2600</v>
      </c>
      <c r="L164" s="56" t="s">
        <v>69</v>
      </c>
    </row>
    <row r="165" spans="2:12" x14ac:dyDescent="0.25">
      <c r="B165" s="42" t="s">
        <v>354</v>
      </c>
      <c r="C165" s="42" t="s">
        <v>63</v>
      </c>
      <c r="D165" s="57">
        <v>45895</v>
      </c>
      <c r="E165" s="44" t="s">
        <v>39</v>
      </c>
      <c r="F165" s="43" t="s">
        <v>52</v>
      </c>
      <c r="G165" s="42" t="s">
        <v>53</v>
      </c>
      <c r="H165" s="45">
        <v>4</v>
      </c>
      <c r="I165" s="46">
        <v>149</v>
      </c>
      <c r="J165" s="46">
        <v>11.44</v>
      </c>
      <c r="K165" s="46">
        <v>584.55999999999995</v>
      </c>
      <c r="L165" s="48" t="s">
        <v>18</v>
      </c>
    </row>
    <row r="166" spans="2:12" x14ac:dyDescent="0.25">
      <c r="B166" s="49" t="s">
        <v>356</v>
      </c>
      <c r="C166" s="49" t="s">
        <v>34</v>
      </c>
      <c r="D166" s="58">
        <v>45870</v>
      </c>
      <c r="E166" s="51" t="s">
        <v>22</v>
      </c>
      <c r="F166" s="50" t="s">
        <v>16</v>
      </c>
      <c r="G166" s="52" t="s">
        <v>17</v>
      </c>
      <c r="H166" s="53">
        <v>5</v>
      </c>
      <c r="I166" s="54">
        <v>39</v>
      </c>
      <c r="J166" s="54">
        <v>16.809999999999999</v>
      </c>
      <c r="K166" s="54">
        <v>178.19</v>
      </c>
      <c r="L166" s="56" t="s">
        <v>69</v>
      </c>
    </row>
    <row r="167" spans="2:12" x14ac:dyDescent="0.25">
      <c r="B167" s="42" t="s">
        <v>357</v>
      </c>
      <c r="C167" s="42" t="s">
        <v>20</v>
      </c>
      <c r="D167" s="57">
        <v>45884</v>
      </c>
      <c r="E167" s="44" t="s">
        <v>47</v>
      </c>
      <c r="F167" s="43" t="s">
        <v>23</v>
      </c>
      <c r="G167" s="42" t="s">
        <v>24</v>
      </c>
      <c r="H167" s="45">
        <v>1</v>
      </c>
      <c r="I167" s="46">
        <v>180</v>
      </c>
      <c r="J167" s="46">
        <v>26.03</v>
      </c>
      <c r="K167" s="46">
        <v>153.97</v>
      </c>
      <c r="L167" s="48" t="s">
        <v>65</v>
      </c>
    </row>
    <row r="168" spans="2:12" x14ac:dyDescent="0.25">
      <c r="B168" s="49" t="s">
        <v>358</v>
      </c>
      <c r="C168" s="49" t="s">
        <v>71</v>
      </c>
      <c r="D168" s="58">
        <v>45996</v>
      </c>
      <c r="E168" s="51" t="s">
        <v>15</v>
      </c>
      <c r="F168" s="50" t="s">
        <v>23</v>
      </c>
      <c r="G168" s="52" t="s">
        <v>48</v>
      </c>
      <c r="H168" s="53">
        <v>2</v>
      </c>
      <c r="I168" s="54">
        <v>450</v>
      </c>
      <c r="J168" s="54">
        <v>0</v>
      </c>
      <c r="K168" s="54">
        <v>900</v>
      </c>
      <c r="L168" s="56" t="s">
        <v>89</v>
      </c>
    </row>
    <row r="169" spans="2:12" x14ac:dyDescent="0.25">
      <c r="B169" s="42" t="s">
        <v>359</v>
      </c>
      <c r="C169" s="42" t="s">
        <v>55</v>
      </c>
      <c r="D169" s="57">
        <v>45778</v>
      </c>
      <c r="E169" s="44" t="s">
        <v>47</v>
      </c>
      <c r="F169" s="43" t="s">
        <v>23</v>
      </c>
      <c r="G169" s="42" t="s">
        <v>43</v>
      </c>
      <c r="H169" s="45">
        <v>4</v>
      </c>
      <c r="I169" s="46">
        <v>350</v>
      </c>
      <c r="J169" s="46">
        <v>201.95</v>
      </c>
      <c r="K169" s="46">
        <v>1198.05</v>
      </c>
      <c r="L169" s="48" t="s">
        <v>89</v>
      </c>
    </row>
    <row r="170" spans="2:12" x14ac:dyDescent="0.25">
      <c r="B170" s="49" t="s">
        <v>361</v>
      </c>
      <c r="C170" s="49" t="s">
        <v>27</v>
      </c>
      <c r="D170" s="58">
        <v>45980</v>
      </c>
      <c r="E170" s="51" t="s">
        <v>47</v>
      </c>
      <c r="F170" s="50" t="s">
        <v>23</v>
      </c>
      <c r="G170" s="52" t="s">
        <v>43</v>
      </c>
      <c r="H170" s="53">
        <v>1</v>
      </c>
      <c r="I170" s="54">
        <v>350</v>
      </c>
      <c r="J170" s="54">
        <v>20.440000000000001</v>
      </c>
      <c r="K170" s="54">
        <v>329.56</v>
      </c>
      <c r="L170" s="56" t="s">
        <v>49</v>
      </c>
    </row>
    <row r="171" spans="2:12" x14ac:dyDescent="0.25">
      <c r="B171" s="42" t="s">
        <v>363</v>
      </c>
      <c r="C171" s="42" t="s">
        <v>27</v>
      </c>
      <c r="D171" s="57">
        <v>45838</v>
      </c>
      <c r="E171" s="44" t="s">
        <v>29</v>
      </c>
      <c r="F171" s="43" t="s">
        <v>23</v>
      </c>
      <c r="G171" s="42" t="s">
        <v>24</v>
      </c>
      <c r="H171" s="45">
        <v>4</v>
      </c>
      <c r="I171" s="46">
        <v>180</v>
      </c>
      <c r="J171" s="46">
        <v>20.52</v>
      </c>
      <c r="K171" s="46">
        <v>699.48</v>
      </c>
      <c r="L171" s="48" t="s">
        <v>25</v>
      </c>
    </row>
    <row r="172" spans="2:12" x14ac:dyDescent="0.25">
      <c r="B172" s="49" t="s">
        <v>365</v>
      </c>
      <c r="C172" s="49" t="s">
        <v>37</v>
      </c>
      <c r="D172" s="58">
        <v>45806</v>
      </c>
      <c r="E172" s="51" t="s">
        <v>15</v>
      </c>
      <c r="F172" s="50" t="s">
        <v>16</v>
      </c>
      <c r="G172" s="52" t="s">
        <v>17</v>
      </c>
      <c r="H172" s="53">
        <v>5</v>
      </c>
      <c r="I172" s="54">
        <v>39</v>
      </c>
      <c r="J172" s="54">
        <v>25.57</v>
      </c>
      <c r="K172" s="54">
        <v>169.43</v>
      </c>
      <c r="L172" s="56" t="s">
        <v>69</v>
      </c>
    </row>
    <row r="173" spans="2:12" x14ac:dyDescent="0.25">
      <c r="B173" s="42" t="s">
        <v>367</v>
      </c>
      <c r="C173" s="42" t="s">
        <v>101</v>
      </c>
      <c r="D173" s="57">
        <v>45673</v>
      </c>
      <c r="E173" s="44" t="s">
        <v>29</v>
      </c>
      <c r="F173" s="43" t="s">
        <v>16</v>
      </c>
      <c r="G173" s="42" t="s">
        <v>78</v>
      </c>
      <c r="H173" s="45">
        <v>3</v>
      </c>
      <c r="I173" s="46">
        <v>59</v>
      </c>
      <c r="J173" s="46">
        <v>0</v>
      </c>
      <c r="K173" s="46">
        <v>177</v>
      </c>
      <c r="L173" s="48" t="s">
        <v>65</v>
      </c>
    </row>
    <row r="174" spans="2:12" x14ac:dyDescent="0.25">
      <c r="B174" s="49" t="s">
        <v>369</v>
      </c>
      <c r="C174" s="49" t="s">
        <v>37</v>
      </c>
      <c r="D174" s="58">
        <v>45813</v>
      </c>
      <c r="E174" s="51" t="s">
        <v>47</v>
      </c>
      <c r="F174" s="50" t="s">
        <v>16</v>
      </c>
      <c r="G174" s="52" t="s">
        <v>103</v>
      </c>
      <c r="H174" s="53">
        <v>5</v>
      </c>
      <c r="I174" s="54">
        <v>89</v>
      </c>
      <c r="J174" s="54">
        <v>16.420000000000002</v>
      </c>
      <c r="K174" s="54">
        <v>428.58</v>
      </c>
      <c r="L174" s="56" t="s">
        <v>49</v>
      </c>
    </row>
    <row r="175" spans="2:12" x14ac:dyDescent="0.25">
      <c r="B175" s="42" t="s">
        <v>370</v>
      </c>
      <c r="C175" s="42" t="s">
        <v>71</v>
      </c>
      <c r="D175" s="57">
        <v>46007</v>
      </c>
      <c r="E175" s="44" t="s">
        <v>29</v>
      </c>
      <c r="F175" s="43" t="s">
        <v>16</v>
      </c>
      <c r="G175" s="42" t="s">
        <v>116</v>
      </c>
      <c r="H175" s="45">
        <v>5</v>
      </c>
      <c r="I175" s="46">
        <v>45</v>
      </c>
      <c r="J175" s="46">
        <v>4.8099999999999996</v>
      </c>
      <c r="K175" s="46">
        <v>220.19</v>
      </c>
      <c r="L175" s="48" t="s">
        <v>65</v>
      </c>
    </row>
    <row r="176" spans="2:12" x14ac:dyDescent="0.25">
      <c r="B176" s="49" t="s">
        <v>372</v>
      </c>
      <c r="C176" s="49" t="s">
        <v>27</v>
      </c>
      <c r="D176" s="58">
        <v>46024</v>
      </c>
      <c r="E176" s="51" t="s">
        <v>39</v>
      </c>
      <c r="F176" s="50" t="s">
        <v>30</v>
      </c>
      <c r="G176" s="52" t="s">
        <v>68</v>
      </c>
      <c r="H176" s="53">
        <v>2</v>
      </c>
      <c r="I176" s="54">
        <v>799</v>
      </c>
      <c r="J176" s="54">
        <v>0</v>
      </c>
      <c r="K176" s="54">
        <v>1598</v>
      </c>
      <c r="L176" s="56" t="s">
        <v>65</v>
      </c>
    </row>
    <row r="177" spans="2:12" x14ac:dyDescent="0.25">
      <c r="B177" s="42" t="s">
        <v>374</v>
      </c>
      <c r="C177" s="42" t="s">
        <v>101</v>
      </c>
      <c r="D177" s="57">
        <v>45684</v>
      </c>
      <c r="E177" s="44" t="s">
        <v>47</v>
      </c>
      <c r="F177" s="43" t="s">
        <v>16</v>
      </c>
      <c r="G177" s="42" t="s">
        <v>103</v>
      </c>
      <c r="H177" s="45">
        <v>3</v>
      </c>
      <c r="I177" s="46">
        <v>89</v>
      </c>
      <c r="J177" s="46">
        <v>0</v>
      </c>
      <c r="K177" s="46">
        <v>267</v>
      </c>
      <c r="L177" s="48" t="s">
        <v>89</v>
      </c>
    </row>
    <row r="178" spans="2:12" x14ac:dyDescent="0.25">
      <c r="B178" s="49" t="s">
        <v>375</v>
      </c>
      <c r="C178" s="49" t="s">
        <v>63</v>
      </c>
      <c r="D178" s="58">
        <v>45730</v>
      </c>
      <c r="E178" s="51" t="s">
        <v>15</v>
      </c>
      <c r="F178" s="50" t="s">
        <v>16</v>
      </c>
      <c r="G178" s="52" t="s">
        <v>17</v>
      </c>
      <c r="H178" s="53">
        <v>3</v>
      </c>
      <c r="I178" s="54">
        <v>39</v>
      </c>
      <c r="J178" s="54">
        <v>1.33</v>
      </c>
      <c r="K178" s="54">
        <v>115.67</v>
      </c>
      <c r="L178" s="56" t="s">
        <v>18</v>
      </c>
    </row>
    <row r="179" spans="2:12" x14ac:dyDescent="0.25">
      <c r="B179" s="42" t="s">
        <v>376</v>
      </c>
      <c r="C179" s="42" t="s">
        <v>101</v>
      </c>
      <c r="D179" s="57">
        <v>45975</v>
      </c>
      <c r="E179" s="44" t="s">
        <v>29</v>
      </c>
      <c r="F179" s="43" t="s">
        <v>30</v>
      </c>
      <c r="G179" s="42" t="s">
        <v>31</v>
      </c>
      <c r="H179" s="45">
        <v>5</v>
      </c>
      <c r="I179" s="46">
        <v>2500</v>
      </c>
      <c r="J179" s="46">
        <v>0</v>
      </c>
      <c r="K179" s="46">
        <v>12500</v>
      </c>
      <c r="L179" s="48" t="s">
        <v>49</v>
      </c>
    </row>
    <row r="180" spans="2:12" x14ac:dyDescent="0.25">
      <c r="B180" s="49" t="s">
        <v>378</v>
      </c>
      <c r="C180" s="49" t="s">
        <v>71</v>
      </c>
      <c r="D180" s="58">
        <v>45797</v>
      </c>
      <c r="E180" s="51" t="s">
        <v>39</v>
      </c>
      <c r="F180" s="50" t="s">
        <v>30</v>
      </c>
      <c r="G180" s="52" t="s">
        <v>68</v>
      </c>
      <c r="H180" s="53">
        <v>3</v>
      </c>
      <c r="I180" s="54">
        <v>799</v>
      </c>
      <c r="J180" s="54">
        <v>237.84</v>
      </c>
      <c r="K180" s="54">
        <v>2159.16</v>
      </c>
      <c r="L180" s="56" t="s">
        <v>49</v>
      </c>
    </row>
    <row r="181" spans="2:12" x14ac:dyDescent="0.25">
      <c r="B181" s="42" t="s">
        <v>380</v>
      </c>
      <c r="C181" s="42" t="s">
        <v>37</v>
      </c>
      <c r="D181" s="57">
        <v>46037</v>
      </c>
      <c r="E181" s="44" t="s">
        <v>22</v>
      </c>
      <c r="F181" s="43" t="s">
        <v>52</v>
      </c>
      <c r="G181" s="42" t="s">
        <v>53</v>
      </c>
      <c r="H181" s="45">
        <v>5</v>
      </c>
      <c r="I181" s="46">
        <v>149</v>
      </c>
      <c r="J181" s="46">
        <v>16.559999999999999</v>
      </c>
      <c r="K181" s="46">
        <v>728.44</v>
      </c>
      <c r="L181" s="48" t="s">
        <v>25</v>
      </c>
    </row>
    <row r="182" spans="2:12" x14ac:dyDescent="0.25">
      <c r="B182" s="49" t="s">
        <v>380</v>
      </c>
      <c r="C182" s="49" t="s">
        <v>37</v>
      </c>
      <c r="D182" s="58">
        <v>45690</v>
      </c>
      <c r="E182" s="51" t="s">
        <v>15</v>
      </c>
      <c r="F182" s="50" t="s">
        <v>23</v>
      </c>
      <c r="G182" s="52" t="s">
        <v>48</v>
      </c>
      <c r="H182" s="53">
        <v>2</v>
      </c>
      <c r="I182" s="54">
        <v>450</v>
      </c>
      <c r="J182" s="54">
        <v>0</v>
      </c>
      <c r="K182" s="54">
        <v>900</v>
      </c>
      <c r="L182" s="56" t="s">
        <v>89</v>
      </c>
    </row>
    <row r="183" spans="2:12" x14ac:dyDescent="0.25">
      <c r="B183" s="42" t="s">
        <v>382</v>
      </c>
      <c r="C183" s="42" t="s">
        <v>13</v>
      </c>
      <c r="D183" s="57">
        <v>45747</v>
      </c>
      <c r="E183" s="44" t="s">
        <v>39</v>
      </c>
      <c r="F183" s="43" t="s">
        <v>30</v>
      </c>
      <c r="G183" s="42" t="s">
        <v>68</v>
      </c>
      <c r="H183" s="45">
        <v>5</v>
      </c>
      <c r="I183" s="46">
        <v>799</v>
      </c>
      <c r="J183" s="46">
        <v>327.49</v>
      </c>
      <c r="K183" s="46">
        <v>3667.51</v>
      </c>
      <c r="L183" s="48" t="s">
        <v>49</v>
      </c>
    </row>
    <row r="184" spans="2:12" x14ac:dyDescent="0.25">
      <c r="B184" s="49" t="s">
        <v>383</v>
      </c>
      <c r="C184" s="49" t="s">
        <v>55</v>
      </c>
      <c r="D184" s="58">
        <v>46058</v>
      </c>
      <c r="E184" s="51" t="s">
        <v>47</v>
      </c>
      <c r="F184" s="50" t="s">
        <v>23</v>
      </c>
      <c r="G184" s="52" t="s">
        <v>48</v>
      </c>
      <c r="H184" s="53">
        <v>3</v>
      </c>
      <c r="I184" s="54">
        <v>450</v>
      </c>
      <c r="J184" s="54">
        <v>174.47</v>
      </c>
      <c r="K184" s="54">
        <v>1175.53</v>
      </c>
      <c r="L184" s="56" t="s">
        <v>49</v>
      </c>
    </row>
    <row r="185" spans="2:12" x14ac:dyDescent="0.25">
      <c r="B185" s="42" t="s">
        <v>385</v>
      </c>
      <c r="C185" s="42" t="s">
        <v>13</v>
      </c>
      <c r="D185" s="57">
        <v>45883</v>
      </c>
      <c r="E185" s="44" t="s">
        <v>29</v>
      </c>
      <c r="F185" s="43" t="s">
        <v>16</v>
      </c>
      <c r="G185" s="42" t="s">
        <v>78</v>
      </c>
      <c r="H185" s="45">
        <v>4</v>
      </c>
      <c r="I185" s="46">
        <v>59</v>
      </c>
      <c r="J185" s="46">
        <v>0</v>
      </c>
      <c r="K185" s="46">
        <v>236</v>
      </c>
      <c r="L185" s="48" t="s">
        <v>18</v>
      </c>
    </row>
    <row r="186" spans="2:12" x14ac:dyDescent="0.25">
      <c r="B186" s="49" t="s">
        <v>387</v>
      </c>
      <c r="C186" s="49" t="s">
        <v>27</v>
      </c>
      <c r="D186" s="58">
        <v>45790</v>
      </c>
      <c r="E186" s="51" t="s">
        <v>15</v>
      </c>
      <c r="F186" s="50" t="s">
        <v>30</v>
      </c>
      <c r="G186" s="52" t="s">
        <v>31</v>
      </c>
      <c r="H186" s="53">
        <v>1</v>
      </c>
      <c r="I186" s="54">
        <v>2500</v>
      </c>
      <c r="J186" s="54">
        <v>0</v>
      </c>
      <c r="K186" s="54">
        <v>2500</v>
      </c>
      <c r="L186" s="56" t="s">
        <v>89</v>
      </c>
    </row>
    <row r="187" spans="2:12" x14ac:dyDescent="0.25">
      <c r="B187" s="42" t="s">
        <v>389</v>
      </c>
      <c r="C187" s="42" t="s">
        <v>71</v>
      </c>
      <c r="D187" s="57">
        <v>45670</v>
      </c>
      <c r="E187" s="44" t="s">
        <v>39</v>
      </c>
      <c r="F187" s="43" t="s">
        <v>23</v>
      </c>
      <c r="G187" s="42" t="s">
        <v>43</v>
      </c>
      <c r="H187" s="45">
        <v>3</v>
      </c>
      <c r="I187" s="46">
        <v>350</v>
      </c>
      <c r="J187" s="46">
        <v>88.75</v>
      </c>
      <c r="K187" s="46">
        <v>961.25</v>
      </c>
      <c r="L187" s="48" t="s">
        <v>89</v>
      </c>
    </row>
    <row r="188" spans="2:12" x14ac:dyDescent="0.25">
      <c r="B188" s="49" t="s">
        <v>391</v>
      </c>
      <c r="C188" s="49" t="s">
        <v>37</v>
      </c>
      <c r="D188" s="58">
        <v>45867</v>
      </c>
      <c r="E188" s="51" t="s">
        <v>47</v>
      </c>
      <c r="F188" s="50" t="s">
        <v>23</v>
      </c>
      <c r="G188" s="52" t="s">
        <v>24</v>
      </c>
      <c r="H188" s="53">
        <v>3</v>
      </c>
      <c r="I188" s="54">
        <v>180</v>
      </c>
      <c r="J188" s="54">
        <v>50.63</v>
      </c>
      <c r="K188" s="54">
        <v>489.37</v>
      </c>
      <c r="L188" s="56" t="s">
        <v>32</v>
      </c>
    </row>
    <row r="189" spans="2:12" x14ac:dyDescent="0.25">
      <c r="B189" s="42" t="s">
        <v>393</v>
      </c>
      <c r="C189" s="42" t="s">
        <v>95</v>
      </c>
      <c r="D189" s="57">
        <v>45954</v>
      </c>
      <c r="E189" s="44" t="s">
        <v>47</v>
      </c>
      <c r="F189" s="43" t="s">
        <v>52</v>
      </c>
      <c r="G189" s="42" t="s">
        <v>99</v>
      </c>
      <c r="H189" s="45">
        <v>3</v>
      </c>
      <c r="I189" s="46">
        <v>79</v>
      </c>
      <c r="J189" s="46">
        <v>0</v>
      </c>
      <c r="K189" s="46">
        <v>237</v>
      </c>
      <c r="L189" s="48" t="s">
        <v>89</v>
      </c>
    </row>
    <row r="190" spans="2:12" x14ac:dyDescent="0.25">
      <c r="B190" s="49" t="s">
        <v>395</v>
      </c>
      <c r="C190" s="49" t="s">
        <v>63</v>
      </c>
      <c r="D190" s="58">
        <v>45823</v>
      </c>
      <c r="E190" s="51" t="s">
        <v>29</v>
      </c>
      <c r="F190" s="50" t="s">
        <v>52</v>
      </c>
      <c r="G190" s="52" t="s">
        <v>53</v>
      </c>
      <c r="H190" s="53">
        <v>5</v>
      </c>
      <c r="I190" s="54">
        <v>149</v>
      </c>
      <c r="J190" s="54">
        <v>0</v>
      </c>
      <c r="K190" s="54">
        <v>745</v>
      </c>
      <c r="L190" s="56" t="s">
        <v>69</v>
      </c>
    </row>
    <row r="191" spans="2:12" x14ac:dyDescent="0.25">
      <c r="B191" s="42" t="s">
        <v>396</v>
      </c>
      <c r="C191" s="42" t="s">
        <v>71</v>
      </c>
      <c r="D191" s="57">
        <v>45876</v>
      </c>
      <c r="E191" s="44" t="s">
        <v>39</v>
      </c>
      <c r="F191" s="43" t="s">
        <v>30</v>
      </c>
      <c r="G191" s="42" t="s">
        <v>31</v>
      </c>
      <c r="H191" s="45">
        <v>1</v>
      </c>
      <c r="I191" s="46">
        <v>2500</v>
      </c>
      <c r="J191" s="46">
        <v>0</v>
      </c>
      <c r="K191" s="46">
        <v>2500</v>
      </c>
      <c r="L191" s="48" t="s">
        <v>18</v>
      </c>
    </row>
    <row r="192" spans="2:12" x14ac:dyDescent="0.25">
      <c r="B192" s="49" t="s">
        <v>398</v>
      </c>
      <c r="C192" s="49" t="s">
        <v>34</v>
      </c>
      <c r="D192" s="58">
        <v>45951</v>
      </c>
      <c r="E192" s="51" t="s">
        <v>47</v>
      </c>
      <c r="F192" s="50" t="s">
        <v>16</v>
      </c>
      <c r="G192" s="52" t="s">
        <v>78</v>
      </c>
      <c r="H192" s="53">
        <v>1</v>
      </c>
      <c r="I192" s="54">
        <v>59</v>
      </c>
      <c r="J192" s="54">
        <v>1.56</v>
      </c>
      <c r="K192" s="54">
        <v>57.44</v>
      </c>
      <c r="L192" s="56" t="s">
        <v>32</v>
      </c>
    </row>
    <row r="193" spans="2:12" x14ac:dyDescent="0.25">
      <c r="B193" s="42" t="s">
        <v>400</v>
      </c>
      <c r="C193" s="42" t="s">
        <v>63</v>
      </c>
      <c r="D193" s="57">
        <v>45772</v>
      </c>
      <c r="E193" s="44" t="s">
        <v>39</v>
      </c>
      <c r="F193" s="43" t="s">
        <v>52</v>
      </c>
      <c r="G193" s="42" t="s">
        <v>99</v>
      </c>
      <c r="H193" s="45">
        <v>4</v>
      </c>
      <c r="I193" s="46">
        <v>79</v>
      </c>
      <c r="J193" s="46">
        <v>0</v>
      </c>
      <c r="K193" s="46">
        <v>316</v>
      </c>
      <c r="L193" s="48" t="s">
        <v>18</v>
      </c>
    </row>
    <row r="194" spans="2:12" x14ac:dyDescent="0.25">
      <c r="B194" s="49" t="s">
        <v>402</v>
      </c>
      <c r="C194" s="49" t="s">
        <v>34</v>
      </c>
      <c r="D194" s="58">
        <v>45949</v>
      </c>
      <c r="E194" s="51" t="s">
        <v>15</v>
      </c>
      <c r="F194" s="50" t="s">
        <v>52</v>
      </c>
      <c r="G194" s="52" t="s">
        <v>75</v>
      </c>
      <c r="H194" s="53">
        <v>5</v>
      </c>
      <c r="I194" s="54">
        <v>249</v>
      </c>
      <c r="J194" s="54">
        <v>152.02000000000001</v>
      </c>
      <c r="K194" s="54">
        <v>1092.98</v>
      </c>
      <c r="L194" s="56" t="s">
        <v>49</v>
      </c>
    </row>
    <row r="195" spans="2:12" x14ac:dyDescent="0.25">
      <c r="B195" s="42" t="s">
        <v>404</v>
      </c>
      <c r="C195" s="42" t="s">
        <v>41</v>
      </c>
      <c r="D195" s="57">
        <v>46019</v>
      </c>
      <c r="E195" s="44" t="s">
        <v>22</v>
      </c>
      <c r="F195" s="43" t="s">
        <v>30</v>
      </c>
      <c r="G195" s="42" t="s">
        <v>68</v>
      </c>
      <c r="H195" s="45">
        <v>4</v>
      </c>
      <c r="I195" s="46">
        <v>799</v>
      </c>
      <c r="J195" s="46">
        <v>164.38</v>
      </c>
      <c r="K195" s="46">
        <v>3031.62</v>
      </c>
      <c r="L195" s="48" t="s">
        <v>69</v>
      </c>
    </row>
    <row r="196" spans="2:12" x14ac:dyDescent="0.25">
      <c r="B196" s="49" t="s">
        <v>406</v>
      </c>
      <c r="C196" s="49" t="s">
        <v>110</v>
      </c>
      <c r="D196" s="58">
        <v>45969</v>
      </c>
      <c r="E196" s="51" t="s">
        <v>39</v>
      </c>
      <c r="F196" s="50" t="s">
        <v>16</v>
      </c>
      <c r="G196" s="52" t="s">
        <v>116</v>
      </c>
      <c r="H196" s="53">
        <v>5</v>
      </c>
      <c r="I196" s="54">
        <v>45</v>
      </c>
      <c r="J196" s="54">
        <v>0</v>
      </c>
      <c r="K196" s="54">
        <v>225</v>
      </c>
      <c r="L196" s="56" t="s">
        <v>18</v>
      </c>
    </row>
    <row r="197" spans="2:12" x14ac:dyDescent="0.25">
      <c r="B197" s="42" t="s">
        <v>408</v>
      </c>
      <c r="C197" s="42" t="s">
        <v>110</v>
      </c>
      <c r="D197" s="57">
        <v>45885</v>
      </c>
      <c r="E197" s="44" t="s">
        <v>39</v>
      </c>
      <c r="F197" s="43" t="s">
        <v>23</v>
      </c>
      <c r="G197" s="42" t="s">
        <v>43</v>
      </c>
      <c r="H197" s="45">
        <v>5</v>
      </c>
      <c r="I197" s="46">
        <v>350</v>
      </c>
      <c r="J197" s="46">
        <v>0</v>
      </c>
      <c r="K197" s="46">
        <v>1750</v>
      </c>
      <c r="L197" s="48" t="s">
        <v>89</v>
      </c>
    </row>
    <row r="198" spans="2:12" x14ac:dyDescent="0.25">
      <c r="B198" s="49" t="s">
        <v>410</v>
      </c>
      <c r="C198" s="49" t="s">
        <v>20</v>
      </c>
      <c r="D198" s="58">
        <v>46032</v>
      </c>
      <c r="E198" s="51" t="s">
        <v>29</v>
      </c>
      <c r="F198" s="50" t="s">
        <v>52</v>
      </c>
      <c r="G198" s="52" t="s">
        <v>75</v>
      </c>
      <c r="H198" s="53">
        <v>4</v>
      </c>
      <c r="I198" s="54">
        <v>249</v>
      </c>
      <c r="J198" s="54">
        <v>93.47</v>
      </c>
      <c r="K198" s="54">
        <v>902.53</v>
      </c>
      <c r="L198" s="56" t="s">
        <v>32</v>
      </c>
    </row>
    <row r="199" spans="2:12" x14ac:dyDescent="0.25">
      <c r="B199" s="42" t="s">
        <v>411</v>
      </c>
      <c r="C199" s="42" t="s">
        <v>37</v>
      </c>
      <c r="D199" s="57">
        <v>45991</v>
      </c>
      <c r="E199" s="44" t="s">
        <v>29</v>
      </c>
      <c r="F199" s="43" t="s">
        <v>23</v>
      </c>
      <c r="G199" s="42" t="s">
        <v>48</v>
      </c>
      <c r="H199" s="45">
        <v>1</v>
      </c>
      <c r="I199" s="46">
        <v>450</v>
      </c>
      <c r="J199" s="46">
        <v>38.090000000000003</v>
      </c>
      <c r="K199" s="46">
        <v>411.90999999999997</v>
      </c>
      <c r="L199" s="48" t="s">
        <v>44</v>
      </c>
    </row>
    <row r="200" spans="2:12" x14ac:dyDescent="0.25">
      <c r="B200" s="49" t="s">
        <v>413</v>
      </c>
      <c r="C200" s="49" t="s">
        <v>37</v>
      </c>
      <c r="D200" s="58">
        <v>45876</v>
      </c>
      <c r="E200" s="51" t="s">
        <v>22</v>
      </c>
      <c r="F200" s="50" t="s">
        <v>52</v>
      </c>
      <c r="G200" s="52" t="s">
        <v>75</v>
      </c>
      <c r="H200" s="53">
        <v>5</v>
      </c>
      <c r="I200" s="54">
        <v>249</v>
      </c>
      <c r="J200" s="54">
        <v>0</v>
      </c>
      <c r="K200" s="54">
        <v>1245</v>
      </c>
      <c r="L200" s="56" t="s">
        <v>69</v>
      </c>
    </row>
    <row r="201" spans="2:12" x14ac:dyDescent="0.25">
      <c r="B201" s="42" t="s">
        <v>414</v>
      </c>
      <c r="C201" s="42" t="s">
        <v>55</v>
      </c>
      <c r="D201" s="57">
        <v>45842</v>
      </c>
      <c r="E201" s="44" t="s">
        <v>29</v>
      </c>
      <c r="F201" s="43" t="s">
        <v>52</v>
      </c>
      <c r="G201" s="42" t="s">
        <v>99</v>
      </c>
      <c r="H201" s="45">
        <v>4</v>
      </c>
      <c r="I201" s="46">
        <v>79</v>
      </c>
      <c r="J201" s="46">
        <v>14.22</v>
      </c>
      <c r="K201" s="46">
        <v>301.77999999999997</v>
      </c>
      <c r="L201" s="48" t="s">
        <v>44</v>
      </c>
    </row>
    <row r="202" spans="2:12" x14ac:dyDescent="0.25">
      <c r="B202" s="49" t="s">
        <v>416</v>
      </c>
      <c r="C202" s="49" t="s">
        <v>13</v>
      </c>
      <c r="D202" s="58">
        <v>45921</v>
      </c>
      <c r="E202" s="51" t="s">
        <v>15</v>
      </c>
      <c r="F202" s="50" t="s">
        <v>16</v>
      </c>
      <c r="G202" s="52" t="s">
        <v>116</v>
      </c>
      <c r="H202" s="53">
        <v>1</v>
      </c>
      <c r="I202" s="54">
        <v>45</v>
      </c>
      <c r="J202" s="54">
        <v>4.46</v>
      </c>
      <c r="K202" s="54">
        <v>40.54</v>
      </c>
      <c r="L202" s="56" t="s">
        <v>18</v>
      </c>
    </row>
    <row r="203" spans="2:12" x14ac:dyDescent="0.25">
      <c r="B203" s="42" t="s">
        <v>418</v>
      </c>
      <c r="C203" s="42" t="s">
        <v>20</v>
      </c>
      <c r="D203" s="57">
        <v>45867</v>
      </c>
      <c r="E203" s="44" t="s">
        <v>29</v>
      </c>
      <c r="F203" s="43" t="s">
        <v>16</v>
      </c>
      <c r="G203" s="42" t="s">
        <v>103</v>
      </c>
      <c r="H203" s="45">
        <v>5</v>
      </c>
      <c r="I203" s="46">
        <v>89</v>
      </c>
      <c r="J203" s="46">
        <v>0</v>
      </c>
      <c r="K203" s="46">
        <v>445</v>
      </c>
      <c r="L203" s="48" t="s">
        <v>25</v>
      </c>
    </row>
    <row r="204" spans="2:12" x14ac:dyDescent="0.25">
      <c r="B204" s="49" t="s">
        <v>419</v>
      </c>
      <c r="C204" s="49" t="s">
        <v>63</v>
      </c>
      <c r="D204" s="58">
        <v>46036</v>
      </c>
      <c r="E204" s="51" t="s">
        <v>22</v>
      </c>
      <c r="F204" s="50" t="s">
        <v>52</v>
      </c>
      <c r="G204" s="52" t="s">
        <v>99</v>
      </c>
      <c r="H204" s="53">
        <v>3</v>
      </c>
      <c r="I204" s="54">
        <v>79</v>
      </c>
      <c r="J204" s="54">
        <v>0</v>
      </c>
      <c r="K204" s="54">
        <v>237</v>
      </c>
      <c r="L204" s="56" t="s">
        <v>69</v>
      </c>
    </row>
    <row r="205" spans="2:12" x14ac:dyDescent="0.25">
      <c r="B205" s="42" t="s">
        <v>420</v>
      </c>
      <c r="C205" s="42" t="s">
        <v>55</v>
      </c>
      <c r="D205" s="57">
        <v>45926</v>
      </c>
      <c r="E205" s="44" t="s">
        <v>29</v>
      </c>
      <c r="F205" s="43" t="s">
        <v>52</v>
      </c>
      <c r="G205" s="42" t="s">
        <v>75</v>
      </c>
      <c r="H205" s="45">
        <v>5</v>
      </c>
      <c r="I205" s="46">
        <v>249</v>
      </c>
      <c r="J205" s="46">
        <v>63.61</v>
      </c>
      <c r="K205" s="46">
        <v>1181.3900000000001</v>
      </c>
      <c r="L205" s="48" t="s">
        <v>49</v>
      </c>
    </row>
    <row r="206" spans="2:12" x14ac:dyDescent="0.25">
      <c r="B206" s="49" t="s">
        <v>422</v>
      </c>
      <c r="C206" s="49" t="s">
        <v>55</v>
      </c>
      <c r="D206" s="58">
        <v>45771</v>
      </c>
      <c r="E206" s="51" t="s">
        <v>29</v>
      </c>
      <c r="F206" s="50" t="s">
        <v>16</v>
      </c>
      <c r="G206" s="52" t="s">
        <v>103</v>
      </c>
      <c r="H206" s="53">
        <v>1</v>
      </c>
      <c r="I206" s="54">
        <v>89</v>
      </c>
      <c r="J206" s="54">
        <v>0</v>
      </c>
      <c r="K206" s="54">
        <v>89</v>
      </c>
      <c r="L206" s="56" t="s">
        <v>89</v>
      </c>
    </row>
    <row r="207" spans="2:12" x14ac:dyDescent="0.25">
      <c r="B207" s="42" t="s">
        <v>424</v>
      </c>
      <c r="C207" s="42" t="s">
        <v>63</v>
      </c>
      <c r="D207" s="57">
        <v>45751</v>
      </c>
      <c r="E207" s="44" t="s">
        <v>39</v>
      </c>
      <c r="F207" s="43" t="s">
        <v>16</v>
      </c>
      <c r="G207" s="42" t="s">
        <v>116</v>
      </c>
      <c r="H207" s="45">
        <v>3</v>
      </c>
      <c r="I207" s="46">
        <v>45</v>
      </c>
      <c r="J207" s="46">
        <v>0</v>
      </c>
      <c r="K207" s="46">
        <v>135</v>
      </c>
      <c r="L207" s="48" t="s">
        <v>32</v>
      </c>
    </row>
    <row r="208" spans="2:12" x14ac:dyDescent="0.25">
      <c r="B208" s="49" t="s">
        <v>426</v>
      </c>
      <c r="C208" s="49" t="s">
        <v>101</v>
      </c>
      <c r="D208" s="58">
        <v>45820</v>
      </c>
      <c r="E208" s="51" t="s">
        <v>39</v>
      </c>
      <c r="F208" s="50" t="s">
        <v>30</v>
      </c>
      <c r="G208" s="52" t="s">
        <v>31</v>
      </c>
      <c r="H208" s="53">
        <v>5</v>
      </c>
      <c r="I208" s="54">
        <v>2500</v>
      </c>
      <c r="J208" s="54">
        <v>25.41</v>
      </c>
      <c r="K208" s="54">
        <v>12474.59</v>
      </c>
      <c r="L208" s="56" t="s">
        <v>65</v>
      </c>
    </row>
    <row r="209" spans="2:12" x14ac:dyDescent="0.25">
      <c r="B209" s="42" t="s">
        <v>428</v>
      </c>
      <c r="C209" s="42" t="s">
        <v>20</v>
      </c>
      <c r="D209" s="57">
        <v>45658</v>
      </c>
      <c r="E209" s="44" t="s">
        <v>47</v>
      </c>
      <c r="F209" s="43" t="s">
        <v>16</v>
      </c>
      <c r="G209" s="42" t="s">
        <v>116</v>
      </c>
      <c r="H209" s="45">
        <v>2</v>
      </c>
      <c r="I209" s="46">
        <v>45</v>
      </c>
      <c r="J209" s="46">
        <v>4.83</v>
      </c>
      <c r="K209" s="46">
        <v>85.17</v>
      </c>
      <c r="L209" s="48" t="s">
        <v>69</v>
      </c>
    </row>
    <row r="210" spans="2:12" x14ac:dyDescent="0.25">
      <c r="B210" s="49" t="s">
        <v>430</v>
      </c>
      <c r="C210" s="49" t="s">
        <v>34</v>
      </c>
      <c r="D210" s="58">
        <v>45701</v>
      </c>
      <c r="E210" s="51" t="s">
        <v>15</v>
      </c>
      <c r="F210" s="50" t="s">
        <v>23</v>
      </c>
      <c r="G210" s="52" t="s">
        <v>48</v>
      </c>
      <c r="H210" s="53">
        <v>3</v>
      </c>
      <c r="I210" s="54">
        <v>450</v>
      </c>
      <c r="J210" s="54">
        <v>0</v>
      </c>
      <c r="K210" s="54">
        <v>1350</v>
      </c>
      <c r="L210" s="56" t="s">
        <v>65</v>
      </c>
    </row>
    <row r="211" spans="2:12" x14ac:dyDescent="0.25">
      <c r="B211" s="42" t="s">
        <v>432</v>
      </c>
      <c r="C211" s="42" t="s">
        <v>63</v>
      </c>
      <c r="D211" s="57">
        <v>45738</v>
      </c>
      <c r="E211" s="44" t="s">
        <v>39</v>
      </c>
      <c r="F211" s="43" t="s">
        <v>16</v>
      </c>
      <c r="G211" s="42" t="s">
        <v>78</v>
      </c>
      <c r="H211" s="45">
        <v>3</v>
      </c>
      <c r="I211" s="46">
        <v>59</v>
      </c>
      <c r="J211" s="46">
        <v>0</v>
      </c>
      <c r="K211" s="46">
        <v>177</v>
      </c>
      <c r="L211" s="48" t="s">
        <v>44</v>
      </c>
    </row>
    <row r="212" spans="2:12" x14ac:dyDescent="0.25">
      <c r="B212" s="49" t="s">
        <v>434</v>
      </c>
      <c r="C212" s="49" t="s">
        <v>41</v>
      </c>
      <c r="D212" s="58">
        <v>46047</v>
      </c>
      <c r="E212" s="51" t="s">
        <v>29</v>
      </c>
      <c r="F212" s="50" t="s">
        <v>30</v>
      </c>
      <c r="G212" s="52" t="s">
        <v>31</v>
      </c>
      <c r="H212" s="53">
        <v>1</v>
      </c>
      <c r="I212" s="54">
        <v>2500</v>
      </c>
      <c r="J212" s="54">
        <v>339.08</v>
      </c>
      <c r="K212" s="54">
        <v>2160.92</v>
      </c>
      <c r="L212" s="56" t="s">
        <v>25</v>
      </c>
    </row>
    <row r="213" spans="2:12" x14ac:dyDescent="0.25">
      <c r="B213" s="42" t="s">
        <v>436</v>
      </c>
      <c r="C213" s="42" t="s">
        <v>110</v>
      </c>
      <c r="D213" s="57">
        <v>45914</v>
      </c>
      <c r="E213" s="44" t="s">
        <v>22</v>
      </c>
      <c r="F213" s="43" t="s">
        <v>30</v>
      </c>
      <c r="G213" s="42" t="s">
        <v>31</v>
      </c>
      <c r="H213" s="45">
        <v>1</v>
      </c>
      <c r="I213" s="46">
        <v>2500</v>
      </c>
      <c r="J213" s="46">
        <v>297.82</v>
      </c>
      <c r="K213" s="46">
        <v>2202.1799999999998</v>
      </c>
      <c r="L213" s="48" t="s">
        <v>49</v>
      </c>
    </row>
    <row r="214" spans="2:12" x14ac:dyDescent="0.25">
      <c r="B214" s="49" t="s">
        <v>438</v>
      </c>
      <c r="C214" s="49" t="s">
        <v>41</v>
      </c>
      <c r="D214" s="58">
        <v>46000</v>
      </c>
      <c r="E214" s="51" t="s">
        <v>47</v>
      </c>
      <c r="F214" s="50" t="s">
        <v>16</v>
      </c>
      <c r="G214" s="52" t="s">
        <v>103</v>
      </c>
      <c r="H214" s="53">
        <v>4</v>
      </c>
      <c r="I214" s="54">
        <v>89</v>
      </c>
      <c r="J214" s="54">
        <v>11.12</v>
      </c>
      <c r="K214" s="54">
        <v>344.88</v>
      </c>
      <c r="L214" s="56" t="s">
        <v>49</v>
      </c>
    </row>
    <row r="215" spans="2:12" x14ac:dyDescent="0.25">
      <c r="B215" s="42" t="s">
        <v>440</v>
      </c>
      <c r="C215" s="42" t="s">
        <v>55</v>
      </c>
      <c r="D215" s="57">
        <v>45959</v>
      </c>
      <c r="E215" s="44" t="s">
        <v>22</v>
      </c>
      <c r="F215" s="43" t="s">
        <v>52</v>
      </c>
      <c r="G215" s="42" t="s">
        <v>75</v>
      </c>
      <c r="H215" s="45">
        <v>5</v>
      </c>
      <c r="I215" s="46">
        <v>249</v>
      </c>
      <c r="J215" s="46">
        <v>42.89</v>
      </c>
      <c r="K215" s="46">
        <v>1202.1099999999999</v>
      </c>
      <c r="L215" s="48" t="s">
        <v>89</v>
      </c>
    </row>
    <row r="216" spans="2:12" x14ac:dyDescent="0.25">
      <c r="B216" s="49" t="s">
        <v>442</v>
      </c>
      <c r="C216" s="49" t="s">
        <v>63</v>
      </c>
      <c r="D216" s="58">
        <v>45934</v>
      </c>
      <c r="E216" s="51" t="s">
        <v>29</v>
      </c>
      <c r="F216" s="50" t="s">
        <v>16</v>
      </c>
      <c r="G216" s="52" t="s">
        <v>103</v>
      </c>
      <c r="H216" s="53">
        <v>1</v>
      </c>
      <c r="I216" s="54">
        <v>89</v>
      </c>
      <c r="J216" s="54">
        <v>0</v>
      </c>
      <c r="K216" s="54">
        <v>89</v>
      </c>
      <c r="L216" s="56" t="s">
        <v>69</v>
      </c>
    </row>
    <row r="217" spans="2:12" x14ac:dyDescent="0.25">
      <c r="B217" s="42" t="s">
        <v>444</v>
      </c>
      <c r="C217" s="42" t="s">
        <v>101</v>
      </c>
      <c r="D217" s="57">
        <v>45748</v>
      </c>
      <c r="E217" s="44" t="s">
        <v>47</v>
      </c>
      <c r="F217" s="43" t="s">
        <v>52</v>
      </c>
      <c r="G217" s="42" t="s">
        <v>53</v>
      </c>
      <c r="H217" s="45">
        <v>5</v>
      </c>
      <c r="I217" s="46">
        <v>149</v>
      </c>
      <c r="J217" s="46">
        <v>74.489999999999995</v>
      </c>
      <c r="K217" s="46">
        <v>670.51</v>
      </c>
      <c r="L217" s="48" t="s">
        <v>18</v>
      </c>
    </row>
    <row r="218" spans="2:12" x14ac:dyDescent="0.25">
      <c r="B218" s="49" t="s">
        <v>445</v>
      </c>
      <c r="C218" s="49" t="s">
        <v>63</v>
      </c>
      <c r="D218" s="58">
        <v>45946</v>
      </c>
      <c r="E218" s="51" t="s">
        <v>47</v>
      </c>
      <c r="F218" s="50" t="s">
        <v>23</v>
      </c>
      <c r="G218" s="52" t="s">
        <v>24</v>
      </c>
      <c r="H218" s="53">
        <v>2</v>
      </c>
      <c r="I218" s="54">
        <v>180</v>
      </c>
      <c r="J218" s="54">
        <v>35.21</v>
      </c>
      <c r="K218" s="54">
        <v>324.79000000000002</v>
      </c>
      <c r="L218" s="56" t="s">
        <v>69</v>
      </c>
    </row>
    <row r="219" spans="2:12" x14ac:dyDescent="0.25">
      <c r="B219" s="42" t="s">
        <v>447</v>
      </c>
      <c r="C219" s="42" t="s">
        <v>55</v>
      </c>
      <c r="D219" s="57">
        <v>45802</v>
      </c>
      <c r="E219" s="44" t="s">
        <v>29</v>
      </c>
      <c r="F219" s="43" t="s">
        <v>16</v>
      </c>
      <c r="G219" s="42" t="s">
        <v>17</v>
      </c>
      <c r="H219" s="45">
        <v>5</v>
      </c>
      <c r="I219" s="46">
        <v>39</v>
      </c>
      <c r="J219" s="46">
        <v>22.14</v>
      </c>
      <c r="K219" s="46">
        <v>172.86</v>
      </c>
      <c r="L219" s="48" t="s">
        <v>18</v>
      </c>
    </row>
    <row r="220" spans="2:12" x14ac:dyDescent="0.25">
      <c r="B220" s="49" t="s">
        <v>448</v>
      </c>
      <c r="C220" s="49" t="s">
        <v>101</v>
      </c>
      <c r="D220" s="58">
        <v>45912</v>
      </c>
      <c r="E220" s="51" t="s">
        <v>47</v>
      </c>
      <c r="F220" s="50" t="s">
        <v>52</v>
      </c>
      <c r="G220" s="52" t="s">
        <v>61</v>
      </c>
      <c r="H220" s="53">
        <v>5</v>
      </c>
      <c r="I220" s="54">
        <v>199</v>
      </c>
      <c r="J220" s="54">
        <v>0</v>
      </c>
      <c r="K220" s="54">
        <v>995</v>
      </c>
      <c r="L220" s="56" t="s">
        <v>89</v>
      </c>
    </row>
    <row r="221" spans="2:12" x14ac:dyDescent="0.25">
      <c r="B221" s="42" t="s">
        <v>450</v>
      </c>
      <c r="C221" s="42" t="s">
        <v>55</v>
      </c>
      <c r="D221" s="57">
        <v>45801</v>
      </c>
      <c r="E221" s="44" t="s">
        <v>47</v>
      </c>
      <c r="F221" s="43" t="s">
        <v>16</v>
      </c>
      <c r="G221" s="42" t="s">
        <v>78</v>
      </c>
      <c r="H221" s="45">
        <v>2</v>
      </c>
      <c r="I221" s="46">
        <v>59</v>
      </c>
      <c r="J221" s="46">
        <v>0</v>
      </c>
      <c r="K221" s="46">
        <v>118</v>
      </c>
      <c r="L221" s="48" t="s">
        <v>32</v>
      </c>
    </row>
    <row r="222" spans="2:12" x14ac:dyDescent="0.25">
      <c r="B222" s="49" t="s">
        <v>451</v>
      </c>
      <c r="C222" s="49" t="s">
        <v>110</v>
      </c>
      <c r="D222" s="58">
        <v>45685</v>
      </c>
      <c r="E222" s="51" t="s">
        <v>22</v>
      </c>
      <c r="F222" s="50" t="s">
        <v>16</v>
      </c>
      <c r="G222" s="52" t="s">
        <v>78</v>
      </c>
      <c r="H222" s="53">
        <v>4</v>
      </c>
      <c r="I222" s="54">
        <v>59</v>
      </c>
      <c r="J222" s="54">
        <v>28.64</v>
      </c>
      <c r="K222" s="54">
        <v>207.36</v>
      </c>
      <c r="L222" s="56" t="s">
        <v>89</v>
      </c>
    </row>
    <row r="223" spans="2:12" x14ac:dyDescent="0.25">
      <c r="B223" s="42" t="s">
        <v>453</v>
      </c>
      <c r="C223" s="42" t="s">
        <v>34</v>
      </c>
      <c r="D223" s="57">
        <v>45993</v>
      </c>
      <c r="E223" s="44" t="s">
        <v>29</v>
      </c>
      <c r="F223" s="43" t="s">
        <v>52</v>
      </c>
      <c r="G223" s="42" t="s">
        <v>61</v>
      </c>
      <c r="H223" s="45">
        <v>3</v>
      </c>
      <c r="I223" s="46">
        <v>199</v>
      </c>
      <c r="J223" s="46">
        <v>26.43</v>
      </c>
      <c r="K223" s="46">
        <v>570.57000000000005</v>
      </c>
      <c r="L223" s="48" t="s">
        <v>65</v>
      </c>
    </row>
    <row r="224" spans="2:12" x14ac:dyDescent="0.25">
      <c r="B224" s="49" t="s">
        <v>455</v>
      </c>
      <c r="C224" s="49" t="s">
        <v>101</v>
      </c>
      <c r="D224" s="58">
        <v>45983</v>
      </c>
      <c r="E224" s="51" t="s">
        <v>47</v>
      </c>
      <c r="F224" s="50" t="s">
        <v>23</v>
      </c>
      <c r="G224" s="52" t="s">
        <v>88</v>
      </c>
      <c r="H224" s="53">
        <v>5</v>
      </c>
      <c r="I224" s="54">
        <v>650</v>
      </c>
      <c r="J224" s="54">
        <v>55.27</v>
      </c>
      <c r="K224" s="54">
        <v>3194.73</v>
      </c>
      <c r="L224" s="56" t="s">
        <v>44</v>
      </c>
    </row>
    <row r="225" spans="2:12" x14ac:dyDescent="0.25">
      <c r="B225" s="42" t="s">
        <v>457</v>
      </c>
      <c r="C225" s="42" t="s">
        <v>20</v>
      </c>
      <c r="D225" s="57">
        <v>45707</v>
      </c>
      <c r="E225" s="44" t="s">
        <v>29</v>
      </c>
      <c r="F225" s="43" t="s">
        <v>52</v>
      </c>
      <c r="G225" s="42" t="s">
        <v>61</v>
      </c>
      <c r="H225" s="45">
        <v>5</v>
      </c>
      <c r="I225" s="46">
        <v>199</v>
      </c>
      <c r="J225" s="46">
        <v>90.53</v>
      </c>
      <c r="K225" s="46">
        <v>904.47</v>
      </c>
      <c r="L225" s="48" t="s">
        <v>25</v>
      </c>
    </row>
    <row r="226" spans="2:12" x14ac:dyDescent="0.25">
      <c r="B226" s="49" t="s">
        <v>459</v>
      </c>
      <c r="C226" s="49" t="s">
        <v>63</v>
      </c>
      <c r="D226" s="58">
        <v>45684</v>
      </c>
      <c r="E226" s="51" t="s">
        <v>22</v>
      </c>
      <c r="F226" s="50" t="s">
        <v>16</v>
      </c>
      <c r="G226" s="52" t="s">
        <v>103</v>
      </c>
      <c r="H226" s="53">
        <v>1</v>
      </c>
      <c r="I226" s="54">
        <v>89</v>
      </c>
      <c r="J226" s="54">
        <v>0</v>
      </c>
      <c r="K226" s="54">
        <v>89</v>
      </c>
      <c r="L226" s="56" t="s">
        <v>44</v>
      </c>
    </row>
    <row r="227" spans="2:12" x14ac:dyDescent="0.25">
      <c r="B227" s="42" t="s">
        <v>460</v>
      </c>
      <c r="C227" s="42" t="s">
        <v>20</v>
      </c>
      <c r="D227" s="57">
        <v>45664</v>
      </c>
      <c r="E227" s="44" t="s">
        <v>22</v>
      </c>
      <c r="F227" s="43" t="s">
        <v>23</v>
      </c>
      <c r="G227" s="42" t="s">
        <v>24</v>
      </c>
      <c r="H227" s="45">
        <v>2</v>
      </c>
      <c r="I227" s="46">
        <v>180</v>
      </c>
      <c r="J227" s="46">
        <v>17.420000000000002</v>
      </c>
      <c r="K227" s="46">
        <v>342.58</v>
      </c>
      <c r="L227" s="48" t="s">
        <v>32</v>
      </c>
    </row>
    <row r="228" spans="2:12" x14ac:dyDescent="0.25">
      <c r="B228" s="49" t="s">
        <v>462</v>
      </c>
      <c r="C228" s="49" t="s">
        <v>55</v>
      </c>
      <c r="D228" s="58">
        <v>45684</v>
      </c>
      <c r="E228" s="51" t="s">
        <v>29</v>
      </c>
      <c r="F228" s="50" t="s">
        <v>23</v>
      </c>
      <c r="G228" s="52" t="s">
        <v>43</v>
      </c>
      <c r="H228" s="53">
        <v>2</v>
      </c>
      <c r="I228" s="54">
        <v>350</v>
      </c>
      <c r="J228" s="54">
        <v>0</v>
      </c>
      <c r="K228" s="54">
        <v>700</v>
      </c>
      <c r="L228" s="56" t="s">
        <v>18</v>
      </c>
    </row>
    <row r="229" spans="2:12" x14ac:dyDescent="0.25">
      <c r="B229" s="42" t="s">
        <v>463</v>
      </c>
      <c r="C229" s="42" t="s">
        <v>27</v>
      </c>
      <c r="D229" s="57">
        <v>45694</v>
      </c>
      <c r="E229" s="44" t="s">
        <v>22</v>
      </c>
      <c r="F229" s="43" t="s">
        <v>30</v>
      </c>
      <c r="G229" s="42" t="s">
        <v>106</v>
      </c>
      <c r="H229" s="45">
        <v>3</v>
      </c>
      <c r="I229" s="46">
        <v>299</v>
      </c>
      <c r="J229" s="46">
        <v>102.13</v>
      </c>
      <c r="K229" s="46">
        <v>794.87</v>
      </c>
      <c r="L229" s="48" t="s">
        <v>49</v>
      </c>
    </row>
    <row r="230" spans="2:12" x14ac:dyDescent="0.25">
      <c r="B230" s="49" t="s">
        <v>465</v>
      </c>
      <c r="C230" s="49" t="s">
        <v>20</v>
      </c>
      <c r="D230" s="58">
        <v>45863</v>
      </c>
      <c r="E230" s="51" t="s">
        <v>29</v>
      </c>
      <c r="F230" s="50" t="s">
        <v>23</v>
      </c>
      <c r="G230" s="52" t="s">
        <v>24</v>
      </c>
      <c r="H230" s="53">
        <v>4</v>
      </c>
      <c r="I230" s="54">
        <v>180</v>
      </c>
      <c r="J230" s="54">
        <v>96.14</v>
      </c>
      <c r="K230" s="54">
        <v>623.86</v>
      </c>
      <c r="L230" s="56" t="s">
        <v>65</v>
      </c>
    </row>
    <row r="231" spans="2:12" x14ac:dyDescent="0.25">
      <c r="B231" s="42" t="s">
        <v>467</v>
      </c>
      <c r="C231" s="42" t="s">
        <v>110</v>
      </c>
      <c r="D231" s="57">
        <v>45686</v>
      </c>
      <c r="E231" s="44" t="s">
        <v>22</v>
      </c>
      <c r="F231" s="43" t="s">
        <v>16</v>
      </c>
      <c r="G231" s="42" t="s">
        <v>116</v>
      </c>
      <c r="H231" s="45">
        <v>5</v>
      </c>
      <c r="I231" s="46">
        <v>45</v>
      </c>
      <c r="J231" s="46">
        <v>29.46</v>
      </c>
      <c r="K231" s="46">
        <v>195.54</v>
      </c>
      <c r="L231" s="48" t="s">
        <v>18</v>
      </c>
    </row>
    <row r="232" spans="2:12" x14ac:dyDescent="0.25">
      <c r="B232" s="49" t="s">
        <v>468</v>
      </c>
      <c r="C232" s="49" t="s">
        <v>20</v>
      </c>
      <c r="D232" s="58">
        <v>46057</v>
      </c>
      <c r="E232" s="51" t="s">
        <v>15</v>
      </c>
      <c r="F232" s="50" t="s">
        <v>30</v>
      </c>
      <c r="G232" s="52" t="s">
        <v>68</v>
      </c>
      <c r="H232" s="53">
        <v>4</v>
      </c>
      <c r="I232" s="54">
        <v>799</v>
      </c>
      <c r="J232" s="54">
        <v>0</v>
      </c>
      <c r="K232" s="54">
        <v>3196</v>
      </c>
      <c r="L232" s="56" t="s">
        <v>69</v>
      </c>
    </row>
    <row r="233" spans="2:12" x14ac:dyDescent="0.25">
      <c r="B233" s="42" t="s">
        <v>470</v>
      </c>
      <c r="C233" s="42" t="s">
        <v>101</v>
      </c>
      <c r="D233" s="57">
        <v>46001</v>
      </c>
      <c r="E233" s="44" t="s">
        <v>39</v>
      </c>
      <c r="F233" s="43" t="s">
        <v>23</v>
      </c>
      <c r="G233" s="42" t="s">
        <v>43</v>
      </c>
      <c r="H233" s="45">
        <v>2</v>
      </c>
      <c r="I233" s="46">
        <v>350</v>
      </c>
      <c r="J233" s="46">
        <v>0</v>
      </c>
      <c r="K233" s="46">
        <v>700</v>
      </c>
      <c r="L233" s="48" t="s">
        <v>44</v>
      </c>
    </row>
    <row r="234" spans="2:12" x14ac:dyDescent="0.25">
      <c r="B234" s="49" t="s">
        <v>472</v>
      </c>
      <c r="C234" s="49" t="s">
        <v>34</v>
      </c>
      <c r="D234" s="58">
        <v>45770</v>
      </c>
      <c r="E234" s="51" t="s">
        <v>39</v>
      </c>
      <c r="F234" s="50" t="s">
        <v>16</v>
      </c>
      <c r="G234" s="52" t="s">
        <v>103</v>
      </c>
      <c r="H234" s="53">
        <v>4</v>
      </c>
      <c r="I234" s="54">
        <v>89</v>
      </c>
      <c r="J234" s="54">
        <v>11.12</v>
      </c>
      <c r="K234" s="54">
        <v>344.88</v>
      </c>
      <c r="L234" s="56" t="s">
        <v>89</v>
      </c>
    </row>
    <row r="235" spans="2:12" x14ac:dyDescent="0.25">
      <c r="B235" s="42" t="s">
        <v>474</v>
      </c>
      <c r="C235" s="42" t="s">
        <v>63</v>
      </c>
      <c r="D235" s="57">
        <v>45790</v>
      </c>
      <c r="E235" s="44" t="s">
        <v>29</v>
      </c>
      <c r="F235" s="43" t="s">
        <v>16</v>
      </c>
      <c r="G235" s="42" t="s">
        <v>103</v>
      </c>
      <c r="H235" s="45">
        <v>2</v>
      </c>
      <c r="I235" s="46">
        <v>89</v>
      </c>
      <c r="J235" s="46">
        <v>4.68</v>
      </c>
      <c r="K235" s="46">
        <v>173.32</v>
      </c>
      <c r="L235" s="48" t="s">
        <v>32</v>
      </c>
    </row>
    <row r="236" spans="2:12" x14ac:dyDescent="0.25">
      <c r="B236" s="49" t="s">
        <v>475</v>
      </c>
      <c r="C236" s="49" t="s">
        <v>13</v>
      </c>
      <c r="D236" s="58">
        <v>45952</v>
      </c>
      <c r="E236" s="51" t="s">
        <v>47</v>
      </c>
      <c r="F236" s="50" t="s">
        <v>30</v>
      </c>
      <c r="G236" s="52" t="s">
        <v>68</v>
      </c>
      <c r="H236" s="53">
        <v>4</v>
      </c>
      <c r="I236" s="54">
        <v>799</v>
      </c>
      <c r="J236" s="54">
        <v>43.49</v>
      </c>
      <c r="K236" s="54">
        <v>3152.51</v>
      </c>
      <c r="L236" s="56" t="s">
        <v>44</v>
      </c>
    </row>
    <row r="237" spans="2:12" x14ac:dyDescent="0.25">
      <c r="B237" s="42" t="s">
        <v>477</v>
      </c>
      <c r="C237" s="42" t="s">
        <v>55</v>
      </c>
      <c r="D237" s="57">
        <v>45980</v>
      </c>
      <c r="E237" s="44" t="s">
        <v>22</v>
      </c>
      <c r="F237" s="43" t="s">
        <v>30</v>
      </c>
      <c r="G237" s="42" t="s">
        <v>152</v>
      </c>
      <c r="H237" s="45">
        <v>1</v>
      </c>
      <c r="I237" s="46">
        <v>4500</v>
      </c>
      <c r="J237" s="46">
        <v>0</v>
      </c>
      <c r="K237" s="46">
        <v>4500</v>
      </c>
      <c r="L237" s="48" t="s">
        <v>32</v>
      </c>
    </row>
    <row r="238" spans="2:12" x14ac:dyDescent="0.25">
      <c r="B238" s="49" t="s">
        <v>478</v>
      </c>
      <c r="C238" s="49" t="s">
        <v>110</v>
      </c>
      <c r="D238" s="58">
        <v>45843</v>
      </c>
      <c r="E238" s="51" t="s">
        <v>47</v>
      </c>
      <c r="F238" s="50" t="s">
        <v>16</v>
      </c>
      <c r="G238" s="52" t="s">
        <v>116</v>
      </c>
      <c r="H238" s="53">
        <v>5</v>
      </c>
      <c r="I238" s="54">
        <v>45</v>
      </c>
      <c r="J238" s="54">
        <v>0</v>
      </c>
      <c r="K238" s="54">
        <v>225</v>
      </c>
      <c r="L238" s="56" t="s">
        <v>25</v>
      </c>
    </row>
    <row r="239" spans="2:12" x14ac:dyDescent="0.25">
      <c r="B239" s="42" t="s">
        <v>479</v>
      </c>
      <c r="C239" s="42" t="s">
        <v>95</v>
      </c>
      <c r="D239" s="57">
        <v>45956</v>
      </c>
      <c r="E239" s="44" t="s">
        <v>29</v>
      </c>
      <c r="F239" s="43" t="s">
        <v>16</v>
      </c>
      <c r="G239" s="42" t="s">
        <v>103</v>
      </c>
      <c r="H239" s="45">
        <v>2</v>
      </c>
      <c r="I239" s="46">
        <v>89</v>
      </c>
      <c r="J239" s="46">
        <v>13.25</v>
      </c>
      <c r="K239" s="46">
        <v>164.75</v>
      </c>
      <c r="L239" s="48" t="s">
        <v>69</v>
      </c>
    </row>
    <row r="240" spans="2:12" x14ac:dyDescent="0.25">
      <c r="B240" s="49" t="s">
        <v>481</v>
      </c>
      <c r="C240" s="49" t="s">
        <v>20</v>
      </c>
      <c r="D240" s="58">
        <v>45981</v>
      </c>
      <c r="E240" s="51" t="s">
        <v>29</v>
      </c>
      <c r="F240" s="50" t="s">
        <v>52</v>
      </c>
      <c r="G240" s="52" t="s">
        <v>99</v>
      </c>
      <c r="H240" s="53">
        <v>3</v>
      </c>
      <c r="I240" s="54">
        <v>79</v>
      </c>
      <c r="J240" s="54">
        <v>23.43</v>
      </c>
      <c r="K240" s="54">
        <v>213.57</v>
      </c>
      <c r="L240" s="56" t="s">
        <v>69</v>
      </c>
    </row>
    <row r="241" spans="2:12" x14ac:dyDescent="0.25">
      <c r="B241" s="42" t="s">
        <v>483</v>
      </c>
      <c r="C241" s="42" t="s">
        <v>34</v>
      </c>
      <c r="D241" s="57">
        <v>45922</v>
      </c>
      <c r="E241" s="44" t="s">
        <v>22</v>
      </c>
      <c r="F241" s="43" t="s">
        <v>23</v>
      </c>
      <c r="G241" s="42" t="s">
        <v>88</v>
      </c>
      <c r="H241" s="45">
        <v>5</v>
      </c>
      <c r="I241" s="46">
        <v>650</v>
      </c>
      <c r="J241" s="46">
        <v>0</v>
      </c>
      <c r="K241" s="46">
        <v>3250</v>
      </c>
      <c r="L241" s="48" t="s">
        <v>89</v>
      </c>
    </row>
    <row r="242" spans="2:12" x14ac:dyDescent="0.25">
      <c r="B242" s="49" t="s">
        <v>485</v>
      </c>
      <c r="C242" s="49" t="s">
        <v>101</v>
      </c>
      <c r="D242" s="58">
        <v>45692</v>
      </c>
      <c r="E242" s="51" t="s">
        <v>47</v>
      </c>
      <c r="F242" s="50" t="s">
        <v>30</v>
      </c>
      <c r="G242" s="52" t="s">
        <v>68</v>
      </c>
      <c r="H242" s="53">
        <v>5</v>
      </c>
      <c r="I242" s="54">
        <v>799</v>
      </c>
      <c r="J242" s="54">
        <v>0</v>
      </c>
      <c r="K242" s="54">
        <v>3995</v>
      </c>
      <c r="L242" s="56" t="s">
        <v>44</v>
      </c>
    </row>
    <row r="243" spans="2:12" x14ac:dyDescent="0.25">
      <c r="B243" s="42" t="s">
        <v>485</v>
      </c>
      <c r="C243" s="42" t="s">
        <v>101</v>
      </c>
      <c r="D243" s="57">
        <v>45692</v>
      </c>
      <c r="E243" s="44" t="s">
        <v>22</v>
      </c>
      <c r="F243" s="43" t="s">
        <v>16</v>
      </c>
      <c r="G243" s="42" t="s">
        <v>17</v>
      </c>
      <c r="H243" s="45">
        <v>4</v>
      </c>
      <c r="I243" s="46">
        <v>39</v>
      </c>
      <c r="J243" s="46">
        <v>16.05</v>
      </c>
      <c r="K243" s="46">
        <v>139.94999999999999</v>
      </c>
      <c r="L243" s="48" t="s">
        <v>18</v>
      </c>
    </row>
    <row r="244" spans="2:12" x14ac:dyDescent="0.25">
      <c r="B244" s="49" t="s">
        <v>487</v>
      </c>
      <c r="C244" s="49" t="s">
        <v>41</v>
      </c>
      <c r="D244" s="58">
        <v>45896</v>
      </c>
      <c r="E244" s="51" t="s">
        <v>22</v>
      </c>
      <c r="F244" s="50" t="s">
        <v>52</v>
      </c>
      <c r="G244" s="52" t="s">
        <v>61</v>
      </c>
      <c r="H244" s="53">
        <v>4</v>
      </c>
      <c r="I244" s="54">
        <v>199</v>
      </c>
      <c r="J244" s="54">
        <v>74.09</v>
      </c>
      <c r="K244" s="54">
        <v>721.91</v>
      </c>
      <c r="L244" s="56" t="s">
        <v>32</v>
      </c>
    </row>
    <row r="245" spans="2:12" x14ac:dyDescent="0.25">
      <c r="B245" s="42" t="s">
        <v>489</v>
      </c>
      <c r="C245" s="42" t="s">
        <v>63</v>
      </c>
      <c r="D245" s="57">
        <v>46016</v>
      </c>
      <c r="E245" s="44" t="s">
        <v>47</v>
      </c>
      <c r="F245" s="43" t="s">
        <v>52</v>
      </c>
      <c r="G245" s="42" t="s">
        <v>61</v>
      </c>
      <c r="H245" s="45">
        <v>1</v>
      </c>
      <c r="I245" s="46">
        <v>199</v>
      </c>
      <c r="J245" s="46">
        <v>0</v>
      </c>
      <c r="K245" s="46">
        <v>199</v>
      </c>
      <c r="L245" s="48" t="s">
        <v>65</v>
      </c>
    </row>
    <row r="246" spans="2:12" x14ac:dyDescent="0.25">
      <c r="B246" s="49" t="s">
        <v>490</v>
      </c>
      <c r="C246" s="49" t="s">
        <v>20</v>
      </c>
      <c r="D246" s="58">
        <v>46021</v>
      </c>
      <c r="E246" s="51" t="s">
        <v>29</v>
      </c>
      <c r="F246" s="50" t="s">
        <v>30</v>
      </c>
      <c r="G246" s="52" t="s">
        <v>68</v>
      </c>
      <c r="H246" s="53">
        <v>3</v>
      </c>
      <c r="I246" s="54">
        <v>799</v>
      </c>
      <c r="J246" s="54">
        <v>81.17</v>
      </c>
      <c r="K246" s="54">
        <v>2315.83</v>
      </c>
      <c r="L246" s="56" t="s">
        <v>32</v>
      </c>
    </row>
    <row r="247" spans="2:12" x14ac:dyDescent="0.25">
      <c r="B247" s="42" t="s">
        <v>491</v>
      </c>
      <c r="C247" s="42" t="s">
        <v>41</v>
      </c>
      <c r="D247" s="57">
        <v>45957</v>
      </c>
      <c r="E247" s="44" t="s">
        <v>15</v>
      </c>
      <c r="F247" s="43" t="s">
        <v>23</v>
      </c>
      <c r="G247" s="42" t="s">
        <v>88</v>
      </c>
      <c r="H247" s="45">
        <v>4</v>
      </c>
      <c r="I247" s="46">
        <v>650</v>
      </c>
      <c r="J247" s="46">
        <v>301.62</v>
      </c>
      <c r="K247" s="46">
        <v>2298.38</v>
      </c>
      <c r="L247" s="48" t="s">
        <v>18</v>
      </c>
    </row>
    <row r="248" spans="2:12" x14ac:dyDescent="0.25">
      <c r="B248" s="49" t="s">
        <v>493</v>
      </c>
      <c r="C248" s="49" t="s">
        <v>55</v>
      </c>
      <c r="D248" s="58">
        <v>45942</v>
      </c>
      <c r="E248" s="51" t="s">
        <v>39</v>
      </c>
      <c r="F248" s="50" t="s">
        <v>30</v>
      </c>
      <c r="G248" s="52" t="s">
        <v>106</v>
      </c>
      <c r="H248" s="53">
        <v>2</v>
      </c>
      <c r="I248" s="54">
        <v>299</v>
      </c>
      <c r="J248" s="54">
        <v>0</v>
      </c>
      <c r="K248" s="54">
        <v>598</v>
      </c>
      <c r="L248" s="56" t="s">
        <v>44</v>
      </c>
    </row>
    <row r="249" spans="2:12" x14ac:dyDescent="0.25">
      <c r="B249" s="42" t="s">
        <v>494</v>
      </c>
      <c r="C249" s="42" t="s">
        <v>20</v>
      </c>
      <c r="D249" s="57">
        <v>45776</v>
      </c>
      <c r="E249" s="44" t="s">
        <v>39</v>
      </c>
      <c r="F249" s="43" t="s">
        <v>16</v>
      </c>
      <c r="G249" s="42" t="s">
        <v>17</v>
      </c>
      <c r="H249" s="45">
        <v>2</v>
      </c>
      <c r="I249" s="46">
        <v>39</v>
      </c>
      <c r="J249" s="46">
        <v>3.37</v>
      </c>
      <c r="K249" s="46">
        <v>74.63</v>
      </c>
      <c r="L249" s="48" t="s">
        <v>49</v>
      </c>
    </row>
    <row r="250" spans="2:12" x14ac:dyDescent="0.25">
      <c r="B250" s="49" t="s">
        <v>495</v>
      </c>
      <c r="C250" s="49" t="s">
        <v>63</v>
      </c>
      <c r="D250" s="58">
        <v>45778</v>
      </c>
      <c r="E250" s="51" t="s">
        <v>39</v>
      </c>
      <c r="F250" s="50" t="s">
        <v>30</v>
      </c>
      <c r="G250" s="52" t="s">
        <v>106</v>
      </c>
      <c r="H250" s="53">
        <v>2</v>
      </c>
      <c r="I250" s="54">
        <v>299</v>
      </c>
      <c r="J250" s="54">
        <v>0</v>
      </c>
      <c r="K250" s="54">
        <v>598</v>
      </c>
      <c r="L250" s="56" t="s">
        <v>65</v>
      </c>
    </row>
    <row r="251" spans="2:12" x14ac:dyDescent="0.25">
      <c r="B251" s="42" t="s">
        <v>496</v>
      </c>
      <c r="C251" s="42" t="s">
        <v>41</v>
      </c>
      <c r="D251" s="57">
        <v>45679</v>
      </c>
      <c r="E251" s="44" t="s">
        <v>15</v>
      </c>
      <c r="F251" s="43" t="s">
        <v>16</v>
      </c>
      <c r="G251" s="42" t="s">
        <v>78</v>
      </c>
      <c r="H251" s="45">
        <v>4</v>
      </c>
      <c r="I251" s="46">
        <v>59</v>
      </c>
      <c r="J251" s="46">
        <v>4.99</v>
      </c>
      <c r="K251" s="46">
        <v>231.01</v>
      </c>
      <c r="L251" s="48" t="s">
        <v>89</v>
      </c>
    </row>
    <row r="252" spans="2:12" x14ac:dyDescent="0.25">
      <c r="B252" s="49" t="s">
        <v>498</v>
      </c>
      <c r="C252" s="49" t="s">
        <v>110</v>
      </c>
      <c r="D252" s="58">
        <v>45938</v>
      </c>
      <c r="E252" s="51" t="s">
        <v>15</v>
      </c>
      <c r="F252" s="50" t="s">
        <v>52</v>
      </c>
      <c r="G252" s="52" t="s">
        <v>61</v>
      </c>
      <c r="H252" s="53">
        <v>1</v>
      </c>
      <c r="I252" s="54">
        <v>199</v>
      </c>
      <c r="J252" s="54">
        <v>4.57</v>
      </c>
      <c r="K252" s="54">
        <v>194.43</v>
      </c>
      <c r="L252" s="56" t="s">
        <v>49</v>
      </c>
    </row>
    <row r="253" spans="2:12" x14ac:dyDescent="0.25">
      <c r="B253" s="42" t="s">
        <v>500</v>
      </c>
      <c r="C253" s="42" t="s">
        <v>110</v>
      </c>
      <c r="D253" s="57">
        <v>45671</v>
      </c>
      <c r="E253" s="44" t="s">
        <v>15</v>
      </c>
      <c r="F253" s="43" t="s">
        <v>52</v>
      </c>
      <c r="G253" s="42" t="s">
        <v>61</v>
      </c>
      <c r="H253" s="45">
        <v>4</v>
      </c>
      <c r="I253" s="46">
        <v>199</v>
      </c>
      <c r="J253" s="46">
        <v>0</v>
      </c>
      <c r="K253" s="46">
        <v>796</v>
      </c>
      <c r="L253" s="48" t="s">
        <v>25</v>
      </c>
    </row>
    <row r="254" spans="2:12" x14ac:dyDescent="0.25">
      <c r="B254" s="49" t="s">
        <v>502</v>
      </c>
      <c r="C254" s="49" t="s">
        <v>37</v>
      </c>
      <c r="D254" s="58">
        <v>45793</v>
      </c>
      <c r="E254" s="51" t="s">
        <v>29</v>
      </c>
      <c r="F254" s="50" t="s">
        <v>16</v>
      </c>
      <c r="G254" s="52" t="s">
        <v>78</v>
      </c>
      <c r="H254" s="53">
        <v>3</v>
      </c>
      <c r="I254" s="54">
        <v>59</v>
      </c>
      <c r="J254" s="54">
        <v>9.15</v>
      </c>
      <c r="K254" s="54">
        <v>167.85</v>
      </c>
      <c r="L254" s="56" t="s">
        <v>89</v>
      </c>
    </row>
    <row r="255" spans="2:12" x14ac:dyDescent="0.25">
      <c r="B255" s="42" t="s">
        <v>504</v>
      </c>
      <c r="C255" s="42" t="s">
        <v>101</v>
      </c>
      <c r="D255" s="57">
        <v>45995</v>
      </c>
      <c r="E255" s="44" t="s">
        <v>15</v>
      </c>
      <c r="F255" s="43" t="s">
        <v>23</v>
      </c>
      <c r="G255" s="42" t="s">
        <v>24</v>
      </c>
      <c r="H255" s="45">
        <v>5</v>
      </c>
      <c r="I255" s="46">
        <v>180</v>
      </c>
      <c r="J255" s="46">
        <v>0</v>
      </c>
      <c r="K255" s="46">
        <v>900</v>
      </c>
      <c r="L255" s="48" t="s">
        <v>18</v>
      </c>
    </row>
    <row r="256" spans="2:12" x14ac:dyDescent="0.25">
      <c r="B256" s="49" t="s">
        <v>506</v>
      </c>
      <c r="C256" s="49" t="s">
        <v>101</v>
      </c>
      <c r="D256" s="58">
        <v>45692</v>
      </c>
      <c r="E256" s="51" t="s">
        <v>15</v>
      </c>
      <c r="F256" s="50" t="s">
        <v>30</v>
      </c>
      <c r="G256" s="52" t="s">
        <v>152</v>
      </c>
      <c r="H256" s="53">
        <v>5</v>
      </c>
      <c r="I256" s="54">
        <v>4500</v>
      </c>
      <c r="J256" s="54">
        <v>3254.04</v>
      </c>
      <c r="K256" s="54">
        <v>19245.96</v>
      </c>
      <c r="L256" s="56" t="s">
        <v>18</v>
      </c>
    </row>
    <row r="257" spans="2:12" x14ac:dyDescent="0.25">
      <c r="B257" s="42" t="s">
        <v>507</v>
      </c>
      <c r="C257" s="42" t="s">
        <v>63</v>
      </c>
      <c r="D257" s="57">
        <v>45967</v>
      </c>
      <c r="E257" s="44" t="s">
        <v>22</v>
      </c>
      <c r="F257" s="43" t="s">
        <v>52</v>
      </c>
      <c r="G257" s="42" t="s">
        <v>99</v>
      </c>
      <c r="H257" s="45">
        <v>2</v>
      </c>
      <c r="I257" s="46">
        <v>79</v>
      </c>
      <c r="J257" s="46">
        <v>0.5</v>
      </c>
      <c r="K257" s="46">
        <v>157.5</v>
      </c>
      <c r="L257" s="48" t="s">
        <v>89</v>
      </c>
    </row>
    <row r="258" spans="2:12" x14ac:dyDescent="0.25">
      <c r="B258" s="49" t="s">
        <v>509</v>
      </c>
      <c r="C258" s="49" t="s">
        <v>13</v>
      </c>
      <c r="D258" s="58">
        <v>45678</v>
      </c>
      <c r="E258" s="51" t="s">
        <v>39</v>
      </c>
      <c r="F258" s="50" t="s">
        <v>52</v>
      </c>
      <c r="G258" s="52" t="s">
        <v>99</v>
      </c>
      <c r="H258" s="53">
        <v>5</v>
      </c>
      <c r="I258" s="54">
        <v>79</v>
      </c>
      <c r="J258" s="54">
        <v>0</v>
      </c>
      <c r="K258" s="54">
        <v>395</v>
      </c>
      <c r="L258" s="56" t="s">
        <v>89</v>
      </c>
    </row>
    <row r="259" spans="2:12" x14ac:dyDescent="0.25">
      <c r="B259" s="42" t="s">
        <v>511</v>
      </c>
      <c r="C259" s="42" t="s">
        <v>55</v>
      </c>
      <c r="D259" s="57">
        <v>45703</v>
      </c>
      <c r="E259" s="44" t="s">
        <v>29</v>
      </c>
      <c r="F259" s="43" t="s">
        <v>23</v>
      </c>
      <c r="G259" s="42" t="s">
        <v>48</v>
      </c>
      <c r="H259" s="45">
        <v>3</v>
      </c>
      <c r="I259" s="46">
        <v>450</v>
      </c>
      <c r="J259" s="46">
        <v>0</v>
      </c>
      <c r="K259" s="46">
        <v>1350</v>
      </c>
      <c r="L259" s="48" t="s">
        <v>65</v>
      </c>
    </row>
    <row r="260" spans="2:12" x14ac:dyDescent="0.25">
      <c r="B260" s="49" t="s">
        <v>512</v>
      </c>
      <c r="C260" s="49" t="s">
        <v>71</v>
      </c>
      <c r="D260" s="58">
        <v>45825</v>
      </c>
      <c r="E260" s="51" t="s">
        <v>22</v>
      </c>
      <c r="F260" s="50" t="s">
        <v>16</v>
      </c>
      <c r="G260" s="52" t="s">
        <v>103</v>
      </c>
      <c r="H260" s="53">
        <v>3</v>
      </c>
      <c r="I260" s="54">
        <v>89</v>
      </c>
      <c r="J260" s="54">
        <v>0</v>
      </c>
      <c r="K260" s="54">
        <v>267</v>
      </c>
      <c r="L260" s="56" t="s">
        <v>25</v>
      </c>
    </row>
    <row r="261" spans="2:12" x14ac:dyDescent="0.25">
      <c r="B261" s="42" t="s">
        <v>514</v>
      </c>
      <c r="C261" s="42" t="s">
        <v>63</v>
      </c>
      <c r="D261" s="57">
        <v>45749</v>
      </c>
      <c r="E261" s="44" t="s">
        <v>29</v>
      </c>
      <c r="F261" s="43" t="s">
        <v>30</v>
      </c>
      <c r="G261" s="42" t="s">
        <v>152</v>
      </c>
      <c r="H261" s="45">
        <v>1</v>
      </c>
      <c r="I261" s="46">
        <v>4500</v>
      </c>
      <c r="J261" s="46">
        <v>655.86</v>
      </c>
      <c r="K261" s="46">
        <v>3844.14</v>
      </c>
      <c r="L261" s="48" t="s">
        <v>65</v>
      </c>
    </row>
    <row r="262" spans="2:12" x14ac:dyDescent="0.25">
      <c r="B262" s="49" t="s">
        <v>515</v>
      </c>
      <c r="C262" s="49" t="s">
        <v>71</v>
      </c>
      <c r="D262" s="58">
        <v>45706</v>
      </c>
      <c r="E262" s="51" t="s">
        <v>15</v>
      </c>
      <c r="F262" s="50" t="s">
        <v>23</v>
      </c>
      <c r="G262" s="52" t="s">
        <v>24</v>
      </c>
      <c r="H262" s="53">
        <v>5</v>
      </c>
      <c r="I262" s="54">
        <v>180</v>
      </c>
      <c r="J262" s="54">
        <v>15.58</v>
      </c>
      <c r="K262" s="54">
        <v>884.42</v>
      </c>
      <c r="L262" s="56" t="s">
        <v>32</v>
      </c>
    </row>
    <row r="263" spans="2:12" x14ac:dyDescent="0.25">
      <c r="B263" s="42" t="s">
        <v>517</v>
      </c>
      <c r="C263" s="42" t="s">
        <v>41</v>
      </c>
      <c r="D263" s="57">
        <v>45800</v>
      </c>
      <c r="E263" s="44" t="s">
        <v>29</v>
      </c>
      <c r="F263" s="43" t="s">
        <v>23</v>
      </c>
      <c r="G263" s="42" t="s">
        <v>43</v>
      </c>
      <c r="H263" s="45">
        <v>5</v>
      </c>
      <c r="I263" s="46">
        <v>350</v>
      </c>
      <c r="J263" s="46">
        <v>114.07</v>
      </c>
      <c r="K263" s="46">
        <v>1635.93</v>
      </c>
      <c r="L263" s="48" t="s">
        <v>89</v>
      </c>
    </row>
    <row r="264" spans="2:12" x14ac:dyDescent="0.25">
      <c r="B264" s="49" t="s">
        <v>519</v>
      </c>
      <c r="C264" s="49" t="s">
        <v>37</v>
      </c>
      <c r="D264" s="58">
        <v>45996</v>
      </c>
      <c r="E264" s="51" t="s">
        <v>47</v>
      </c>
      <c r="F264" s="50" t="s">
        <v>52</v>
      </c>
      <c r="G264" s="52" t="s">
        <v>61</v>
      </c>
      <c r="H264" s="53">
        <v>1</v>
      </c>
      <c r="I264" s="54">
        <v>199</v>
      </c>
      <c r="J264" s="54">
        <v>24.71</v>
      </c>
      <c r="K264" s="54">
        <v>174.29</v>
      </c>
      <c r="L264" s="56" t="s">
        <v>49</v>
      </c>
    </row>
    <row r="265" spans="2:12" x14ac:dyDescent="0.25">
      <c r="B265" s="42" t="s">
        <v>520</v>
      </c>
      <c r="C265" s="42" t="s">
        <v>63</v>
      </c>
      <c r="D265" s="57">
        <v>45880</v>
      </c>
      <c r="E265" s="44" t="s">
        <v>47</v>
      </c>
      <c r="F265" s="43" t="s">
        <v>23</v>
      </c>
      <c r="G265" s="42" t="s">
        <v>43</v>
      </c>
      <c r="H265" s="45">
        <v>5</v>
      </c>
      <c r="I265" s="46">
        <v>350</v>
      </c>
      <c r="J265" s="46">
        <v>0</v>
      </c>
      <c r="K265" s="46">
        <v>1750</v>
      </c>
      <c r="L265" s="48" t="s">
        <v>89</v>
      </c>
    </row>
    <row r="266" spans="2:12" x14ac:dyDescent="0.25">
      <c r="B266" s="49" t="s">
        <v>521</v>
      </c>
      <c r="C266" s="49" t="s">
        <v>34</v>
      </c>
      <c r="D266" s="58">
        <v>45996</v>
      </c>
      <c r="E266" s="51" t="s">
        <v>47</v>
      </c>
      <c r="F266" s="50" t="s">
        <v>52</v>
      </c>
      <c r="G266" s="52" t="s">
        <v>75</v>
      </c>
      <c r="H266" s="53">
        <v>4</v>
      </c>
      <c r="I266" s="54">
        <v>249</v>
      </c>
      <c r="J266" s="54">
        <v>119.32</v>
      </c>
      <c r="K266" s="54">
        <v>876.68000000000006</v>
      </c>
      <c r="L266" s="56" t="s">
        <v>32</v>
      </c>
    </row>
    <row r="267" spans="2:12" x14ac:dyDescent="0.25">
      <c r="B267" s="42" t="s">
        <v>522</v>
      </c>
      <c r="C267" s="42" t="s">
        <v>71</v>
      </c>
      <c r="D267" s="57">
        <v>45979</v>
      </c>
      <c r="E267" s="44" t="s">
        <v>22</v>
      </c>
      <c r="F267" s="43" t="s">
        <v>16</v>
      </c>
      <c r="G267" s="42" t="s">
        <v>17</v>
      </c>
      <c r="H267" s="45">
        <v>3</v>
      </c>
      <c r="I267" s="46">
        <v>39</v>
      </c>
      <c r="J267" s="46">
        <v>16.07</v>
      </c>
      <c r="K267" s="46">
        <v>100.93</v>
      </c>
      <c r="L267" s="48" t="s">
        <v>25</v>
      </c>
    </row>
    <row r="268" spans="2:12" x14ac:dyDescent="0.25">
      <c r="B268" s="49" t="s">
        <v>524</v>
      </c>
      <c r="C268" s="49" t="s">
        <v>71</v>
      </c>
      <c r="D268" s="58">
        <v>45945</v>
      </c>
      <c r="E268" s="51" t="s">
        <v>47</v>
      </c>
      <c r="F268" s="50" t="s">
        <v>30</v>
      </c>
      <c r="G268" s="52" t="s">
        <v>106</v>
      </c>
      <c r="H268" s="53">
        <v>5</v>
      </c>
      <c r="I268" s="54">
        <v>299</v>
      </c>
      <c r="J268" s="54">
        <v>205.52</v>
      </c>
      <c r="K268" s="54">
        <v>1289.48</v>
      </c>
      <c r="L268" s="56" t="s">
        <v>18</v>
      </c>
    </row>
    <row r="269" spans="2:12" x14ac:dyDescent="0.25">
      <c r="B269" s="42" t="s">
        <v>526</v>
      </c>
      <c r="C269" s="42" t="s">
        <v>63</v>
      </c>
      <c r="D269" s="57">
        <v>45767</v>
      </c>
      <c r="E269" s="44" t="s">
        <v>29</v>
      </c>
      <c r="F269" s="43" t="s">
        <v>52</v>
      </c>
      <c r="G269" s="42" t="s">
        <v>53</v>
      </c>
      <c r="H269" s="45">
        <v>3</v>
      </c>
      <c r="I269" s="46">
        <v>149</v>
      </c>
      <c r="J269" s="46">
        <v>10.95</v>
      </c>
      <c r="K269" s="46">
        <v>436.05</v>
      </c>
      <c r="L269" s="48" t="s">
        <v>44</v>
      </c>
    </row>
    <row r="270" spans="2:12" x14ac:dyDescent="0.25">
      <c r="B270" s="49" t="s">
        <v>528</v>
      </c>
      <c r="C270" s="49" t="s">
        <v>34</v>
      </c>
      <c r="D270" s="58">
        <v>45990</v>
      </c>
      <c r="E270" s="51" t="s">
        <v>22</v>
      </c>
      <c r="F270" s="50" t="s">
        <v>23</v>
      </c>
      <c r="G270" s="52" t="s">
        <v>43</v>
      </c>
      <c r="H270" s="53">
        <v>3</v>
      </c>
      <c r="I270" s="54">
        <v>350</v>
      </c>
      <c r="J270" s="54">
        <v>0</v>
      </c>
      <c r="K270" s="54">
        <v>1050</v>
      </c>
      <c r="L270" s="56" t="s">
        <v>69</v>
      </c>
    </row>
    <row r="271" spans="2:12" x14ac:dyDescent="0.25">
      <c r="B271" s="42" t="s">
        <v>530</v>
      </c>
      <c r="C271" s="42" t="s">
        <v>27</v>
      </c>
      <c r="D271" s="57">
        <v>45754</v>
      </c>
      <c r="E271" s="44" t="s">
        <v>22</v>
      </c>
      <c r="F271" s="43" t="s">
        <v>30</v>
      </c>
      <c r="G271" s="42" t="s">
        <v>68</v>
      </c>
      <c r="H271" s="45">
        <v>1</v>
      </c>
      <c r="I271" s="46">
        <v>799</v>
      </c>
      <c r="J271" s="46">
        <v>44.87</v>
      </c>
      <c r="K271" s="46">
        <v>754.13</v>
      </c>
      <c r="L271" s="48" t="s">
        <v>32</v>
      </c>
    </row>
    <row r="272" spans="2:12" x14ac:dyDescent="0.25">
      <c r="B272" s="49" t="s">
        <v>532</v>
      </c>
      <c r="C272" s="49" t="s">
        <v>95</v>
      </c>
      <c r="D272" s="58">
        <v>45932</v>
      </c>
      <c r="E272" s="51" t="s">
        <v>29</v>
      </c>
      <c r="F272" s="50" t="s">
        <v>52</v>
      </c>
      <c r="G272" s="52" t="s">
        <v>53</v>
      </c>
      <c r="H272" s="53">
        <v>4</v>
      </c>
      <c r="I272" s="54">
        <v>149</v>
      </c>
      <c r="J272" s="54">
        <v>72.069999999999993</v>
      </c>
      <c r="K272" s="54">
        <v>523.93000000000006</v>
      </c>
      <c r="L272" s="56" t="s">
        <v>49</v>
      </c>
    </row>
    <row r="273" spans="2:12" x14ac:dyDescent="0.25">
      <c r="B273" s="42" t="s">
        <v>534</v>
      </c>
      <c r="C273" s="42" t="s">
        <v>37</v>
      </c>
      <c r="D273" s="57">
        <v>45846</v>
      </c>
      <c r="E273" s="44" t="s">
        <v>39</v>
      </c>
      <c r="F273" s="43" t="s">
        <v>30</v>
      </c>
      <c r="G273" s="42" t="s">
        <v>152</v>
      </c>
      <c r="H273" s="45">
        <v>4</v>
      </c>
      <c r="I273" s="46">
        <v>4500</v>
      </c>
      <c r="J273" s="46">
        <v>0</v>
      </c>
      <c r="K273" s="46">
        <v>18000</v>
      </c>
      <c r="L273" s="48" t="s">
        <v>89</v>
      </c>
    </row>
    <row r="274" spans="2:12" x14ac:dyDescent="0.25">
      <c r="B274" s="49" t="s">
        <v>536</v>
      </c>
      <c r="C274" s="49" t="s">
        <v>71</v>
      </c>
      <c r="D274" s="58">
        <v>45924</v>
      </c>
      <c r="E274" s="51" t="s">
        <v>22</v>
      </c>
      <c r="F274" s="50" t="s">
        <v>30</v>
      </c>
      <c r="G274" s="52" t="s">
        <v>31</v>
      </c>
      <c r="H274" s="53">
        <v>4</v>
      </c>
      <c r="I274" s="54">
        <v>2500</v>
      </c>
      <c r="J274" s="54">
        <v>1481.66</v>
      </c>
      <c r="K274" s="54">
        <v>8518.34</v>
      </c>
      <c r="L274" s="56" t="s">
        <v>18</v>
      </c>
    </row>
    <row r="275" spans="2:12" x14ac:dyDescent="0.25">
      <c r="B275" s="42" t="s">
        <v>538</v>
      </c>
      <c r="C275" s="42" t="s">
        <v>55</v>
      </c>
      <c r="D275" s="57">
        <v>46011</v>
      </c>
      <c r="E275" s="44" t="s">
        <v>39</v>
      </c>
      <c r="F275" s="43" t="s">
        <v>52</v>
      </c>
      <c r="G275" s="42" t="s">
        <v>53</v>
      </c>
      <c r="H275" s="45">
        <v>1</v>
      </c>
      <c r="I275" s="46">
        <v>149</v>
      </c>
      <c r="J275" s="46">
        <v>19.2</v>
      </c>
      <c r="K275" s="46">
        <v>129.80000000000001</v>
      </c>
      <c r="L275" s="48" t="s">
        <v>44</v>
      </c>
    </row>
    <row r="276" spans="2:12" x14ac:dyDescent="0.25">
      <c r="B276" s="49" t="s">
        <v>540</v>
      </c>
      <c r="C276" s="49" t="s">
        <v>110</v>
      </c>
      <c r="D276" s="58">
        <v>45879</v>
      </c>
      <c r="E276" s="51" t="s">
        <v>15</v>
      </c>
      <c r="F276" s="50" t="s">
        <v>52</v>
      </c>
      <c r="G276" s="52" t="s">
        <v>75</v>
      </c>
      <c r="H276" s="53">
        <v>5</v>
      </c>
      <c r="I276" s="54">
        <v>249</v>
      </c>
      <c r="J276" s="54">
        <v>0</v>
      </c>
      <c r="K276" s="54">
        <v>1245</v>
      </c>
      <c r="L276" s="56" t="s">
        <v>44</v>
      </c>
    </row>
    <row r="277" spans="2:12" x14ac:dyDescent="0.25">
      <c r="B277" s="42" t="s">
        <v>541</v>
      </c>
      <c r="C277" s="42" t="s">
        <v>101</v>
      </c>
      <c r="D277" s="57">
        <v>45675</v>
      </c>
      <c r="E277" s="44" t="s">
        <v>47</v>
      </c>
      <c r="F277" s="43" t="s">
        <v>16</v>
      </c>
      <c r="G277" s="42" t="s">
        <v>116</v>
      </c>
      <c r="H277" s="45">
        <v>2</v>
      </c>
      <c r="I277" s="46">
        <v>45</v>
      </c>
      <c r="J277" s="46">
        <v>0</v>
      </c>
      <c r="K277" s="46">
        <v>90</v>
      </c>
      <c r="L277" s="48" t="s">
        <v>44</v>
      </c>
    </row>
    <row r="278" spans="2:12" x14ac:dyDescent="0.25">
      <c r="B278" s="49" t="s">
        <v>543</v>
      </c>
      <c r="C278" s="49" t="s">
        <v>13</v>
      </c>
      <c r="D278" s="58">
        <v>46058</v>
      </c>
      <c r="E278" s="51" t="s">
        <v>47</v>
      </c>
      <c r="F278" s="50" t="s">
        <v>52</v>
      </c>
      <c r="G278" s="52" t="s">
        <v>53</v>
      </c>
      <c r="H278" s="53">
        <v>1</v>
      </c>
      <c r="I278" s="54">
        <v>149</v>
      </c>
      <c r="J278" s="54">
        <v>4.6500000000000004</v>
      </c>
      <c r="K278" s="54">
        <v>144.35</v>
      </c>
      <c r="L278" s="56" t="s">
        <v>49</v>
      </c>
    </row>
    <row r="279" spans="2:12" x14ac:dyDescent="0.25">
      <c r="B279" s="42" t="s">
        <v>544</v>
      </c>
      <c r="C279" s="42" t="s">
        <v>110</v>
      </c>
      <c r="D279" s="57">
        <v>45911</v>
      </c>
      <c r="E279" s="44" t="s">
        <v>29</v>
      </c>
      <c r="F279" s="43" t="s">
        <v>30</v>
      </c>
      <c r="G279" s="42" t="s">
        <v>106</v>
      </c>
      <c r="H279" s="45">
        <v>4</v>
      </c>
      <c r="I279" s="46">
        <v>299</v>
      </c>
      <c r="J279" s="46">
        <v>0</v>
      </c>
      <c r="K279" s="46">
        <v>1196</v>
      </c>
      <c r="L279" s="48" t="s">
        <v>18</v>
      </c>
    </row>
    <row r="280" spans="2:12" x14ac:dyDescent="0.25">
      <c r="B280" s="49" t="s">
        <v>546</v>
      </c>
      <c r="C280" s="49" t="s">
        <v>55</v>
      </c>
      <c r="D280" s="58">
        <v>45768</v>
      </c>
      <c r="E280" s="51" t="s">
        <v>47</v>
      </c>
      <c r="F280" s="50" t="s">
        <v>16</v>
      </c>
      <c r="G280" s="52" t="s">
        <v>103</v>
      </c>
      <c r="H280" s="53">
        <v>4</v>
      </c>
      <c r="I280" s="54">
        <v>89</v>
      </c>
      <c r="J280" s="54">
        <v>0</v>
      </c>
      <c r="K280" s="54">
        <v>356</v>
      </c>
      <c r="L280" s="56" t="s">
        <v>18</v>
      </c>
    </row>
    <row r="281" spans="2:12" x14ac:dyDescent="0.25">
      <c r="B281" s="42" t="s">
        <v>548</v>
      </c>
      <c r="C281" s="42" t="s">
        <v>37</v>
      </c>
      <c r="D281" s="57">
        <v>45950</v>
      </c>
      <c r="E281" s="44" t="s">
        <v>29</v>
      </c>
      <c r="F281" s="43" t="s">
        <v>52</v>
      </c>
      <c r="G281" s="42" t="s">
        <v>99</v>
      </c>
      <c r="H281" s="45">
        <v>1</v>
      </c>
      <c r="I281" s="46">
        <v>79</v>
      </c>
      <c r="J281" s="46">
        <v>8.1300000000000008</v>
      </c>
      <c r="K281" s="46">
        <v>70.87</v>
      </c>
      <c r="L281" s="48" t="s">
        <v>44</v>
      </c>
    </row>
    <row r="282" spans="2:12" x14ac:dyDescent="0.25">
      <c r="B282" s="49" t="s">
        <v>550</v>
      </c>
      <c r="C282" s="49" t="s">
        <v>37</v>
      </c>
      <c r="D282" s="58">
        <v>45777</v>
      </c>
      <c r="E282" s="51" t="s">
        <v>29</v>
      </c>
      <c r="F282" s="50" t="s">
        <v>16</v>
      </c>
      <c r="G282" s="52" t="s">
        <v>17</v>
      </c>
      <c r="H282" s="53">
        <v>1</v>
      </c>
      <c r="I282" s="54">
        <v>39</v>
      </c>
      <c r="J282" s="54">
        <v>4.03</v>
      </c>
      <c r="K282" s="54">
        <v>34.97</v>
      </c>
      <c r="L282" s="56" t="s">
        <v>49</v>
      </c>
    </row>
    <row r="283" spans="2:12" x14ac:dyDescent="0.25">
      <c r="B283" s="42" t="s">
        <v>551</v>
      </c>
      <c r="C283" s="42" t="s">
        <v>37</v>
      </c>
      <c r="D283" s="57">
        <v>45763</v>
      </c>
      <c r="E283" s="44" t="s">
        <v>47</v>
      </c>
      <c r="F283" s="43" t="s">
        <v>52</v>
      </c>
      <c r="G283" s="42" t="s">
        <v>61</v>
      </c>
      <c r="H283" s="45">
        <v>3</v>
      </c>
      <c r="I283" s="46">
        <v>199</v>
      </c>
      <c r="J283" s="46">
        <v>0</v>
      </c>
      <c r="K283" s="46">
        <v>597</v>
      </c>
      <c r="L283" s="48" t="s">
        <v>32</v>
      </c>
    </row>
    <row r="284" spans="2:12" x14ac:dyDescent="0.25">
      <c r="B284" s="49" t="s">
        <v>552</v>
      </c>
      <c r="C284" s="49" t="s">
        <v>27</v>
      </c>
      <c r="D284" s="58">
        <v>45662</v>
      </c>
      <c r="E284" s="51" t="s">
        <v>15</v>
      </c>
      <c r="F284" s="50" t="s">
        <v>16</v>
      </c>
      <c r="G284" s="52" t="s">
        <v>103</v>
      </c>
      <c r="H284" s="53">
        <v>5</v>
      </c>
      <c r="I284" s="54">
        <v>89</v>
      </c>
      <c r="J284" s="54">
        <v>0</v>
      </c>
      <c r="K284" s="54">
        <v>445</v>
      </c>
      <c r="L284" s="56" t="s">
        <v>89</v>
      </c>
    </row>
    <row r="285" spans="2:12" x14ac:dyDescent="0.25">
      <c r="B285" s="42" t="s">
        <v>553</v>
      </c>
      <c r="C285" s="42" t="s">
        <v>110</v>
      </c>
      <c r="D285" s="57">
        <v>45848</v>
      </c>
      <c r="E285" s="44" t="s">
        <v>39</v>
      </c>
      <c r="F285" s="43" t="s">
        <v>23</v>
      </c>
      <c r="G285" s="42" t="s">
        <v>48</v>
      </c>
      <c r="H285" s="45">
        <v>1</v>
      </c>
      <c r="I285" s="46">
        <v>450</v>
      </c>
      <c r="J285" s="46">
        <v>29.71</v>
      </c>
      <c r="K285" s="46">
        <v>420.29</v>
      </c>
      <c r="L285" s="48" t="s">
        <v>69</v>
      </c>
    </row>
    <row r="286" spans="2:12" x14ac:dyDescent="0.25">
      <c r="B286" s="49" t="s">
        <v>555</v>
      </c>
      <c r="C286" s="49" t="s">
        <v>27</v>
      </c>
      <c r="D286" s="58">
        <v>45939</v>
      </c>
      <c r="E286" s="51" t="s">
        <v>39</v>
      </c>
      <c r="F286" s="50" t="s">
        <v>16</v>
      </c>
      <c r="G286" s="52" t="s">
        <v>103</v>
      </c>
      <c r="H286" s="53">
        <v>5</v>
      </c>
      <c r="I286" s="54">
        <v>89</v>
      </c>
      <c r="J286" s="54">
        <v>0</v>
      </c>
      <c r="K286" s="54">
        <v>445</v>
      </c>
      <c r="L286" s="56" t="s">
        <v>32</v>
      </c>
    </row>
    <row r="287" spans="2:12" x14ac:dyDescent="0.25">
      <c r="B287" s="42" t="s">
        <v>556</v>
      </c>
      <c r="C287" s="42" t="s">
        <v>71</v>
      </c>
      <c r="D287" s="57">
        <v>45800</v>
      </c>
      <c r="E287" s="44" t="s">
        <v>29</v>
      </c>
      <c r="F287" s="43" t="s">
        <v>52</v>
      </c>
      <c r="G287" s="42" t="s">
        <v>61</v>
      </c>
      <c r="H287" s="45">
        <v>3</v>
      </c>
      <c r="I287" s="46">
        <v>199</v>
      </c>
      <c r="J287" s="46">
        <v>0</v>
      </c>
      <c r="K287" s="46">
        <v>597</v>
      </c>
      <c r="L287" s="48" t="s">
        <v>32</v>
      </c>
    </row>
    <row r="288" spans="2:12" x14ac:dyDescent="0.25">
      <c r="B288" s="49" t="s">
        <v>557</v>
      </c>
      <c r="C288" s="49" t="s">
        <v>110</v>
      </c>
      <c r="D288" s="58">
        <v>45754</v>
      </c>
      <c r="E288" s="51" t="s">
        <v>15</v>
      </c>
      <c r="F288" s="50" t="s">
        <v>16</v>
      </c>
      <c r="G288" s="52" t="s">
        <v>116</v>
      </c>
      <c r="H288" s="53">
        <v>5</v>
      </c>
      <c r="I288" s="54">
        <v>45</v>
      </c>
      <c r="J288" s="54">
        <v>0</v>
      </c>
      <c r="K288" s="54">
        <v>225</v>
      </c>
      <c r="L288" s="56" t="s">
        <v>32</v>
      </c>
    </row>
    <row r="289" spans="2:12" x14ac:dyDescent="0.25">
      <c r="B289" s="42" t="s">
        <v>558</v>
      </c>
      <c r="C289" s="42" t="s">
        <v>71</v>
      </c>
      <c r="D289" s="57">
        <v>45887</v>
      </c>
      <c r="E289" s="44" t="s">
        <v>47</v>
      </c>
      <c r="F289" s="43" t="s">
        <v>16</v>
      </c>
      <c r="G289" s="42" t="s">
        <v>17</v>
      </c>
      <c r="H289" s="45">
        <v>1</v>
      </c>
      <c r="I289" s="46">
        <v>39</v>
      </c>
      <c r="J289" s="46">
        <v>0</v>
      </c>
      <c r="K289" s="46">
        <v>39</v>
      </c>
      <c r="L289" s="48" t="s">
        <v>65</v>
      </c>
    </row>
    <row r="290" spans="2:12" x14ac:dyDescent="0.25">
      <c r="B290" s="49" t="s">
        <v>559</v>
      </c>
      <c r="C290" s="49" t="s">
        <v>101</v>
      </c>
      <c r="D290" s="58">
        <v>45693</v>
      </c>
      <c r="E290" s="51" t="s">
        <v>29</v>
      </c>
      <c r="F290" s="50" t="s">
        <v>30</v>
      </c>
      <c r="G290" s="52" t="s">
        <v>106</v>
      </c>
      <c r="H290" s="53">
        <v>1</v>
      </c>
      <c r="I290" s="54">
        <v>299</v>
      </c>
      <c r="J290" s="54">
        <v>21.2</v>
      </c>
      <c r="K290" s="54">
        <v>277.8</v>
      </c>
      <c r="L290" s="56" t="s">
        <v>69</v>
      </c>
    </row>
    <row r="291" spans="2:12" x14ac:dyDescent="0.25">
      <c r="B291" s="42" t="s">
        <v>561</v>
      </c>
      <c r="C291" s="42" t="s">
        <v>101</v>
      </c>
      <c r="D291" s="57">
        <v>45738</v>
      </c>
      <c r="E291" s="44" t="s">
        <v>39</v>
      </c>
      <c r="F291" s="43" t="s">
        <v>16</v>
      </c>
      <c r="G291" s="42" t="s">
        <v>17</v>
      </c>
      <c r="H291" s="45">
        <v>4</v>
      </c>
      <c r="I291" s="46">
        <v>39</v>
      </c>
      <c r="J291" s="46">
        <v>0</v>
      </c>
      <c r="K291" s="46">
        <v>156</v>
      </c>
      <c r="L291" s="48" t="s">
        <v>18</v>
      </c>
    </row>
    <row r="292" spans="2:12" x14ac:dyDescent="0.25">
      <c r="B292" s="49" t="s">
        <v>562</v>
      </c>
      <c r="C292" s="49" t="s">
        <v>71</v>
      </c>
      <c r="D292" s="58">
        <v>45751</v>
      </c>
      <c r="E292" s="51" t="s">
        <v>39</v>
      </c>
      <c r="F292" s="50" t="s">
        <v>30</v>
      </c>
      <c r="G292" s="52" t="s">
        <v>106</v>
      </c>
      <c r="H292" s="53">
        <v>2</v>
      </c>
      <c r="I292" s="54">
        <v>299</v>
      </c>
      <c r="J292" s="54">
        <v>0</v>
      </c>
      <c r="K292" s="54">
        <v>598</v>
      </c>
      <c r="L292" s="56" t="s">
        <v>25</v>
      </c>
    </row>
    <row r="293" spans="2:12" x14ac:dyDescent="0.25">
      <c r="B293" s="42" t="s">
        <v>563</v>
      </c>
      <c r="C293" s="42" t="s">
        <v>63</v>
      </c>
      <c r="D293" s="57">
        <v>45832</v>
      </c>
      <c r="E293" s="44" t="s">
        <v>47</v>
      </c>
      <c r="F293" s="43" t="s">
        <v>52</v>
      </c>
      <c r="G293" s="42" t="s">
        <v>75</v>
      </c>
      <c r="H293" s="45">
        <v>5</v>
      </c>
      <c r="I293" s="46">
        <v>249</v>
      </c>
      <c r="J293" s="46">
        <v>0</v>
      </c>
      <c r="K293" s="46">
        <v>1245</v>
      </c>
      <c r="L293" s="48" t="s">
        <v>69</v>
      </c>
    </row>
    <row r="294" spans="2:12" x14ac:dyDescent="0.25">
      <c r="B294" s="49" t="s">
        <v>565</v>
      </c>
      <c r="C294" s="49" t="s">
        <v>34</v>
      </c>
      <c r="D294" s="58">
        <v>45894</v>
      </c>
      <c r="E294" s="51" t="s">
        <v>47</v>
      </c>
      <c r="F294" s="50" t="s">
        <v>30</v>
      </c>
      <c r="G294" s="52" t="s">
        <v>68</v>
      </c>
      <c r="H294" s="53">
        <v>2</v>
      </c>
      <c r="I294" s="54">
        <v>799</v>
      </c>
      <c r="J294" s="54">
        <v>0</v>
      </c>
      <c r="K294" s="54">
        <v>1598</v>
      </c>
      <c r="L294" s="56" t="s">
        <v>18</v>
      </c>
    </row>
    <row r="295" spans="2:12" x14ac:dyDescent="0.25">
      <c r="B295" s="42" t="s">
        <v>567</v>
      </c>
      <c r="C295" s="42" t="s">
        <v>41</v>
      </c>
      <c r="D295" s="57">
        <v>45848</v>
      </c>
      <c r="E295" s="44" t="s">
        <v>29</v>
      </c>
      <c r="F295" s="43" t="s">
        <v>30</v>
      </c>
      <c r="G295" s="42" t="s">
        <v>152</v>
      </c>
      <c r="H295" s="45">
        <v>2</v>
      </c>
      <c r="I295" s="46">
        <v>4500</v>
      </c>
      <c r="J295" s="46">
        <v>0</v>
      </c>
      <c r="K295" s="46">
        <v>9000</v>
      </c>
      <c r="L295" s="48" t="s">
        <v>25</v>
      </c>
    </row>
    <row r="296" spans="2:12" x14ac:dyDescent="0.25">
      <c r="B296" s="49" t="s">
        <v>568</v>
      </c>
      <c r="C296" s="49" t="s">
        <v>20</v>
      </c>
      <c r="D296" s="58">
        <v>45846</v>
      </c>
      <c r="E296" s="51" t="s">
        <v>29</v>
      </c>
      <c r="F296" s="50" t="s">
        <v>16</v>
      </c>
      <c r="G296" s="52" t="s">
        <v>103</v>
      </c>
      <c r="H296" s="53">
        <v>4</v>
      </c>
      <c r="I296" s="54">
        <v>89</v>
      </c>
      <c r="J296" s="54">
        <v>48.68</v>
      </c>
      <c r="K296" s="54">
        <v>307.32</v>
      </c>
      <c r="L296" s="56" t="s">
        <v>65</v>
      </c>
    </row>
    <row r="297" spans="2:12" x14ac:dyDescent="0.25">
      <c r="B297" s="42" t="s">
        <v>569</v>
      </c>
      <c r="C297" s="42" t="s">
        <v>34</v>
      </c>
      <c r="D297" s="57">
        <v>45914</v>
      </c>
      <c r="E297" s="44" t="s">
        <v>15</v>
      </c>
      <c r="F297" s="43" t="s">
        <v>23</v>
      </c>
      <c r="G297" s="42" t="s">
        <v>48</v>
      </c>
      <c r="H297" s="45">
        <v>2</v>
      </c>
      <c r="I297" s="46">
        <v>450</v>
      </c>
      <c r="J297" s="46">
        <v>0</v>
      </c>
      <c r="K297" s="46">
        <v>900</v>
      </c>
      <c r="L297" s="48" t="s">
        <v>69</v>
      </c>
    </row>
    <row r="298" spans="2:12" x14ac:dyDescent="0.25">
      <c r="B298" s="49" t="s">
        <v>570</v>
      </c>
      <c r="C298" s="49" t="s">
        <v>55</v>
      </c>
      <c r="D298" s="58">
        <v>45671</v>
      </c>
      <c r="E298" s="51" t="s">
        <v>22</v>
      </c>
      <c r="F298" s="50" t="s">
        <v>16</v>
      </c>
      <c r="G298" s="52" t="s">
        <v>17</v>
      </c>
      <c r="H298" s="53">
        <v>1</v>
      </c>
      <c r="I298" s="54">
        <v>39</v>
      </c>
      <c r="J298" s="54">
        <v>0</v>
      </c>
      <c r="K298" s="54">
        <v>39</v>
      </c>
      <c r="L298" s="56" t="s">
        <v>69</v>
      </c>
    </row>
    <row r="299" spans="2:12" x14ac:dyDescent="0.25">
      <c r="B299" s="42" t="s">
        <v>571</v>
      </c>
      <c r="C299" s="42" t="s">
        <v>27</v>
      </c>
      <c r="D299" s="57">
        <v>45911</v>
      </c>
      <c r="E299" s="44" t="s">
        <v>39</v>
      </c>
      <c r="F299" s="43" t="s">
        <v>52</v>
      </c>
      <c r="G299" s="42" t="s">
        <v>99</v>
      </c>
      <c r="H299" s="45">
        <v>4</v>
      </c>
      <c r="I299" s="46">
        <v>79</v>
      </c>
      <c r="J299" s="46">
        <v>29.74</v>
      </c>
      <c r="K299" s="46">
        <v>286.26</v>
      </c>
      <c r="L299" s="48" t="s">
        <v>49</v>
      </c>
    </row>
    <row r="300" spans="2:12" x14ac:dyDescent="0.25">
      <c r="B300" s="49" t="s">
        <v>572</v>
      </c>
      <c r="C300" s="49" t="s">
        <v>37</v>
      </c>
      <c r="D300" s="58">
        <v>45857</v>
      </c>
      <c r="E300" s="51" t="s">
        <v>22</v>
      </c>
      <c r="F300" s="50" t="s">
        <v>30</v>
      </c>
      <c r="G300" s="52" t="s">
        <v>68</v>
      </c>
      <c r="H300" s="53">
        <v>5</v>
      </c>
      <c r="I300" s="54">
        <v>799</v>
      </c>
      <c r="J300" s="54">
        <v>544.66999999999996</v>
      </c>
      <c r="K300" s="54">
        <v>3450.33</v>
      </c>
      <c r="L300" s="56" t="s">
        <v>18</v>
      </c>
    </row>
    <row r="301" spans="2:12" x14ac:dyDescent="0.25">
      <c r="B301" s="42" t="s">
        <v>573</v>
      </c>
      <c r="C301" s="42" t="s">
        <v>27</v>
      </c>
      <c r="D301" s="57">
        <v>45983</v>
      </c>
      <c r="E301" s="44" t="s">
        <v>47</v>
      </c>
      <c r="F301" s="43" t="s">
        <v>23</v>
      </c>
      <c r="G301" s="42" t="s">
        <v>43</v>
      </c>
      <c r="H301" s="45">
        <v>3</v>
      </c>
      <c r="I301" s="46">
        <v>350</v>
      </c>
      <c r="J301" s="46">
        <v>0</v>
      </c>
      <c r="K301" s="46">
        <v>1050</v>
      </c>
      <c r="L301" s="48" t="s">
        <v>32</v>
      </c>
    </row>
    <row r="302" spans="2:12" x14ac:dyDescent="0.25">
      <c r="B302" s="49" t="s">
        <v>574</v>
      </c>
      <c r="C302" s="49" t="s">
        <v>71</v>
      </c>
      <c r="D302" s="58">
        <v>45777</v>
      </c>
      <c r="E302" s="51" t="s">
        <v>47</v>
      </c>
      <c r="F302" s="50" t="s">
        <v>52</v>
      </c>
      <c r="G302" s="52" t="s">
        <v>99</v>
      </c>
      <c r="H302" s="53">
        <v>3</v>
      </c>
      <c r="I302" s="54">
        <v>79</v>
      </c>
      <c r="J302" s="54">
        <v>0</v>
      </c>
      <c r="K302" s="54">
        <v>237</v>
      </c>
      <c r="L302" s="56" t="s">
        <v>49</v>
      </c>
    </row>
    <row r="303" spans="2:12" x14ac:dyDescent="0.25">
      <c r="B303" s="42" t="s">
        <v>575</v>
      </c>
      <c r="C303" s="42" t="s">
        <v>95</v>
      </c>
      <c r="D303" s="57">
        <v>45712</v>
      </c>
      <c r="E303" s="44" t="s">
        <v>47</v>
      </c>
      <c r="F303" s="43" t="s">
        <v>30</v>
      </c>
      <c r="G303" s="42" t="s">
        <v>31</v>
      </c>
      <c r="H303" s="45">
        <v>5</v>
      </c>
      <c r="I303" s="46">
        <v>2500</v>
      </c>
      <c r="J303" s="46">
        <v>0</v>
      </c>
      <c r="K303" s="46">
        <v>12500</v>
      </c>
      <c r="L303" s="48" t="s">
        <v>44</v>
      </c>
    </row>
    <row r="304" spans="2:12" x14ac:dyDescent="0.25">
      <c r="B304" s="49" t="s">
        <v>576</v>
      </c>
      <c r="C304" s="49" t="s">
        <v>101</v>
      </c>
      <c r="D304" s="58">
        <v>45919</v>
      </c>
      <c r="E304" s="51" t="s">
        <v>15</v>
      </c>
      <c r="F304" s="50" t="s">
        <v>23</v>
      </c>
      <c r="G304" s="52" t="s">
        <v>88</v>
      </c>
      <c r="H304" s="53">
        <v>1</v>
      </c>
      <c r="I304" s="54">
        <v>650</v>
      </c>
      <c r="J304" s="54">
        <v>0</v>
      </c>
      <c r="K304" s="54">
        <v>650</v>
      </c>
      <c r="L304" s="56" t="s">
        <v>49</v>
      </c>
    </row>
    <row r="305" spans="2:12" x14ac:dyDescent="0.25">
      <c r="B305" s="42" t="s">
        <v>577</v>
      </c>
      <c r="C305" s="42" t="s">
        <v>27</v>
      </c>
      <c r="D305" s="57">
        <v>45693</v>
      </c>
      <c r="E305" s="44" t="s">
        <v>15</v>
      </c>
      <c r="F305" s="43" t="s">
        <v>52</v>
      </c>
      <c r="G305" s="42" t="s">
        <v>61</v>
      </c>
      <c r="H305" s="45">
        <v>1</v>
      </c>
      <c r="I305" s="46">
        <v>199</v>
      </c>
      <c r="J305" s="46">
        <v>0</v>
      </c>
      <c r="K305" s="46">
        <v>199</v>
      </c>
      <c r="L305" s="48" t="s">
        <v>44</v>
      </c>
    </row>
    <row r="306" spans="2:12" x14ac:dyDescent="0.25">
      <c r="B306" s="49" t="s">
        <v>578</v>
      </c>
      <c r="C306" s="49" t="s">
        <v>41</v>
      </c>
      <c r="D306" s="58">
        <v>45909</v>
      </c>
      <c r="E306" s="51" t="s">
        <v>47</v>
      </c>
      <c r="F306" s="50" t="s">
        <v>16</v>
      </c>
      <c r="G306" s="52" t="s">
        <v>116</v>
      </c>
      <c r="H306" s="53">
        <v>1</v>
      </c>
      <c r="I306" s="54">
        <v>45</v>
      </c>
      <c r="J306" s="54">
        <v>0</v>
      </c>
      <c r="K306" s="54">
        <v>45</v>
      </c>
      <c r="L306" s="56" t="s">
        <v>89</v>
      </c>
    </row>
    <row r="307" spans="2:12" x14ac:dyDescent="0.25">
      <c r="B307" s="42" t="s">
        <v>580</v>
      </c>
      <c r="C307" s="42" t="s">
        <v>63</v>
      </c>
      <c r="D307" s="57">
        <v>45880</v>
      </c>
      <c r="E307" s="44" t="s">
        <v>47</v>
      </c>
      <c r="F307" s="43" t="s">
        <v>52</v>
      </c>
      <c r="G307" s="42" t="s">
        <v>75</v>
      </c>
      <c r="H307" s="45">
        <v>1</v>
      </c>
      <c r="I307" s="46">
        <v>249</v>
      </c>
      <c r="J307" s="46">
        <v>19.440000000000001</v>
      </c>
      <c r="K307" s="46">
        <v>229.56</v>
      </c>
      <c r="L307" s="48" t="s">
        <v>44</v>
      </c>
    </row>
    <row r="308" spans="2:12" x14ac:dyDescent="0.25">
      <c r="B308" s="49" t="s">
        <v>581</v>
      </c>
      <c r="C308" s="49" t="s">
        <v>110</v>
      </c>
      <c r="D308" s="58">
        <v>45870</v>
      </c>
      <c r="E308" s="51" t="s">
        <v>22</v>
      </c>
      <c r="F308" s="50" t="s">
        <v>23</v>
      </c>
      <c r="G308" s="52" t="s">
        <v>43</v>
      </c>
      <c r="H308" s="53">
        <v>4</v>
      </c>
      <c r="I308" s="54">
        <v>350</v>
      </c>
      <c r="J308" s="54">
        <v>0</v>
      </c>
      <c r="K308" s="54">
        <v>1400</v>
      </c>
      <c r="L308" s="56" t="s">
        <v>25</v>
      </c>
    </row>
    <row r="309" spans="2:12" x14ac:dyDescent="0.25">
      <c r="B309" s="42" t="s">
        <v>582</v>
      </c>
      <c r="C309" s="42" t="s">
        <v>27</v>
      </c>
      <c r="D309" s="57">
        <v>45941</v>
      </c>
      <c r="E309" s="44" t="s">
        <v>22</v>
      </c>
      <c r="F309" s="43" t="s">
        <v>52</v>
      </c>
      <c r="G309" s="42" t="s">
        <v>61</v>
      </c>
      <c r="H309" s="45">
        <v>4</v>
      </c>
      <c r="I309" s="46">
        <v>199</v>
      </c>
      <c r="J309" s="46">
        <v>65.75</v>
      </c>
      <c r="K309" s="46">
        <v>730.25</v>
      </c>
      <c r="L309" s="48" t="s">
        <v>65</v>
      </c>
    </row>
    <row r="310" spans="2:12" x14ac:dyDescent="0.25">
      <c r="B310" s="49" t="s">
        <v>583</v>
      </c>
      <c r="C310" s="49" t="s">
        <v>63</v>
      </c>
      <c r="D310" s="58">
        <v>45895</v>
      </c>
      <c r="E310" s="51" t="s">
        <v>39</v>
      </c>
      <c r="F310" s="50" t="s">
        <v>23</v>
      </c>
      <c r="G310" s="52" t="s">
        <v>88</v>
      </c>
      <c r="H310" s="53">
        <v>4</v>
      </c>
      <c r="I310" s="54">
        <v>650</v>
      </c>
      <c r="J310" s="54">
        <v>0</v>
      </c>
      <c r="K310" s="54">
        <v>2600</v>
      </c>
      <c r="L310" s="56" t="s">
        <v>18</v>
      </c>
    </row>
    <row r="311" spans="2:12" x14ac:dyDescent="0.25">
      <c r="B311" s="42" t="s">
        <v>584</v>
      </c>
      <c r="C311" s="42" t="s">
        <v>71</v>
      </c>
      <c r="D311" s="57">
        <v>45723</v>
      </c>
      <c r="E311" s="44" t="s">
        <v>47</v>
      </c>
      <c r="F311" s="43" t="s">
        <v>23</v>
      </c>
      <c r="G311" s="42" t="s">
        <v>43</v>
      </c>
      <c r="H311" s="45">
        <v>5</v>
      </c>
      <c r="I311" s="46">
        <v>350</v>
      </c>
      <c r="J311" s="46">
        <v>0</v>
      </c>
      <c r="K311" s="46">
        <v>1750</v>
      </c>
      <c r="L311" s="48" t="s">
        <v>65</v>
      </c>
    </row>
    <row r="312" spans="2:12" x14ac:dyDescent="0.25">
      <c r="B312" s="49" t="s">
        <v>585</v>
      </c>
      <c r="C312" s="49" t="s">
        <v>37</v>
      </c>
      <c r="D312" s="58">
        <v>45821</v>
      </c>
      <c r="E312" s="51" t="s">
        <v>39</v>
      </c>
      <c r="F312" s="50" t="s">
        <v>52</v>
      </c>
      <c r="G312" s="52" t="s">
        <v>99</v>
      </c>
      <c r="H312" s="53">
        <v>4</v>
      </c>
      <c r="I312" s="54">
        <v>79</v>
      </c>
      <c r="J312" s="54">
        <v>33.67</v>
      </c>
      <c r="K312" s="54">
        <v>282.33</v>
      </c>
      <c r="L312" s="56" t="s">
        <v>32</v>
      </c>
    </row>
    <row r="313" spans="2:12" x14ac:dyDescent="0.25">
      <c r="B313" s="42" t="s">
        <v>587</v>
      </c>
      <c r="C313" s="42" t="s">
        <v>13</v>
      </c>
      <c r="D313" s="57">
        <v>45792</v>
      </c>
      <c r="E313" s="44" t="s">
        <v>22</v>
      </c>
      <c r="F313" s="43" t="s">
        <v>52</v>
      </c>
      <c r="G313" s="42" t="s">
        <v>53</v>
      </c>
      <c r="H313" s="45">
        <v>2</v>
      </c>
      <c r="I313" s="46">
        <v>149</v>
      </c>
      <c r="J313" s="46">
        <v>17.98</v>
      </c>
      <c r="K313" s="46">
        <v>280.02</v>
      </c>
      <c r="L313" s="48" t="s">
        <v>89</v>
      </c>
    </row>
    <row r="314" spans="2:12" x14ac:dyDescent="0.25">
      <c r="B314" s="49" t="s">
        <v>588</v>
      </c>
      <c r="C314" s="49" t="s">
        <v>37</v>
      </c>
      <c r="D314" s="58">
        <v>45772</v>
      </c>
      <c r="E314" s="51" t="s">
        <v>29</v>
      </c>
      <c r="F314" s="50" t="s">
        <v>16</v>
      </c>
      <c r="G314" s="52" t="s">
        <v>103</v>
      </c>
      <c r="H314" s="53">
        <v>3</v>
      </c>
      <c r="I314" s="54">
        <v>89</v>
      </c>
      <c r="J314" s="54">
        <v>0</v>
      </c>
      <c r="K314" s="54">
        <v>267</v>
      </c>
      <c r="L314" s="56" t="s">
        <v>89</v>
      </c>
    </row>
    <row r="315" spans="2:12" x14ac:dyDescent="0.25">
      <c r="B315" s="42" t="s">
        <v>589</v>
      </c>
      <c r="C315" s="42" t="s">
        <v>63</v>
      </c>
      <c r="D315" s="57">
        <v>45934</v>
      </c>
      <c r="E315" s="44" t="s">
        <v>22</v>
      </c>
      <c r="F315" s="43" t="s">
        <v>30</v>
      </c>
      <c r="G315" s="42" t="s">
        <v>152</v>
      </c>
      <c r="H315" s="45">
        <v>1</v>
      </c>
      <c r="I315" s="46">
        <v>4500</v>
      </c>
      <c r="J315" s="46">
        <v>61.84</v>
      </c>
      <c r="K315" s="46">
        <v>4438.16</v>
      </c>
      <c r="L315" s="48" t="s">
        <v>65</v>
      </c>
    </row>
    <row r="316" spans="2:12" x14ac:dyDescent="0.25">
      <c r="B316" s="49" t="s">
        <v>590</v>
      </c>
      <c r="C316" s="49" t="s">
        <v>55</v>
      </c>
      <c r="D316" s="58">
        <v>45947</v>
      </c>
      <c r="E316" s="51" t="s">
        <v>39</v>
      </c>
      <c r="F316" s="50" t="s">
        <v>23</v>
      </c>
      <c r="G316" s="52" t="s">
        <v>43</v>
      </c>
      <c r="H316" s="53">
        <v>2</v>
      </c>
      <c r="I316" s="54">
        <v>350</v>
      </c>
      <c r="J316" s="54">
        <v>81.709999999999994</v>
      </c>
      <c r="K316" s="54">
        <v>618.29</v>
      </c>
      <c r="L316" s="56" t="s">
        <v>89</v>
      </c>
    </row>
    <row r="317" spans="2:12" x14ac:dyDescent="0.25">
      <c r="B317" s="42" t="s">
        <v>592</v>
      </c>
      <c r="C317" s="42" t="s">
        <v>34</v>
      </c>
      <c r="D317" s="57">
        <v>45936</v>
      </c>
      <c r="E317" s="44" t="s">
        <v>22</v>
      </c>
      <c r="F317" s="43" t="s">
        <v>16</v>
      </c>
      <c r="G317" s="42" t="s">
        <v>17</v>
      </c>
      <c r="H317" s="45">
        <v>2</v>
      </c>
      <c r="I317" s="46">
        <v>39</v>
      </c>
      <c r="J317" s="46">
        <v>0</v>
      </c>
      <c r="K317" s="46">
        <v>78</v>
      </c>
      <c r="L317" s="48" t="s">
        <v>44</v>
      </c>
    </row>
    <row r="318" spans="2:12" x14ac:dyDescent="0.25">
      <c r="B318" s="49" t="s">
        <v>593</v>
      </c>
      <c r="C318" s="49" t="s">
        <v>71</v>
      </c>
      <c r="D318" s="58">
        <v>45697</v>
      </c>
      <c r="E318" s="51" t="s">
        <v>29</v>
      </c>
      <c r="F318" s="50" t="s">
        <v>23</v>
      </c>
      <c r="G318" s="52" t="s">
        <v>24</v>
      </c>
      <c r="H318" s="53">
        <v>4</v>
      </c>
      <c r="I318" s="54">
        <v>180</v>
      </c>
      <c r="J318" s="54">
        <v>0</v>
      </c>
      <c r="K318" s="54">
        <v>720</v>
      </c>
      <c r="L318" s="56" t="s">
        <v>32</v>
      </c>
    </row>
    <row r="319" spans="2:12" x14ac:dyDescent="0.25">
      <c r="B319" s="42" t="s">
        <v>594</v>
      </c>
      <c r="C319" s="42" t="s">
        <v>63</v>
      </c>
      <c r="D319" s="57">
        <v>45839</v>
      </c>
      <c r="E319" s="44" t="s">
        <v>15</v>
      </c>
      <c r="F319" s="43" t="s">
        <v>30</v>
      </c>
      <c r="G319" s="42" t="s">
        <v>31</v>
      </c>
      <c r="H319" s="45">
        <v>2</v>
      </c>
      <c r="I319" s="46">
        <v>2500</v>
      </c>
      <c r="J319" s="46">
        <v>0</v>
      </c>
      <c r="K319" s="46">
        <v>5000</v>
      </c>
      <c r="L319" s="48" t="s">
        <v>49</v>
      </c>
    </row>
    <row r="320" spans="2:12" x14ac:dyDescent="0.25">
      <c r="B320" s="49" t="s">
        <v>595</v>
      </c>
      <c r="C320" s="49" t="s">
        <v>20</v>
      </c>
      <c r="D320" s="58">
        <v>45705</v>
      </c>
      <c r="E320" s="51" t="s">
        <v>39</v>
      </c>
      <c r="F320" s="50" t="s">
        <v>30</v>
      </c>
      <c r="G320" s="52" t="s">
        <v>152</v>
      </c>
      <c r="H320" s="53">
        <v>5</v>
      </c>
      <c r="I320" s="54">
        <v>4500</v>
      </c>
      <c r="J320" s="54">
        <v>0</v>
      </c>
      <c r="K320" s="54">
        <v>22500</v>
      </c>
      <c r="L320" s="56" t="s">
        <v>69</v>
      </c>
    </row>
    <row r="321" spans="2:12" x14ac:dyDescent="0.25">
      <c r="B321" s="42" t="s">
        <v>597</v>
      </c>
      <c r="C321" s="42" t="s">
        <v>41</v>
      </c>
      <c r="D321" s="57">
        <v>45732</v>
      </c>
      <c r="E321" s="44" t="s">
        <v>22</v>
      </c>
      <c r="F321" s="43" t="s">
        <v>52</v>
      </c>
      <c r="G321" s="42" t="s">
        <v>99</v>
      </c>
      <c r="H321" s="45">
        <v>2</v>
      </c>
      <c r="I321" s="46">
        <v>79</v>
      </c>
      <c r="J321" s="46">
        <v>14.97</v>
      </c>
      <c r="K321" s="46">
        <v>143.03</v>
      </c>
      <c r="L321" s="48" t="s">
        <v>44</v>
      </c>
    </row>
    <row r="322" spans="2:12" x14ac:dyDescent="0.25">
      <c r="B322" s="49" t="s">
        <v>598</v>
      </c>
      <c r="C322" s="49" t="s">
        <v>13</v>
      </c>
      <c r="D322" s="58">
        <v>45944</v>
      </c>
      <c r="E322" s="51" t="s">
        <v>15</v>
      </c>
      <c r="F322" s="50" t="s">
        <v>23</v>
      </c>
      <c r="G322" s="52" t="s">
        <v>48</v>
      </c>
      <c r="H322" s="53">
        <v>3</v>
      </c>
      <c r="I322" s="54">
        <v>450</v>
      </c>
      <c r="J322" s="54">
        <v>183.8</v>
      </c>
      <c r="K322" s="54">
        <v>1166.2</v>
      </c>
      <c r="L322" s="56" t="s">
        <v>69</v>
      </c>
    </row>
    <row r="323" spans="2:12" x14ac:dyDescent="0.25">
      <c r="B323" s="42" t="s">
        <v>600</v>
      </c>
      <c r="C323" s="42" t="s">
        <v>71</v>
      </c>
      <c r="D323" s="57">
        <v>45831</v>
      </c>
      <c r="E323" s="44" t="s">
        <v>39</v>
      </c>
      <c r="F323" s="43" t="s">
        <v>52</v>
      </c>
      <c r="G323" s="42" t="s">
        <v>99</v>
      </c>
      <c r="H323" s="45">
        <v>5</v>
      </c>
      <c r="I323" s="46">
        <v>79</v>
      </c>
      <c r="J323" s="46">
        <v>0</v>
      </c>
      <c r="K323" s="46">
        <v>395</v>
      </c>
      <c r="L323" s="48" t="s">
        <v>89</v>
      </c>
    </row>
    <row r="324" spans="2:12" x14ac:dyDescent="0.25">
      <c r="B324" s="49" t="s">
        <v>602</v>
      </c>
      <c r="C324" s="49" t="s">
        <v>37</v>
      </c>
      <c r="D324" s="58">
        <v>45992</v>
      </c>
      <c r="E324" s="51" t="s">
        <v>29</v>
      </c>
      <c r="F324" s="50" t="s">
        <v>16</v>
      </c>
      <c r="G324" s="52" t="s">
        <v>78</v>
      </c>
      <c r="H324" s="53">
        <v>4</v>
      </c>
      <c r="I324" s="54">
        <v>59</v>
      </c>
      <c r="J324" s="54">
        <v>6.23</v>
      </c>
      <c r="K324" s="54">
        <v>229.77</v>
      </c>
      <c r="L324" s="56" t="s">
        <v>32</v>
      </c>
    </row>
    <row r="325" spans="2:12" x14ac:dyDescent="0.25">
      <c r="B325" s="42" t="s">
        <v>604</v>
      </c>
      <c r="C325" s="42" t="s">
        <v>101</v>
      </c>
      <c r="D325" s="57">
        <v>45666</v>
      </c>
      <c r="E325" s="44" t="s">
        <v>29</v>
      </c>
      <c r="F325" s="43" t="s">
        <v>23</v>
      </c>
      <c r="G325" s="42" t="s">
        <v>48</v>
      </c>
      <c r="H325" s="45">
        <v>5</v>
      </c>
      <c r="I325" s="46">
        <v>450</v>
      </c>
      <c r="J325" s="46">
        <v>99.44</v>
      </c>
      <c r="K325" s="46">
        <v>2150.56</v>
      </c>
      <c r="L325" s="48" t="s">
        <v>32</v>
      </c>
    </row>
    <row r="326" spans="2:12" x14ac:dyDescent="0.25">
      <c r="B326" s="49" t="s">
        <v>605</v>
      </c>
      <c r="C326" s="49" t="s">
        <v>110</v>
      </c>
      <c r="D326" s="58">
        <v>45916</v>
      </c>
      <c r="E326" s="51" t="s">
        <v>22</v>
      </c>
      <c r="F326" s="50" t="s">
        <v>30</v>
      </c>
      <c r="G326" s="52" t="s">
        <v>152</v>
      </c>
      <c r="H326" s="53">
        <v>4</v>
      </c>
      <c r="I326" s="54">
        <v>4500</v>
      </c>
      <c r="J326" s="54">
        <v>1896.3</v>
      </c>
      <c r="K326" s="54">
        <v>16103.7</v>
      </c>
      <c r="L326" s="56" t="s">
        <v>65</v>
      </c>
    </row>
    <row r="327" spans="2:12" x14ac:dyDescent="0.25">
      <c r="B327" s="42" t="s">
        <v>606</v>
      </c>
      <c r="C327" s="42" t="s">
        <v>63</v>
      </c>
      <c r="D327" s="57">
        <v>45768</v>
      </c>
      <c r="E327" s="44" t="s">
        <v>15</v>
      </c>
      <c r="F327" s="43" t="s">
        <v>23</v>
      </c>
      <c r="G327" s="42" t="s">
        <v>24</v>
      </c>
      <c r="H327" s="45">
        <v>5</v>
      </c>
      <c r="I327" s="46">
        <v>180</v>
      </c>
      <c r="J327" s="46">
        <v>109.92</v>
      </c>
      <c r="K327" s="46">
        <v>790.08</v>
      </c>
      <c r="L327" s="48" t="s">
        <v>44</v>
      </c>
    </row>
    <row r="328" spans="2:12" x14ac:dyDescent="0.25">
      <c r="B328" s="49" t="s">
        <v>607</v>
      </c>
      <c r="C328" s="49" t="s">
        <v>37</v>
      </c>
      <c r="D328" s="58">
        <v>45936</v>
      </c>
      <c r="E328" s="51" t="s">
        <v>15</v>
      </c>
      <c r="F328" s="50" t="s">
        <v>16</v>
      </c>
      <c r="G328" s="52" t="s">
        <v>103</v>
      </c>
      <c r="H328" s="53">
        <v>4</v>
      </c>
      <c r="I328" s="54">
        <v>89</v>
      </c>
      <c r="J328" s="54">
        <v>11.87</v>
      </c>
      <c r="K328" s="54">
        <v>344.13</v>
      </c>
      <c r="L328" s="56" t="s">
        <v>44</v>
      </c>
    </row>
    <row r="329" spans="2:12" x14ac:dyDescent="0.25">
      <c r="B329" s="42" t="s">
        <v>608</v>
      </c>
      <c r="C329" s="42" t="s">
        <v>27</v>
      </c>
      <c r="D329" s="57">
        <v>45884</v>
      </c>
      <c r="E329" s="44" t="s">
        <v>29</v>
      </c>
      <c r="F329" s="43" t="s">
        <v>23</v>
      </c>
      <c r="G329" s="42" t="s">
        <v>48</v>
      </c>
      <c r="H329" s="45">
        <v>5</v>
      </c>
      <c r="I329" s="46">
        <v>450</v>
      </c>
      <c r="J329" s="46">
        <v>0</v>
      </c>
      <c r="K329" s="46">
        <v>2250</v>
      </c>
      <c r="L329" s="48" t="s">
        <v>89</v>
      </c>
    </row>
    <row r="330" spans="2:12" x14ac:dyDescent="0.25">
      <c r="B330" s="49" t="s">
        <v>609</v>
      </c>
      <c r="C330" s="49" t="s">
        <v>13</v>
      </c>
      <c r="D330" s="58">
        <v>45831</v>
      </c>
      <c r="E330" s="51" t="s">
        <v>29</v>
      </c>
      <c r="F330" s="50" t="s">
        <v>30</v>
      </c>
      <c r="G330" s="52" t="s">
        <v>68</v>
      </c>
      <c r="H330" s="53">
        <v>1</v>
      </c>
      <c r="I330" s="54">
        <v>799</v>
      </c>
      <c r="J330" s="54">
        <v>40.880000000000003</v>
      </c>
      <c r="K330" s="54">
        <v>758.12</v>
      </c>
      <c r="L330" s="56" t="s">
        <v>25</v>
      </c>
    </row>
    <row r="331" spans="2:12" x14ac:dyDescent="0.25">
      <c r="B331" s="42" t="s">
        <v>610</v>
      </c>
      <c r="C331" s="42" t="s">
        <v>71</v>
      </c>
      <c r="D331" s="57">
        <v>45735</v>
      </c>
      <c r="E331" s="44" t="s">
        <v>29</v>
      </c>
      <c r="F331" s="43" t="s">
        <v>23</v>
      </c>
      <c r="G331" s="42" t="s">
        <v>24</v>
      </c>
      <c r="H331" s="45">
        <v>4</v>
      </c>
      <c r="I331" s="46">
        <v>180</v>
      </c>
      <c r="J331" s="46">
        <v>91.09</v>
      </c>
      <c r="K331" s="46">
        <v>628.91</v>
      </c>
      <c r="L331" s="48" t="s">
        <v>32</v>
      </c>
    </row>
    <row r="332" spans="2:12" x14ac:dyDescent="0.25">
      <c r="B332" s="49" t="s">
        <v>611</v>
      </c>
      <c r="C332" s="49" t="s">
        <v>55</v>
      </c>
      <c r="D332" s="58">
        <v>45908</v>
      </c>
      <c r="E332" s="51" t="s">
        <v>15</v>
      </c>
      <c r="F332" s="50" t="s">
        <v>52</v>
      </c>
      <c r="G332" s="52" t="s">
        <v>75</v>
      </c>
      <c r="H332" s="53">
        <v>2</v>
      </c>
      <c r="I332" s="54">
        <v>249</v>
      </c>
      <c r="J332" s="54">
        <v>61.63</v>
      </c>
      <c r="K332" s="54">
        <v>436.37</v>
      </c>
      <c r="L332" s="56" t="s">
        <v>44</v>
      </c>
    </row>
    <row r="333" spans="2:12" x14ac:dyDescent="0.25">
      <c r="B333" s="42" t="s">
        <v>613</v>
      </c>
      <c r="C333" s="42" t="s">
        <v>110</v>
      </c>
      <c r="D333" s="57">
        <v>45691</v>
      </c>
      <c r="E333" s="44" t="s">
        <v>29</v>
      </c>
      <c r="F333" s="43" t="s">
        <v>16</v>
      </c>
      <c r="G333" s="42" t="s">
        <v>17</v>
      </c>
      <c r="H333" s="45">
        <v>5</v>
      </c>
      <c r="I333" s="46">
        <v>39</v>
      </c>
      <c r="J333" s="46">
        <v>3.88</v>
      </c>
      <c r="K333" s="46">
        <v>191.12</v>
      </c>
      <c r="L333" s="48" t="s">
        <v>25</v>
      </c>
    </row>
    <row r="334" spans="2:12" x14ac:dyDescent="0.25">
      <c r="B334" s="49" t="s">
        <v>615</v>
      </c>
      <c r="C334" s="49" t="s">
        <v>110</v>
      </c>
      <c r="D334" s="58">
        <v>45769</v>
      </c>
      <c r="E334" s="51" t="s">
        <v>29</v>
      </c>
      <c r="F334" s="50" t="s">
        <v>52</v>
      </c>
      <c r="G334" s="52" t="s">
        <v>99</v>
      </c>
      <c r="H334" s="53">
        <v>2</v>
      </c>
      <c r="I334" s="54">
        <v>79</v>
      </c>
      <c r="J334" s="54">
        <v>0</v>
      </c>
      <c r="K334" s="54">
        <v>158</v>
      </c>
      <c r="L334" s="56" t="s">
        <v>69</v>
      </c>
    </row>
    <row r="335" spans="2:12" x14ac:dyDescent="0.25">
      <c r="B335" s="42" t="s">
        <v>617</v>
      </c>
      <c r="C335" s="42" t="s">
        <v>34</v>
      </c>
      <c r="D335" s="57">
        <v>45757</v>
      </c>
      <c r="E335" s="44" t="s">
        <v>39</v>
      </c>
      <c r="F335" s="43" t="s">
        <v>52</v>
      </c>
      <c r="G335" s="42" t="s">
        <v>61</v>
      </c>
      <c r="H335" s="45">
        <v>1</v>
      </c>
      <c r="I335" s="46">
        <v>199</v>
      </c>
      <c r="J335" s="46">
        <v>21.62</v>
      </c>
      <c r="K335" s="46">
        <v>177.38</v>
      </c>
      <c r="L335" s="48" t="s">
        <v>65</v>
      </c>
    </row>
    <row r="336" spans="2:12" x14ac:dyDescent="0.25">
      <c r="B336" s="49" t="s">
        <v>619</v>
      </c>
      <c r="C336" s="49" t="s">
        <v>34</v>
      </c>
      <c r="D336" s="58">
        <v>45778</v>
      </c>
      <c r="E336" s="51" t="s">
        <v>22</v>
      </c>
      <c r="F336" s="50" t="s">
        <v>16</v>
      </c>
      <c r="G336" s="52" t="s">
        <v>116</v>
      </c>
      <c r="H336" s="53">
        <v>1</v>
      </c>
      <c r="I336" s="54">
        <v>45</v>
      </c>
      <c r="J336" s="54">
        <v>0</v>
      </c>
      <c r="K336" s="54">
        <v>45</v>
      </c>
      <c r="L336" s="56" t="s">
        <v>25</v>
      </c>
    </row>
    <row r="337" spans="2:12" x14ac:dyDescent="0.25">
      <c r="B337" s="42" t="s">
        <v>620</v>
      </c>
      <c r="C337" s="42" t="s">
        <v>71</v>
      </c>
      <c r="D337" s="57">
        <v>45760</v>
      </c>
      <c r="E337" s="44" t="s">
        <v>29</v>
      </c>
      <c r="F337" s="43" t="s">
        <v>52</v>
      </c>
      <c r="G337" s="42" t="s">
        <v>75</v>
      </c>
      <c r="H337" s="45">
        <v>5</v>
      </c>
      <c r="I337" s="46">
        <v>249</v>
      </c>
      <c r="J337" s="46">
        <v>0</v>
      </c>
      <c r="K337" s="46">
        <v>1245</v>
      </c>
      <c r="L337" s="48" t="s">
        <v>32</v>
      </c>
    </row>
    <row r="338" spans="2:12" x14ac:dyDescent="0.25">
      <c r="B338" s="49" t="s">
        <v>621</v>
      </c>
      <c r="C338" s="49" t="s">
        <v>34</v>
      </c>
      <c r="D338" s="58">
        <v>46023</v>
      </c>
      <c r="E338" s="51" t="s">
        <v>22</v>
      </c>
      <c r="F338" s="50" t="s">
        <v>23</v>
      </c>
      <c r="G338" s="52" t="s">
        <v>48</v>
      </c>
      <c r="H338" s="53">
        <v>1</v>
      </c>
      <c r="I338" s="54">
        <v>450</v>
      </c>
      <c r="J338" s="54">
        <v>45.62</v>
      </c>
      <c r="K338" s="54">
        <v>404.38</v>
      </c>
      <c r="L338" s="56" t="s">
        <v>65</v>
      </c>
    </row>
    <row r="339" spans="2:12" x14ac:dyDescent="0.25">
      <c r="B339" s="42" t="s">
        <v>623</v>
      </c>
      <c r="C339" s="42" t="s">
        <v>101</v>
      </c>
      <c r="D339" s="57">
        <v>45684</v>
      </c>
      <c r="E339" s="44" t="s">
        <v>29</v>
      </c>
      <c r="F339" s="43" t="s">
        <v>16</v>
      </c>
      <c r="G339" s="42" t="s">
        <v>78</v>
      </c>
      <c r="H339" s="45">
        <v>1</v>
      </c>
      <c r="I339" s="46">
        <v>59</v>
      </c>
      <c r="J339" s="46">
        <v>4.01</v>
      </c>
      <c r="K339" s="46">
        <v>54.99</v>
      </c>
      <c r="L339" s="48" t="s">
        <v>18</v>
      </c>
    </row>
    <row r="340" spans="2:12" x14ac:dyDescent="0.25">
      <c r="B340" s="49" t="s">
        <v>624</v>
      </c>
      <c r="C340" s="49" t="s">
        <v>20</v>
      </c>
      <c r="D340" s="58">
        <v>45985</v>
      </c>
      <c r="E340" s="51" t="s">
        <v>22</v>
      </c>
      <c r="F340" s="50" t="s">
        <v>23</v>
      </c>
      <c r="G340" s="52" t="s">
        <v>43</v>
      </c>
      <c r="H340" s="53">
        <v>2</v>
      </c>
      <c r="I340" s="54">
        <v>350</v>
      </c>
      <c r="J340" s="54">
        <v>101.57</v>
      </c>
      <c r="K340" s="54">
        <v>598.43000000000006</v>
      </c>
      <c r="L340" s="56" t="s">
        <v>49</v>
      </c>
    </row>
    <row r="341" spans="2:12" x14ac:dyDescent="0.25">
      <c r="B341" s="42" t="s">
        <v>625</v>
      </c>
      <c r="C341" s="42" t="s">
        <v>101</v>
      </c>
      <c r="D341" s="57">
        <v>45843</v>
      </c>
      <c r="E341" s="44" t="s">
        <v>39</v>
      </c>
      <c r="F341" s="43" t="s">
        <v>16</v>
      </c>
      <c r="G341" s="42" t="s">
        <v>78</v>
      </c>
      <c r="H341" s="45">
        <v>1</v>
      </c>
      <c r="I341" s="46">
        <v>59</v>
      </c>
      <c r="J341" s="46">
        <v>0</v>
      </c>
      <c r="K341" s="46">
        <v>59</v>
      </c>
      <c r="L341" s="48" t="s">
        <v>69</v>
      </c>
    </row>
    <row r="342" spans="2:12" x14ac:dyDescent="0.25">
      <c r="B342" s="49" t="s">
        <v>626</v>
      </c>
      <c r="C342" s="49" t="s">
        <v>101</v>
      </c>
      <c r="D342" s="58">
        <v>45840</v>
      </c>
      <c r="E342" s="51" t="s">
        <v>39</v>
      </c>
      <c r="F342" s="50" t="s">
        <v>52</v>
      </c>
      <c r="G342" s="52" t="s">
        <v>99</v>
      </c>
      <c r="H342" s="53">
        <v>3</v>
      </c>
      <c r="I342" s="54">
        <v>79</v>
      </c>
      <c r="J342" s="54">
        <v>0</v>
      </c>
      <c r="K342" s="54">
        <v>237</v>
      </c>
      <c r="L342" s="56" t="s">
        <v>65</v>
      </c>
    </row>
    <row r="343" spans="2:12" x14ac:dyDescent="0.25">
      <c r="B343" s="42" t="s">
        <v>628</v>
      </c>
      <c r="C343" s="42" t="s">
        <v>20</v>
      </c>
      <c r="D343" s="57">
        <v>46029</v>
      </c>
      <c r="E343" s="44" t="s">
        <v>15</v>
      </c>
      <c r="F343" s="43" t="s">
        <v>16</v>
      </c>
      <c r="G343" s="42" t="s">
        <v>116</v>
      </c>
      <c r="H343" s="45">
        <v>5</v>
      </c>
      <c r="I343" s="46">
        <v>45</v>
      </c>
      <c r="J343" s="46">
        <v>14.74</v>
      </c>
      <c r="K343" s="46">
        <v>210.26</v>
      </c>
      <c r="L343" s="48" t="s">
        <v>25</v>
      </c>
    </row>
    <row r="344" spans="2:12" x14ac:dyDescent="0.25">
      <c r="B344" s="49" t="s">
        <v>629</v>
      </c>
      <c r="C344" s="49" t="s">
        <v>34</v>
      </c>
      <c r="D344" s="58">
        <v>46005</v>
      </c>
      <c r="E344" s="51" t="s">
        <v>39</v>
      </c>
      <c r="F344" s="50" t="s">
        <v>16</v>
      </c>
      <c r="G344" s="52" t="s">
        <v>78</v>
      </c>
      <c r="H344" s="53">
        <v>2</v>
      </c>
      <c r="I344" s="54">
        <v>59</v>
      </c>
      <c r="J344" s="54">
        <v>0</v>
      </c>
      <c r="K344" s="54">
        <v>118</v>
      </c>
      <c r="L344" s="56" t="s">
        <v>18</v>
      </c>
    </row>
    <row r="345" spans="2:12" x14ac:dyDescent="0.25">
      <c r="B345" s="42" t="s">
        <v>631</v>
      </c>
      <c r="C345" s="42" t="s">
        <v>13</v>
      </c>
      <c r="D345" s="57">
        <v>46008</v>
      </c>
      <c r="E345" s="44" t="s">
        <v>29</v>
      </c>
      <c r="F345" s="43" t="s">
        <v>23</v>
      </c>
      <c r="G345" s="42" t="s">
        <v>24</v>
      </c>
      <c r="H345" s="45">
        <v>2</v>
      </c>
      <c r="I345" s="46">
        <v>180</v>
      </c>
      <c r="J345" s="46">
        <v>14.92</v>
      </c>
      <c r="K345" s="46">
        <v>345.08</v>
      </c>
      <c r="L345" s="48" t="s">
        <v>65</v>
      </c>
    </row>
    <row r="346" spans="2:12" x14ac:dyDescent="0.25">
      <c r="B346" s="49" t="s">
        <v>633</v>
      </c>
      <c r="C346" s="49" t="s">
        <v>101</v>
      </c>
      <c r="D346" s="58">
        <v>46009</v>
      </c>
      <c r="E346" s="51" t="s">
        <v>47</v>
      </c>
      <c r="F346" s="50" t="s">
        <v>52</v>
      </c>
      <c r="G346" s="52" t="s">
        <v>99</v>
      </c>
      <c r="H346" s="53">
        <v>4</v>
      </c>
      <c r="I346" s="54">
        <v>79</v>
      </c>
      <c r="J346" s="54">
        <v>0</v>
      </c>
      <c r="K346" s="54">
        <v>316</v>
      </c>
      <c r="L346" s="56" t="s">
        <v>69</v>
      </c>
    </row>
    <row r="347" spans="2:12" x14ac:dyDescent="0.25">
      <c r="B347" s="42" t="s">
        <v>635</v>
      </c>
      <c r="C347" s="42" t="s">
        <v>34</v>
      </c>
      <c r="D347" s="57">
        <v>45843</v>
      </c>
      <c r="E347" s="44" t="s">
        <v>29</v>
      </c>
      <c r="F347" s="43" t="s">
        <v>52</v>
      </c>
      <c r="G347" s="42" t="s">
        <v>75</v>
      </c>
      <c r="H347" s="45">
        <v>3</v>
      </c>
      <c r="I347" s="46">
        <v>249</v>
      </c>
      <c r="J347" s="46">
        <v>0</v>
      </c>
      <c r="K347" s="46">
        <v>747</v>
      </c>
      <c r="L347" s="48" t="s">
        <v>25</v>
      </c>
    </row>
    <row r="348" spans="2:12" x14ac:dyDescent="0.25">
      <c r="B348" s="49" t="s">
        <v>636</v>
      </c>
      <c r="C348" s="49" t="s">
        <v>71</v>
      </c>
      <c r="D348" s="58">
        <v>45969</v>
      </c>
      <c r="E348" s="51" t="s">
        <v>29</v>
      </c>
      <c r="F348" s="50" t="s">
        <v>30</v>
      </c>
      <c r="G348" s="52" t="s">
        <v>68</v>
      </c>
      <c r="H348" s="53">
        <v>2</v>
      </c>
      <c r="I348" s="54">
        <v>799</v>
      </c>
      <c r="J348" s="54">
        <v>0</v>
      </c>
      <c r="K348" s="54">
        <v>1598</v>
      </c>
      <c r="L348" s="56" t="s">
        <v>65</v>
      </c>
    </row>
    <row r="349" spans="2:12" x14ac:dyDescent="0.25">
      <c r="B349" s="42" t="s">
        <v>637</v>
      </c>
      <c r="C349" s="42" t="s">
        <v>41</v>
      </c>
      <c r="D349" s="57">
        <v>45752</v>
      </c>
      <c r="E349" s="44" t="s">
        <v>29</v>
      </c>
      <c r="F349" s="43" t="s">
        <v>16</v>
      </c>
      <c r="G349" s="42" t="s">
        <v>103</v>
      </c>
      <c r="H349" s="45">
        <v>1</v>
      </c>
      <c r="I349" s="46">
        <v>89</v>
      </c>
      <c r="J349" s="46">
        <v>0.31</v>
      </c>
      <c r="K349" s="46">
        <v>88.69</v>
      </c>
      <c r="L349" s="48" t="s">
        <v>32</v>
      </c>
    </row>
    <row r="350" spans="2:12" x14ac:dyDescent="0.25">
      <c r="B350" s="49" t="s">
        <v>639</v>
      </c>
      <c r="C350" s="49" t="s">
        <v>95</v>
      </c>
      <c r="D350" s="58">
        <v>45905</v>
      </c>
      <c r="E350" s="51" t="s">
        <v>29</v>
      </c>
      <c r="F350" s="50" t="s">
        <v>52</v>
      </c>
      <c r="G350" s="52" t="s">
        <v>61</v>
      </c>
      <c r="H350" s="53">
        <v>4</v>
      </c>
      <c r="I350" s="54">
        <v>199</v>
      </c>
      <c r="J350" s="54">
        <v>0</v>
      </c>
      <c r="K350" s="54">
        <v>796</v>
      </c>
      <c r="L350" s="56" t="s">
        <v>65</v>
      </c>
    </row>
    <row r="351" spans="2:12" x14ac:dyDescent="0.25">
      <c r="B351" s="42" t="s">
        <v>640</v>
      </c>
      <c r="C351" s="42" t="s">
        <v>95</v>
      </c>
      <c r="D351" s="57">
        <v>45802</v>
      </c>
      <c r="E351" s="44" t="s">
        <v>39</v>
      </c>
      <c r="F351" s="43" t="s">
        <v>30</v>
      </c>
      <c r="G351" s="42" t="s">
        <v>68</v>
      </c>
      <c r="H351" s="45">
        <v>3</v>
      </c>
      <c r="I351" s="46">
        <v>799</v>
      </c>
      <c r="J351" s="46">
        <v>0</v>
      </c>
      <c r="K351" s="46">
        <v>2397</v>
      </c>
      <c r="L351" s="48" t="s">
        <v>65</v>
      </c>
    </row>
    <row r="352" spans="2:12" x14ac:dyDescent="0.25">
      <c r="B352" s="49" t="s">
        <v>641</v>
      </c>
      <c r="C352" s="49" t="s">
        <v>71</v>
      </c>
      <c r="D352" s="58">
        <v>46003</v>
      </c>
      <c r="E352" s="51" t="s">
        <v>15</v>
      </c>
      <c r="F352" s="50" t="s">
        <v>52</v>
      </c>
      <c r="G352" s="52" t="s">
        <v>99</v>
      </c>
      <c r="H352" s="53">
        <v>1</v>
      </c>
      <c r="I352" s="54">
        <v>79</v>
      </c>
      <c r="J352" s="54">
        <v>4.5999999999999996</v>
      </c>
      <c r="K352" s="54">
        <v>74.400000000000006</v>
      </c>
      <c r="L352" s="56" t="s">
        <v>49</v>
      </c>
    </row>
    <row r="353" spans="2:12" x14ac:dyDescent="0.25">
      <c r="B353" s="42" t="s">
        <v>642</v>
      </c>
      <c r="C353" s="42" t="s">
        <v>20</v>
      </c>
      <c r="D353" s="57">
        <v>45768</v>
      </c>
      <c r="E353" s="44" t="s">
        <v>22</v>
      </c>
      <c r="F353" s="43" t="s">
        <v>16</v>
      </c>
      <c r="G353" s="42" t="s">
        <v>116</v>
      </c>
      <c r="H353" s="45">
        <v>3</v>
      </c>
      <c r="I353" s="46">
        <v>45</v>
      </c>
      <c r="J353" s="46">
        <v>0</v>
      </c>
      <c r="K353" s="46">
        <v>135</v>
      </c>
      <c r="L353" s="48" t="s">
        <v>44</v>
      </c>
    </row>
    <row r="354" spans="2:12" x14ac:dyDescent="0.25">
      <c r="B354" s="49" t="s">
        <v>643</v>
      </c>
      <c r="C354" s="49" t="s">
        <v>41</v>
      </c>
      <c r="D354" s="58">
        <v>45912</v>
      </c>
      <c r="E354" s="51" t="s">
        <v>22</v>
      </c>
      <c r="F354" s="50" t="s">
        <v>23</v>
      </c>
      <c r="G354" s="52" t="s">
        <v>88</v>
      </c>
      <c r="H354" s="53">
        <v>5</v>
      </c>
      <c r="I354" s="54">
        <v>650</v>
      </c>
      <c r="J354" s="54">
        <v>0</v>
      </c>
      <c r="K354" s="54">
        <v>3250</v>
      </c>
      <c r="L354" s="56" t="s">
        <v>25</v>
      </c>
    </row>
    <row r="355" spans="2:12" x14ac:dyDescent="0.25">
      <c r="B355" s="42" t="s">
        <v>644</v>
      </c>
      <c r="C355" s="42" t="s">
        <v>101</v>
      </c>
      <c r="D355" s="57">
        <v>45774</v>
      </c>
      <c r="E355" s="44" t="s">
        <v>15</v>
      </c>
      <c r="F355" s="43" t="s">
        <v>23</v>
      </c>
      <c r="G355" s="42" t="s">
        <v>88</v>
      </c>
      <c r="H355" s="45">
        <v>2</v>
      </c>
      <c r="I355" s="46">
        <v>650</v>
      </c>
      <c r="J355" s="46">
        <v>0</v>
      </c>
      <c r="K355" s="46">
        <v>1300</v>
      </c>
      <c r="L355" s="48" t="s">
        <v>65</v>
      </c>
    </row>
    <row r="356" spans="2:12" x14ac:dyDescent="0.25">
      <c r="B356" s="49" t="s">
        <v>645</v>
      </c>
      <c r="C356" s="49" t="s">
        <v>95</v>
      </c>
      <c r="D356" s="58">
        <v>46047</v>
      </c>
      <c r="E356" s="51" t="s">
        <v>39</v>
      </c>
      <c r="F356" s="50" t="s">
        <v>52</v>
      </c>
      <c r="G356" s="52" t="s">
        <v>61</v>
      </c>
      <c r="H356" s="53">
        <v>4</v>
      </c>
      <c r="I356" s="54">
        <v>199</v>
      </c>
      <c r="J356" s="54">
        <v>32.75</v>
      </c>
      <c r="K356" s="54">
        <v>763.25</v>
      </c>
      <c r="L356" s="56" t="s">
        <v>18</v>
      </c>
    </row>
    <row r="357" spans="2:12" x14ac:dyDescent="0.25">
      <c r="B357" s="42" t="s">
        <v>646</v>
      </c>
      <c r="C357" s="42" t="s">
        <v>71</v>
      </c>
      <c r="D357" s="57">
        <v>46004</v>
      </c>
      <c r="E357" s="44" t="s">
        <v>22</v>
      </c>
      <c r="F357" s="43" t="s">
        <v>52</v>
      </c>
      <c r="G357" s="42" t="s">
        <v>53</v>
      </c>
      <c r="H357" s="45">
        <v>3</v>
      </c>
      <c r="I357" s="46">
        <v>149</v>
      </c>
      <c r="J357" s="46">
        <v>55.79</v>
      </c>
      <c r="K357" s="46">
        <v>391.21</v>
      </c>
      <c r="L357" s="48" t="s">
        <v>65</v>
      </c>
    </row>
    <row r="358" spans="2:12" x14ac:dyDescent="0.25">
      <c r="B358" s="49" t="s">
        <v>647</v>
      </c>
      <c r="C358" s="49" t="s">
        <v>63</v>
      </c>
      <c r="D358" s="58">
        <v>45853</v>
      </c>
      <c r="E358" s="51" t="s">
        <v>47</v>
      </c>
      <c r="F358" s="50" t="s">
        <v>23</v>
      </c>
      <c r="G358" s="52" t="s">
        <v>88</v>
      </c>
      <c r="H358" s="53">
        <v>3</v>
      </c>
      <c r="I358" s="54">
        <v>650</v>
      </c>
      <c r="J358" s="54">
        <v>0</v>
      </c>
      <c r="K358" s="54">
        <v>1950</v>
      </c>
      <c r="L358" s="56" t="s">
        <v>65</v>
      </c>
    </row>
    <row r="359" spans="2:12" x14ac:dyDescent="0.25">
      <c r="B359" s="42" t="s">
        <v>648</v>
      </c>
      <c r="C359" s="42" t="s">
        <v>34</v>
      </c>
      <c r="D359" s="57">
        <v>46023</v>
      </c>
      <c r="E359" s="44" t="s">
        <v>15</v>
      </c>
      <c r="F359" s="43" t="s">
        <v>23</v>
      </c>
      <c r="G359" s="42" t="s">
        <v>24</v>
      </c>
      <c r="H359" s="45">
        <v>1</v>
      </c>
      <c r="I359" s="46">
        <v>180</v>
      </c>
      <c r="J359" s="46">
        <v>17.440000000000001</v>
      </c>
      <c r="K359" s="46">
        <v>162.56</v>
      </c>
      <c r="L359" s="48" t="s">
        <v>18</v>
      </c>
    </row>
    <row r="360" spans="2:12" x14ac:dyDescent="0.25">
      <c r="B360" s="49" t="s">
        <v>649</v>
      </c>
      <c r="C360" s="49" t="s">
        <v>95</v>
      </c>
      <c r="D360" s="58">
        <v>45974</v>
      </c>
      <c r="E360" s="51" t="s">
        <v>15</v>
      </c>
      <c r="F360" s="50" t="s">
        <v>23</v>
      </c>
      <c r="G360" s="52" t="s">
        <v>48</v>
      </c>
      <c r="H360" s="53">
        <v>4</v>
      </c>
      <c r="I360" s="54">
        <v>450</v>
      </c>
      <c r="J360" s="54">
        <v>0</v>
      </c>
      <c r="K360" s="54">
        <v>1800</v>
      </c>
      <c r="L360" s="56" t="s">
        <v>69</v>
      </c>
    </row>
    <row r="361" spans="2:12" x14ac:dyDescent="0.25">
      <c r="B361" s="42" t="s">
        <v>651</v>
      </c>
      <c r="C361" s="42" t="s">
        <v>37</v>
      </c>
      <c r="D361" s="57">
        <v>45935</v>
      </c>
      <c r="E361" s="44" t="s">
        <v>29</v>
      </c>
      <c r="F361" s="43" t="s">
        <v>23</v>
      </c>
      <c r="G361" s="42" t="s">
        <v>48</v>
      </c>
      <c r="H361" s="45">
        <v>2</v>
      </c>
      <c r="I361" s="46">
        <v>450</v>
      </c>
      <c r="J361" s="46">
        <v>89.1</v>
      </c>
      <c r="K361" s="46">
        <v>810.9</v>
      </c>
      <c r="L361" s="48" t="s">
        <v>49</v>
      </c>
    </row>
    <row r="362" spans="2:12" x14ac:dyDescent="0.25">
      <c r="B362" s="49" t="s">
        <v>653</v>
      </c>
      <c r="C362" s="49" t="s">
        <v>95</v>
      </c>
      <c r="D362" s="58">
        <v>45803</v>
      </c>
      <c r="E362" s="51" t="s">
        <v>29</v>
      </c>
      <c r="F362" s="50" t="s">
        <v>30</v>
      </c>
      <c r="G362" s="52" t="s">
        <v>106</v>
      </c>
      <c r="H362" s="53">
        <v>1</v>
      </c>
      <c r="I362" s="54">
        <v>299</v>
      </c>
      <c r="J362" s="54">
        <v>41.99</v>
      </c>
      <c r="K362" s="54">
        <v>257.01</v>
      </c>
      <c r="L362" s="56" t="s">
        <v>32</v>
      </c>
    </row>
    <row r="363" spans="2:12" x14ac:dyDescent="0.25">
      <c r="B363" s="42" t="s">
        <v>654</v>
      </c>
      <c r="C363" s="42" t="s">
        <v>41</v>
      </c>
      <c r="D363" s="57">
        <v>45892</v>
      </c>
      <c r="E363" s="44" t="s">
        <v>47</v>
      </c>
      <c r="F363" s="43" t="s">
        <v>23</v>
      </c>
      <c r="G363" s="42" t="s">
        <v>88</v>
      </c>
      <c r="H363" s="45">
        <v>3</v>
      </c>
      <c r="I363" s="46">
        <v>650</v>
      </c>
      <c r="J363" s="46">
        <v>0</v>
      </c>
      <c r="K363" s="46">
        <v>1950</v>
      </c>
      <c r="L363" s="48" t="s">
        <v>69</v>
      </c>
    </row>
    <row r="364" spans="2:12" x14ac:dyDescent="0.25">
      <c r="B364" s="49" t="s">
        <v>656</v>
      </c>
      <c r="C364" s="49" t="s">
        <v>110</v>
      </c>
      <c r="D364" s="58">
        <v>45920</v>
      </c>
      <c r="E364" s="51" t="s">
        <v>29</v>
      </c>
      <c r="F364" s="50" t="s">
        <v>23</v>
      </c>
      <c r="G364" s="52" t="s">
        <v>43</v>
      </c>
      <c r="H364" s="53">
        <v>3</v>
      </c>
      <c r="I364" s="54">
        <v>350</v>
      </c>
      <c r="J364" s="54">
        <v>0</v>
      </c>
      <c r="K364" s="54">
        <v>1050</v>
      </c>
      <c r="L364" s="56" t="s">
        <v>44</v>
      </c>
    </row>
    <row r="365" spans="2:12" x14ac:dyDescent="0.25">
      <c r="B365" s="42" t="s">
        <v>657</v>
      </c>
      <c r="C365" s="42" t="s">
        <v>34</v>
      </c>
      <c r="D365" s="57">
        <v>45991</v>
      </c>
      <c r="E365" s="44" t="s">
        <v>39</v>
      </c>
      <c r="F365" s="43" t="s">
        <v>52</v>
      </c>
      <c r="G365" s="42" t="s">
        <v>75</v>
      </c>
      <c r="H365" s="45">
        <v>3</v>
      </c>
      <c r="I365" s="46">
        <v>249</v>
      </c>
      <c r="J365" s="46">
        <v>32.880000000000003</v>
      </c>
      <c r="K365" s="46">
        <v>714.12</v>
      </c>
      <c r="L365" s="48" t="s">
        <v>65</v>
      </c>
    </row>
    <row r="366" spans="2:12" x14ac:dyDescent="0.25">
      <c r="B366" s="49" t="s">
        <v>658</v>
      </c>
      <c r="C366" s="49" t="s">
        <v>71</v>
      </c>
      <c r="D366" s="58">
        <v>46009</v>
      </c>
      <c r="E366" s="51" t="s">
        <v>22</v>
      </c>
      <c r="F366" s="50" t="s">
        <v>16</v>
      </c>
      <c r="G366" s="52" t="s">
        <v>78</v>
      </c>
      <c r="H366" s="53">
        <v>4</v>
      </c>
      <c r="I366" s="54">
        <v>59</v>
      </c>
      <c r="J366" s="54">
        <v>0</v>
      </c>
      <c r="K366" s="54">
        <v>236</v>
      </c>
      <c r="L366" s="56" t="s">
        <v>89</v>
      </c>
    </row>
    <row r="367" spans="2:12" x14ac:dyDescent="0.25">
      <c r="B367" s="42" t="s">
        <v>659</v>
      </c>
      <c r="C367" s="42" t="s">
        <v>71</v>
      </c>
      <c r="D367" s="57">
        <v>45771</v>
      </c>
      <c r="E367" s="44" t="s">
        <v>15</v>
      </c>
      <c r="F367" s="43" t="s">
        <v>30</v>
      </c>
      <c r="G367" s="42" t="s">
        <v>31</v>
      </c>
      <c r="H367" s="45">
        <v>2</v>
      </c>
      <c r="I367" s="46">
        <v>2500</v>
      </c>
      <c r="J367" s="46">
        <v>0</v>
      </c>
      <c r="K367" s="46">
        <v>5000</v>
      </c>
      <c r="L367" s="48" t="s">
        <v>18</v>
      </c>
    </row>
    <row r="368" spans="2:12" x14ac:dyDescent="0.25">
      <c r="B368" s="49" t="s">
        <v>660</v>
      </c>
      <c r="C368" s="49" t="s">
        <v>41</v>
      </c>
      <c r="D368" s="58">
        <v>45919</v>
      </c>
      <c r="E368" s="51" t="s">
        <v>39</v>
      </c>
      <c r="F368" s="50" t="s">
        <v>30</v>
      </c>
      <c r="G368" s="52" t="s">
        <v>106</v>
      </c>
      <c r="H368" s="53">
        <v>5</v>
      </c>
      <c r="I368" s="54">
        <v>299</v>
      </c>
      <c r="J368" s="54">
        <v>33.43</v>
      </c>
      <c r="K368" s="54">
        <v>1461.57</v>
      </c>
      <c r="L368" s="56" t="s">
        <v>49</v>
      </c>
    </row>
    <row r="369" spans="2:12" x14ac:dyDescent="0.25">
      <c r="B369" s="42" t="s">
        <v>661</v>
      </c>
      <c r="C369" s="42" t="s">
        <v>34</v>
      </c>
      <c r="D369" s="57">
        <v>46034</v>
      </c>
      <c r="E369" s="44" t="s">
        <v>47</v>
      </c>
      <c r="F369" s="43" t="s">
        <v>52</v>
      </c>
      <c r="G369" s="42" t="s">
        <v>75</v>
      </c>
      <c r="H369" s="45">
        <v>5</v>
      </c>
      <c r="I369" s="46">
        <v>249</v>
      </c>
      <c r="J369" s="46">
        <v>0</v>
      </c>
      <c r="K369" s="46">
        <v>1245</v>
      </c>
      <c r="L369" s="48" t="s">
        <v>65</v>
      </c>
    </row>
    <row r="370" spans="2:12" x14ac:dyDescent="0.25">
      <c r="B370" s="49" t="s">
        <v>662</v>
      </c>
      <c r="C370" s="49" t="s">
        <v>63</v>
      </c>
      <c r="D370" s="58">
        <v>45947</v>
      </c>
      <c r="E370" s="51" t="s">
        <v>47</v>
      </c>
      <c r="F370" s="50" t="s">
        <v>52</v>
      </c>
      <c r="G370" s="52" t="s">
        <v>53</v>
      </c>
      <c r="H370" s="53">
        <v>1</v>
      </c>
      <c r="I370" s="54">
        <v>149</v>
      </c>
      <c r="J370" s="54">
        <v>11.32</v>
      </c>
      <c r="K370" s="54">
        <v>137.68</v>
      </c>
      <c r="L370" s="56" t="s">
        <v>25</v>
      </c>
    </row>
    <row r="371" spans="2:12" x14ac:dyDescent="0.25">
      <c r="B371" s="42" t="s">
        <v>663</v>
      </c>
      <c r="C371" s="42" t="s">
        <v>55</v>
      </c>
      <c r="D371" s="57">
        <v>45783</v>
      </c>
      <c r="E371" s="44" t="s">
        <v>15</v>
      </c>
      <c r="F371" s="43" t="s">
        <v>16</v>
      </c>
      <c r="G371" s="42" t="s">
        <v>116</v>
      </c>
      <c r="H371" s="45">
        <v>1</v>
      </c>
      <c r="I371" s="46">
        <v>45</v>
      </c>
      <c r="J371" s="46">
        <v>0.65</v>
      </c>
      <c r="K371" s="46">
        <v>44.35</v>
      </c>
      <c r="L371" s="48" t="s">
        <v>44</v>
      </c>
    </row>
    <row r="372" spans="2:12" x14ac:dyDescent="0.25">
      <c r="B372" s="49" t="s">
        <v>665</v>
      </c>
      <c r="C372" s="49" t="s">
        <v>55</v>
      </c>
      <c r="D372" s="58">
        <v>46055</v>
      </c>
      <c r="E372" s="51" t="s">
        <v>47</v>
      </c>
      <c r="F372" s="50" t="s">
        <v>16</v>
      </c>
      <c r="G372" s="52" t="s">
        <v>103</v>
      </c>
      <c r="H372" s="53">
        <v>4</v>
      </c>
      <c r="I372" s="54">
        <v>89</v>
      </c>
      <c r="J372" s="54">
        <v>0</v>
      </c>
      <c r="K372" s="54">
        <v>356</v>
      </c>
      <c r="L372" s="56" t="s">
        <v>32</v>
      </c>
    </row>
    <row r="373" spans="2:12" x14ac:dyDescent="0.25">
      <c r="B373" s="42" t="s">
        <v>666</v>
      </c>
      <c r="C373" s="42" t="s">
        <v>110</v>
      </c>
      <c r="D373" s="57">
        <v>45825</v>
      </c>
      <c r="E373" s="44" t="s">
        <v>47</v>
      </c>
      <c r="F373" s="43" t="s">
        <v>30</v>
      </c>
      <c r="G373" s="42" t="s">
        <v>152</v>
      </c>
      <c r="H373" s="45">
        <v>1</v>
      </c>
      <c r="I373" s="46">
        <v>4500</v>
      </c>
      <c r="J373" s="46">
        <v>0</v>
      </c>
      <c r="K373" s="46">
        <v>4500</v>
      </c>
      <c r="L373" s="48" t="s">
        <v>25</v>
      </c>
    </row>
    <row r="374" spans="2:12" x14ac:dyDescent="0.25">
      <c r="B374" s="49" t="s">
        <v>667</v>
      </c>
      <c r="C374" s="49" t="s">
        <v>95</v>
      </c>
      <c r="D374" s="58">
        <v>45682</v>
      </c>
      <c r="E374" s="51" t="s">
        <v>22</v>
      </c>
      <c r="F374" s="50" t="s">
        <v>23</v>
      </c>
      <c r="G374" s="52" t="s">
        <v>48</v>
      </c>
      <c r="H374" s="53">
        <v>4</v>
      </c>
      <c r="I374" s="54">
        <v>450</v>
      </c>
      <c r="J374" s="54">
        <v>0</v>
      </c>
      <c r="K374" s="54">
        <v>1800</v>
      </c>
      <c r="L374" s="56" t="s">
        <v>65</v>
      </c>
    </row>
    <row r="375" spans="2:12" x14ac:dyDescent="0.25">
      <c r="B375" s="42" t="s">
        <v>668</v>
      </c>
      <c r="C375" s="42" t="s">
        <v>110</v>
      </c>
      <c r="D375" s="57">
        <v>45967</v>
      </c>
      <c r="E375" s="44" t="s">
        <v>22</v>
      </c>
      <c r="F375" s="43" t="s">
        <v>30</v>
      </c>
      <c r="G375" s="42" t="s">
        <v>152</v>
      </c>
      <c r="H375" s="45">
        <v>2</v>
      </c>
      <c r="I375" s="46">
        <v>4500</v>
      </c>
      <c r="J375" s="46">
        <v>948.09</v>
      </c>
      <c r="K375" s="46">
        <v>8051.91</v>
      </c>
      <c r="L375" s="48" t="s">
        <v>32</v>
      </c>
    </row>
    <row r="376" spans="2:12" x14ac:dyDescent="0.25">
      <c r="B376" s="49" t="s">
        <v>669</v>
      </c>
      <c r="C376" s="49" t="s">
        <v>37</v>
      </c>
      <c r="D376" s="58">
        <v>46001</v>
      </c>
      <c r="E376" s="51" t="s">
        <v>47</v>
      </c>
      <c r="F376" s="50" t="s">
        <v>23</v>
      </c>
      <c r="G376" s="52" t="s">
        <v>24</v>
      </c>
      <c r="H376" s="53">
        <v>4</v>
      </c>
      <c r="I376" s="54">
        <v>180</v>
      </c>
      <c r="J376" s="54">
        <v>0</v>
      </c>
      <c r="K376" s="54">
        <v>720</v>
      </c>
      <c r="L376" s="56" t="s">
        <v>32</v>
      </c>
    </row>
    <row r="377" spans="2:12" x14ac:dyDescent="0.25">
      <c r="B377" s="42" t="s">
        <v>670</v>
      </c>
      <c r="C377" s="42" t="s">
        <v>27</v>
      </c>
      <c r="D377" s="57">
        <v>46042</v>
      </c>
      <c r="E377" s="44" t="s">
        <v>29</v>
      </c>
      <c r="F377" s="43" t="s">
        <v>52</v>
      </c>
      <c r="G377" s="42" t="s">
        <v>61</v>
      </c>
      <c r="H377" s="45">
        <v>3</v>
      </c>
      <c r="I377" s="46">
        <v>199</v>
      </c>
      <c r="J377" s="46">
        <v>49.41</v>
      </c>
      <c r="K377" s="46">
        <v>547.59</v>
      </c>
      <c r="L377" s="48" t="s">
        <v>89</v>
      </c>
    </row>
    <row r="378" spans="2:12" x14ac:dyDescent="0.25">
      <c r="B378" s="49" t="s">
        <v>672</v>
      </c>
      <c r="C378" s="49" t="s">
        <v>34</v>
      </c>
      <c r="D378" s="58">
        <v>45904</v>
      </c>
      <c r="E378" s="51" t="s">
        <v>47</v>
      </c>
      <c r="F378" s="50" t="s">
        <v>52</v>
      </c>
      <c r="G378" s="52" t="s">
        <v>99</v>
      </c>
      <c r="H378" s="53">
        <v>2</v>
      </c>
      <c r="I378" s="54">
        <v>79</v>
      </c>
      <c r="J378" s="54">
        <v>1.06</v>
      </c>
      <c r="K378" s="54">
        <v>156.94</v>
      </c>
      <c r="L378" s="56" t="s">
        <v>65</v>
      </c>
    </row>
    <row r="379" spans="2:12" x14ac:dyDescent="0.25">
      <c r="B379" s="42" t="s">
        <v>674</v>
      </c>
      <c r="C379" s="42" t="s">
        <v>55</v>
      </c>
      <c r="D379" s="57">
        <v>45777</v>
      </c>
      <c r="E379" s="44" t="s">
        <v>29</v>
      </c>
      <c r="F379" s="43" t="s">
        <v>23</v>
      </c>
      <c r="G379" s="42" t="s">
        <v>48</v>
      </c>
      <c r="H379" s="45">
        <v>5</v>
      </c>
      <c r="I379" s="46">
        <v>450</v>
      </c>
      <c r="J379" s="46">
        <v>5.2</v>
      </c>
      <c r="K379" s="46">
        <v>2244.8000000000002</v>
      </c>
      <c r="L379" s="48" t="s">
        <v>32</v>
      </c>
    </row>
    <row r="380" spans="2:12" x14ac:dyDescent="0.25">
      <c r="B380" s="49" t="s">
        <v>675</v>
      </c>
      <c r="C380" s="49" t="s">
        <v>101</v>
      </c>
      <c r="D380" s="58">
        <v>45840</v>
      </c>
      <c r="E380" s="51" t="s">
        <v>15</v>
      </c>
      <c r="F380" s="50" t="s">
        <v>30</v>
      </c>
      <c r="G380" s="52" t="s">
        <v>152</v>
      </c>
      <c r="H380" s="53">
        <v>1</v>
      </c>
      <c r="I380" s="54">
        <v>4500</v>
      </c>
      <c r="J380" s="54">
        <v>0</v>
      </c>
      <c r="K380" s="54">
        <v>4500</v>
      </c>
      <c r="L380" s="56" t="s">
        <v>49</v>
      </c>
    </row>
    <row r="381" spans="2:12" x14ac:dyDescent="0.25">
      <c r="B381" s="42" t="s">
        <v>676</v>
      </c>
      <c r="C381" s="42" t="s">
        <v>95</v>
      </c>
      <c r="D381" s="57">
        <v>45947</v>
      </c>
      <c r="E381" s="44" t="s">
        <v>15</v>
      </c>
      <c r="F381" s="43" t="s">
        <v>23</v>
      </c>
      <c r="G381" s="42" t="s">
        <v>43</v>
      </c>
      <c r="H381" s="45">
        <v>5</v>
      </c>
      <c r="I381" s="46">
        <v>350</v>
      </c>
      <c r="J381" s="46">
        <v>189.5</v>
      </c>
      <c r="K381" s="46">
        <v>1560.5</v>
      </c>
      <c r="L381" s="48" t="s">
        <v>44</v>
      </c>
    </row>
    <row r="382" spans="2:12" x14ac:dyDescent="0.25">
      <c r="B382" s="49" t="s">
        <v>677</v>
      </c>
      <c r="C382" s="49" t="s">
        <v>63</v>
      </c>
      <c r="D382" s="58">
        <v>45923</v>
      </c>
      <c r="E382" s="51" t="s">
        <v>29</v>
      </c>
      <c r="F382" s="50" t="s">
        <v>30</v>
      </c>
      <c r="G382" s="52" t="s">
        <v>152</v>
      </c>
      <c r="H382" s="53">
        <v>1</v>
      </c>
      <c r="I382" s="54">
        <v>4500</v>
      </c>
      <c r="J382" s="54">
        <v>571.63</v>
      </c>
      <c r="K382" s="54">
        <v>3928.37</v>
      </c>
      <c r="L382" s="56" t="s">
        <v>49</v>
      </c>
    </row>
    <row r="383" spans="2:12" x14ac:dyDescent="0.25">
      <c r="B383" s="42" t="s">
        <v>678</v>
      </c>
      <c r="C383" s="42" t="s">
        <v>55</v>
      </c>
      <c r="D383" s="57">
        <v>45679</v>
      </c>
      <c r="E383" s="44" t="s">
        <v>22</v>
      </c>
      <c r="F383" s="43" t="s">
        <v>52</v>
      </c>
      <c r="G383" s="42" t="s">
        <v>61</v>
      </c>
      <c r="H383" s="45">
        <v>1</v>
      </c>
      <c r="I383" s="46">
        <v>199</v>
      </c>
      <c r="J383" s="46">
        <v>0</v>
      </c>
      <c r="K383" s="46">
        <v>199</v>
      </c>
      <c r="L383" s="48" t="s">
        <v>69</v>
      </c>
    </row>
    <row r="384" spans="2:12" x14ac:dyDescent="0.25">
      <c r="B384" s="49" t="s">
        <v>679</v>
      </c>
      <c r="C384" s="49" t="s">
        <v>71</v>
      </c>
      <c r="D384" s="58">
        <v>45843</v>
      </c>
      <c r="E384" s="51" t="s">
        <v>29</v>
      </c>
      <c r="F384" s="50" t="s">
        <v>52</v>
      </c>
      <c r="G384" s="52" t="s">
        <v>61</v>
      </c>
      <c r="H384" s="53">
        <v>3</v>
      </c>
      <c r="I384" s="54">
        <v>199</v>
      </c>
      <c r="J384" s="54">
        <v>0</v>
      </c>
      <c r="K384" s="54">
        <v>597</v>
      </c>
      <c r="L384" s="56" t="s">
        <v>69</v>
      </c>
    </row>
    <row r="385" spans="2:12" x14ac:dyDescent="0.25">
      <c r="B385" s="42" t="s">
        <v>680</v>
      </c>
      <c r="C385" s="42" t="s">
        <v>55</v>
      </c>
      <c r="D385" s="57">
        <v>45984</v>
      </c>
      <c r="E385" s="44" t="s">
        <v>39</v>
      </c>
      <c r="F385" s="43" t="s">
        <v>16</v>
      </c>
      <c r="G385" s="42" t="s">
        <v>17</v>
      </c>
      <c r="H385" s="45">
        <v>2</v>
      </c>
      <c r="I385" s="46">
        <v>39</v>
      </c>
      <c r="J385" s="46">
        <v>0</v>
      </c>
      <c r="K385" s="46">
        <v>78</v>
      </c>
      <c r="L385" s="48" t="s">
        <v>44</v>
      </c>
    </row>
    <row r="386" spans="2:12" x14ac:dyDescent="0.25">
      <c r="B386" s="49" t="s">
        <v>681</v>
      </c>
      <c r="C386" s="49" t="s">
        <v>20</v>
      </c>
      <c r="D386" s="58">
        <v>45840</v>
      </c>
      <c r="E386" s="51" t="s">
        <v>29</v>
      </c>
      <c r="F386" s="50" t="s">
        <v>23</v>
      </c>
      <c r="G386" s="52" t="s">
        <v>43</v>
      </c>
      <c r="H386" s="53">
        <v>2</v>
      </c>
      <c r="I386" s="54">
        <v>350</v>
      </c>
      <c r="J386" s="54">
        <v>0</v>
      </c>
      <c r="K386" s="54">
        <v>700</v>
      </c>
      <c r="L386" s="56" t="s">
        <v>89</v>
      </c>
    </row>
    <row r="387" spans="2:12" x14ac:dyDescent="0.25">
      <c r="B387" s="42" t="s">
        <v>682</v>
      </c>
      <c r="C387" s="42" t="s">
        <v>63</v>
      </c>
      <c r="D387" s="57">
        <v>45880</v>
      </c>
      <c r="E387" s="44" t="s">
        <v>47</v>
      </c>
      <c r="F387" s="43" t="s">
        <v>16</v>
      </c>
      <c r="G387" s="42" t="s">
        <v>116</v>
      </c>
      <c r="H387" s="45">
        <v>2</v>
      </c>
      <c r="I387" s="46">
        <v>45</v>
      </c>
      <c r="J387" s="46">
        <v>0</v>
      </c>
      <c r="K387" s="46">
        <v>90</v>
      </c>
      <c r="L387" s="48" t="s">
        <v>18</v>
      </c>
    </row>
    <row r="388" spans="2:12" x14ac:dyDescent="0.25">
      <c r="B388" s="49" t="s">
        <v>683</v>
      </c>
      <c r="C388" s="49" t="s">
        <v>110</v>
      </c>
      <c r="D388" s="58">
        <v>45756</v>
      </c>
      <c r="E388" s="51" t="s">
        <v>15</v>
      </c>
      <c r="F388" s="50" t="s">
        <v>52</v>
      </c>
      <c r="G388" s="52" t="s">
        <v>53</v>
      </c>
      <c r="H388" s="53">
        <v>4</v>
      </c>
      <c r="I388" s="54">
        <v>149</v>
      </c>
      <c r="J388" s="54">
        <v>77.180000000000007</v>
      </c>
      <c r="K388" s="54">
        <v>518.81999999999994</v>
      </c>
      <c r="L388" s="56" t="s">
        <v>49</v>
      </c>
    </row>
    <row r="389" spans="2:12" x14ac:dyDescent="0.25">
      <c r="B389" s="42" t="s">
        <v>685</v>
      </c>
      <c r="C389" s="42" t="s">
        <v>13</v>
      </c>
      <c r="D389" s="57">
        <v>45826</v>
      </c>
      <c r="E389" s="44" t="s">
        <v>15</v>
      </c>
      <c r="F389" s="43" t="s">
        <v>16</v>
      </c>
      <c r="G389" s="42" t="s">
        <v>78</v>
      </c>
      <c r="H389" s="45">
        <v>4</v>
      </c>
      <c r="I389" s="46">
        <v>59</v>
      </c>
      <c r="J389" s="46">
        <v>0</v>
      </c>
      <c r="K389" s="46">
        <v>236</v>
      </c>
      <c r="L389" s="48" t="s">
        <v>49</v>
      </c>
    </row>
    <row r="390" spans="2:12" x14ac:dyDescent="0.25">
      <c r="B390" s="49" t="s">
        <v>686</v>
      </c>
      <c r="C390" s="49" t="s">
        <v>41</v>
      </c>
      <c r="D390" s="58">
        <v>45832</v>
      </c>
      <c r="E390" s="51" t="s">
        <v>47</v>
      </c>
      <c r="F390" s="50" t="s">
        <v>16</v>
      </c>
      <c r="G390" s="52" t="s">
        <v>17</v>
      </c>
      <c r="H390" s="53">
        <v>5</v>
      </c>
      <c r="I390" s="54">
        <v>39</v>
      </c>
      <c r="J390" s="54">
        <v>17.899999999999999</v>
      </c>
      <c r="K390" s="54">
        <v>177.1</v>
      </c>
      <c r="L390" s="56" t="s">
        <v>32</v>
      </c>
    </row>
    <row r="391" spans="2:12" x14ac:dyDescent="0.25">
      <c r="B391" s="42" t="s">
        <v>687</v>
      </c>
      <c r="C391" s="42" t="s">
        <v>27</v>
      </c>
      <c r="D391" s="57">
        <v>45943</v>
      </c>
      <c r="E391" s="44" t="s">
        <v>47</v>
      </c>
      <c r="F391" s="43" t="s">
        <v>30</v>
      </c>
      <c r="G391" s="42" t="s">
        <v>68</v>
      </c>
      <c r="H391" s="45">
        <v>4</v>
      </c>
      <c r="I391" s="46">
        <v>799</v>
      </c>
      <c r="J391" s="46">
        <v>133.94999999999999</v>
      </c>
      <c r="K391" s="46">
        <v>3062.05</v>
      </c>
      <c r="L391" s="48" t="s">
        <v>89</v>
      </c>
    </row>
    <row r="392" spans="2:12" x14ac:dyDescent="0.25">
      <c r="B392" s="49" t="s">
        <v>689</v>
      </c>
      <c r="C392" s="49" t="s">
        <v>27</v>
      </c>
      <c r="D392" s="58">
        <v>45794</v>
      </c>
      <c r="E392" s="51" t="s">
        <v>22</v>
      </c>
      <c r="F392" s="50" t="s">
        <v>52</v>
      </c>
      <c r="G392" s="52" t="s">
        <v>53</v>
      </c>
      <c r="H392" s="53">
        <v>4</v>
      </c>
      <c r="I392" s="54">
        <v>149</v>
      </c>
      <c r="J392" s="54">
        <v>0</v>
      </c>
      <c r="K392" s="54">
        <v>596</v>
      </c>
      <c r="L392" s="56" t="s">
        <v>32</v>
      </c>
    </row>
    <row r="393" spans="2:12" x14ac:dyDescent="0.25">
      <c r="B393" s="42" t="s">
        <v>691</v>
      </c>
      <c r="C393" s="42" t="s">
        <v>41</v>
      </c>
      <c r="D393" s="57">
        <v>45921</v>
      </c>
      <c r="E393" s="44" t="s">
        <v>47</v>
      </c>
      <c r="F393" s="43" t="s">
        <v>52</v>
      </c>
      <c r="G393" s="42" t="s">
        <v>53</v>
      </c>
      <c r="H393" s="45">
        <v>5</v>
      </c>
      <c r="I393" s="46">
        <v>149</v>
      </c>
      <c r="J393" s="46">
        <v>0</v>
      </c>
      <c r="K393" s="46">
        <v>745</v>
      </c>
      <c r="L393" s="48" t="s">
        <v>18</v>
      </c>
    </row>
    <row r="394" spans="2:12" x14ac:dyDescent="0.25">
      <c r="B394" s="49" t="s">
        <v>692</v>
      </c>
      <c r="C394" s="49" t="s">
        <v>20</v>
      </c>
      <c r="D394" s="58">
        <v>45791</v>
      </c>
      <c r="E394" s="51" t="s">
        <v>39</v>
      </c>
      <c r="F394" s="50" t="s">
        <v>23</v>
      </c>
      <c r="G394" s="52" t="s">
        <v>43</v>
      </c>
      <c r="H394" s="53">
        <v>3</v>
      </c>
      <c r="I394" s="54">
        <v>350</v>
      </c>
      <c r="J394" s="54">
        <v>0</v>
      </c>
      <c r="K394" s="54">
        <v>1050</v>
      </c>
      <c r="L394" s="56" t="s">
        <v>44</v>
      </c>
    </row>
    <row r="395" spans="2:12" x14ac:dyDescent="0.25">
      <c r="B395" s="42" t="s">
        <v>694</v>
      </c>
      <c r="C395" s="42" t="s">
        <v>63</v>
      </c>
      <c r="D395" s="57">
        <v>45877</v>
      </c>
      <c r="E395" s="44" t="s">
        <v>47</v>
      </c>
      <c r="F395" s="43" t="s">
        <v>30</v>
      </c>
      <c r="G395" s="42" t="s">
        <v>31</v>
      </c>
      <c r="H395" s="45">
        <v>2</v>
      </c>
      <c r="I395" s="46">
        <v>2500</v>
      </c>
      <c r="J395" s="46">
        <v>0</v>
      </c>
      <c r="K395" s="46">
        <v>5000</v>
      </c>
      <c r="L395" s="48" t="s">
        <v>44</v>
      </c>
    </row>
    <row r="396" spans="2:12" x14ac:dyDescent="0.25">
      <c r="B396" s="49" t="s">
        <v>696</v>
      </c>
      <c r="C396" s="49" t="s">
        <v>110</v>
      </c>
      <c r="D396" s="58">
        <v>45927</v>
      </c>
      <c r="E396" s="51" t="s">
        <v>22</v>
      </c>
      <c r="F396" s="50" t="s">
        <v>16</v>
      </c>
      <c r="G396" s="52" t="s">
        <v>116</v>
      </c>
      <c r="H396" s="53">
        <v>2</v>
      </c>
      <c r="I396" s="54">
        <v>45</v>
      </c>
      <c r="J396" s="54">
        <v>0</v>
      </c>
      <c r="K396" s="54">
        <v>90</v>
      </c>
      <c r="L396" s="56" t="s">
        <v>69</v>
      </c>
    </row>
    <row r="397" spans="2:12" x14ac:dyDescent="0.25">
      <c r="B397" s="42" t="s">
        <v>698</v>
      </c>
      <c r="C397" s="42" t="s">
        <v>13</v>
      </c>
      <c r="D397" s="57">
        <v>45724</v>
      </c>
      <c r="E397" s="44" t="s">
        <v>47</v>
      </c>
      <c r="F397" s="43" t="s">
        <v>30</v>
      </c>
      <c r="G397" s="42" t="s">
        <v>31</v>
      </c>
      <c r="H397" s="45">
        <v>1</v>
      </c>
      <c r="I397" s="46">
        <v>2500</v>
      </c>
      <c r="J397" s="46">
        <v>141.71</v>
      </c>
      <c r="K397" s="46">
        <v>2358.29</v>
      </c>
      <c r="L397" s="48" t="s">
        <v>18</v>
      </c>
    </row>
    <row r="398" spans="2:12" x14ac:dyDescent="0.25">
      <c r="B398" s="49" t="s">
        <v>699</v>
      </c>
      <c r="C398" s="49" t="s">
        <v>37</v>
      </c>
      <c r="D398" s="58">
        <v>46013</v>
      </c>
      <c r="E398" s="51" t="s">
        <v>22</v>
      </c>
      <c r="F398" s="50" t="s">
        <v>30</v>
      </c>
      <c r="G398" s="52" t="s">
        <v>106</v>
      </c>
      <c r="H398" s="53">
        <v>2</v>
      </c>
      <c r="I398" s="54">
        <v>299</v>
      </c>
      <c r="J398" s="54">
        <v>4.3899999999999997</v>
      </c>
      <c r="K398" s="54">
        <v>593.61</v>
      </c>
      <c r="L398" s="56" t="s">
        <v>49</v>
      </c>
    </row>
    <row r="399" spans="2:12" x14ac:dyDescent="0.25">
      <c r="B399" s="42" t="s">
        <v>701</v>
      </c>
      <c r="C399" s="42" t="s">
        <v>101</v>
      </c>
      <c r="D399" s="57">
        <v>45860</v>
      </c>
      <c r="E399" s="44" t="s">
        <v>47</v>
      </c>
      <c r="F399" s="43" t="s">
        <v>30</v>
      </c>
      <c r="G399" s="42" t="s">
        <v>106</v>
      </c>
      <c r="H399" s="45">
        <v>5</v>
      </c>
      <c r="I399" s="46">
        <v>299</v>
      </c>
      <c r="J399" s="46">
        <v>133.81</v>
      </c>
      <c r="K399" s="46">
        <v>1361.19</v>
      </c>
      <c r="L399" s="48" t="s">
        <v>69</v>
      </c>
    </row>
    <row r="400" spans="2:12" x14ac:dyDescent="0.25">
      <c r="B400" s="49" t="s">
        <v>702</v>
      </c>
      <c r="C400" s="49" t="s">
        <v>63</v>
      </c>
      <c r="D400" s="58">
        <v>45747</v>
      </c>
      <c r="E400" s="51" t="s">
        <v>39</v>
      </c>
      <c r="F400" s="50" t="s">
        <v>16</v>
      </c>
      <c r="G400" s="52" t="s">
        <v>17</v>
      </c>
      <c r="H400" s="53">
        <v>3</v>
      </c>
      <c r="I400" s="54">
        <v>39</v>
      </c>
      <c r="J400" s="54">
        <v>13.05</v>
      </c>
      <c r="K400" s="54">
        <v>103.95</v>
      </c>
      <c r="L400" s="56" t="s">
        <v>49</v>
      </c>
    </row>
    <row r="401" spans="2:12" x14ac:dyDescent="0.25">
      <c r="B401" s="42" t="s">
        <v>703</v>
      </c>
      <c r="C401" s="42" t="s">
        <v>13</v>
      </c>
      <c r="D401" s="57">
        <v>45794</v>
      </c>
      <c r="E401" s="44" t="s">
        <v>47</v>
      </c>
      <c r="F401" s="43" t="s">
        <v>16</v>
      </c>
      <c r="G401" s="42" t="s">
        <v>116</v>
      </c>
      <c r="H401" s="45">
        <v>4</v>
      </c>
      <c r="I401" s="46">
        <v>45</v>
      </c>
      <c r="J401" s="46">
        <v>0</v>
      </c>
      <c r="K401" s="46">
        <v>180</v>
      </c>
      <c r="L401" s="48" t="s">
        <v>25</v>
      </c>
    </row>
    <row r="402" spans="2:12" x14ac:dyDescent="0.25">
      <c r="B402" s="49" t="s">
        <v>704</v>
      </c>
      <c r="C402" s="49" t="s">
        <v>55</v>
      </c>
      <c r="D402" s="58">
        <v>45886</v>
      </c>
      <c r="E402" s="51" t="s">
        <v>22</v>
      </c>
      <c r="F402" s="50" t="s">
        <v>23</v>
      </c>
      <c r="G402" s="52" t="s">
        <v>88</v>
      </c>
      <c r="H402" s="53">
        <v>1</v>
      </c>
      <c r="I402" s="54">
        <v>650</v>
      </c>
      <c r="J402" s="54">
        <v>0</v>
      </c>
      <c r="K402" s="54">
        <v>650</v>
      </c>
      <c r="L402" s="56" t="s">
        <v>49</v>
      </c>
    </row>
    <row r="403" spans="2:12" x14ac:dyDescent="0.25">
      <c r="B403" s="42" t="s">
        <v>706</v>
      </c>
      <c r="C403" s="42" t="s">
        <v>55</v>
      </c>
      <c r="D403" s="57">
        <v>45951</v>
      </c>
      <c r="E403" s="44" t="s">
        <v>47</v>
      </c>
      <c r="F403" s="43" t="s">
        <v>16</v>
      </c>
      <c r="G403" s="42" t="s">
        <v>78</v>
      </c>
      <c r="H403" s="45">
        <v>3</v>
      </c>
      <c r="I403" s="46">
        <v>59</v>
      </c>
      <c r="J403" s="46">
        <v>7.45</v>
      </c>
      <c r="K403" s="46">
        <v>169.55</v>
      </c>
      <c r="L403" s="48" t="s">
        <v>69</v>
      </c>
    </row>
    <row r="404" spans="2:12" x14ac:dyDescent="0.25">
      <c r="B404" s="49" t="s">
        <v>707</v>
      </c>
      <c r="C404" s="49" t="s">
        <v>34</v>
      </c>
      <c r="D404" s="58">
        <v>45977</v>
      </c>
      <c r="E404" s="51" t="s">
        <v>15</v>
      </c>
      <c r="F404" s="50" t="s">
        <v>30</v>
      </c>
      <c r="G404" s="52" t="s">
        <v>31</v>
      </c>
      <c r="H404" s="53">
        <v>3</v>
      </c>
      <c r="I404" s="54">
        <v>2500</v>
      </c>
      <c r="J404" s="54">
        <v>649.45000000000005</v>
      </c>
      <c r="K404" s="54">
        <v>6850.55</v>
      </c>
      <c r="L404" s="56" t="s">
        <v>25</v>
      </c>
    </row>
    <row r="405" spans="2:12" x14ac:dyDescent="0.25">
      <c r="B405" s="42" t="s">
        <v>709</v>
      </c>
      <c r="C405" s="42" t="s">
        <v>95</v>
      </c>
      <c r="D405" s="57">
        <v>45909</v>
      </c>
      <c r="E405" s="44" t="s">
        <v>47</v>
      </c>
      <c r="F405" s="43" t="s">
        <v>52</v>
      </c>
      <c r="G405" s="42" t="s">
        <v>61</v>
      </c>
      <c r="H405" s="45">
        <v>5</v>
      </c>
      <c r="I405" s="46">
        <v>199</v>
      </c>
      <c r="J405" s="46">
        <v>38.76</v>
      </c>
      <c r="K405" s="46">
        <v>956.24</v>
      </c>
      <c r="L405" s="48" t="s">
        <v>49</v>
      </c>
    </row>
    <row r="406" spans="2:12" x14ac:dyDescent="0.25">
      <c r="B406" s="49" t="s">
        <v>710</v>
      </c>
      <c r="C406" s="49" t="s">
        <v>110</v>
      </c>
      <c r="D406" s="58">
        <v>45726</v>
      </c>
      <c r="E406" s="51" t="s">
        <v>39</v>
      </c>
      <c r="F406" s="50" t="s">
        <v>52</v>
      </c>
      <c r="G406" s="52" t="s">
        <v>99</v>
      </c>
      <c r="H406" s="53">
        <v>2</v>
      </c>
      <c r="I406" s="54">
        <v>79</v>
      </c>
      <c r="J406" s="54">
        <v>0</v>
      </c>
      <c r="K406" s="54">
        <v>158</v>
      </c>
      <c r="L406" s="56" t="s">
        <v>25</v>
      </c>
    </row>
    <row r="407" spans="2:12" x14ac:dyDescent="0.25">
      <c r="B407" s="42" t="s">
        <v>712</v>
      </c>
      <c r="C407" s="42" t="s">
        <v>34</v>
      </c>
      <c r="D407" s="57">
        <v>45999</v>
      </c>
      <c r="E407" s="44" t="s">
        <v>39</v>
      </c>
      <c r="F407" s="43" t="s">
        <v>30</v>
      </c>
      <c r="G407" s="42" t="s">
        <v>31</v>
      </c>
      <c r="H407" s="45">
        <v>5</v>
      </c>
      <c r="I407" s="46">
        <v>2500</v>
      </c>
      <c r="J407" s="46">
        <v>969.41</v>
      </c>
      <c r="K407" s="46">
        <v>11530.59</v>
      </c>
      <c r="L407" s="48" t="s">
        <v>44</v>
      </c>
    </row>
    <row r="408" spans="2:12" x14ac:dyDescent="0.25">
      <c r="B408" s="49" t="s">
        <v>713</v>
      </c>
      <c r="C408" s="49" t="s">
        <v>63</v>
      </c>
      <c r="D408" s="58">
        <v>45966</v>
      </c>
      <c r="E408" s="51" t="s">
        <v>39</v>
      </c>
      <c r="F408" s="50" t="s">
        <v>16</v>
      </c>
      <c r="G408" s="52" t="s">
        <v>116</v>
      </c>
      <c r="H408" s="53">
        <v>5</v>
      </c>
      <c r="I408" s="54">
        <v>45</v>
      </c>
      <c r="J408" s="54">
        <v>21.33</v>
      </c>
      <c r="K408" s="54">
        <v>203.67000000000002</v>
      </c>
      <c r="L408" s="56" t="s">
        <v>32</v>
      </c>
    </row>
    <row r="409" spans="2:12" x14ac:dyDescent="0.25">
      <c r="B409" s="42" t="s">
        <v>715</v>
      </c>
      <c r="C409" s="42" t="s">
        <v>63</v>
      </c>
      <c r="D409" s="57">
        <v>45781</v>
      </c>
      <c r="E409" s="44" t="s">
        <v>29</v>
      </c>
      <c r="F409" s="43" t="s">
        <v>23</v>
      </c>
      <c r="G409" s="42" t="s">
        <v>24</v>
      </c>
      <c r="H409" s="45">
        <v>2</v>
      </c>
      <c r="I409" s="46">
        <v>180</v>
      </c>
      <c r="J409" s="46">
        <v>35.21</v>
      </c>
      <c r="K409" s="46">
        <v>324.79000000000002</v>
      </c>
      <c r="L409" s="48" t="s">
        <v>69</v>
      </c>
    </row>
    <row r="410" spans="2:12" x14ac:dyDescent="0.25">
      <c r="B410" s="49" t="s">
        <v>717</v>
      </c>
      <c r="C410" s="49" t="s">
        <v>71</v>
      </c>
      <c r="D410" s="58">
        <v>45791</v>
      </c>
      <c r="E410" s="51" t="s">
        <v>29</v>
      </c>
      <c r="F410" s="50" t="s">
        <v>52</v>
      </c>
      <c r="G410" s="52" t="s">
        <v>53</v>
      </c>
      <c r="H410" s="53">
        <v>5</v>
      </c>
      <c r="I410" s="54">
        <v>149</v>
      </c>
      <c r="J410" s="54">
        <v>85.61</v>
      </c>
      <c r="K410" s="54">
        <v>659.39</v>
      </c>
      <c r="L410" s="56" t="s">
        <v>32</v>
      </c>
    </row>
    <row r="411" spans="2:12" x14ac:dyDescent="0.25">
      <c r="B411" s="42" t="s">
        <v>718</v>
      </c>
      <c r="C411" s="42" t="s">
        <v>41</v>
      </c>
      <c r="D411" s="57">
        <v>46002</v>
      </c>
      <c r="E411" s="44" t="s">
        <v>39</v>
      </c>
      <c r="F411" s="43" t="s">
        <v>30</v>
      </c>
      <c r="G411" s="42" t="s">
        <v>106</v>
      </c>
      <c r="H411" s="45">
        <v>2</v>
      </c>
      <c r="I411" s="46">
        <v>299</v>
      </c>
      <c r="J411" s="46">
        <v>60.63</v>
      </c>
      <c r="K411" s="46">
        <v>537.37</v>
      </c>
      <c r="L411" s="48" t="s">
        <v>25</v>
      </c>
    </row>
    <row r="412" spans="2:12" x14ac:dyDescent="0.25">
      <c r="B412" s="49" t="s">
        <v>719</v>
      </c>
      <c r="C412" s="49" t="s">
        <v>101</v>
      </c>
      <c r="D412" s="58">
        <v>45903</v>
      </c>
      <c r="E412" s="51" t="s">
        <v>39</v>
      </c>
      <c r="F412" s="50" t="s">
        <v>23</v>
      </c>
      <c r="G412" s="52" t="s">
        <v>48</v>
      </c>
      <c r="H412" s="53">
        <v>1</v>
      </c>
      <c r="I412" s="54">
        <v>450</v>
      </c>
      <c r="J412" s="54">
        <v>61.87</v>
      </c>
      <c r="K412" s="54">
        <v>388.13</v>
      </c>
      <c r="L412" s="56" t="s">
        <v>89</v>
      </c>
    </row>
    <row r="413" spans="2:12" x14ac:dyDescent="0.25">
      <c r="B413" s="42" t="s">
        <v>721</v>
      </c>
      <c r="C413" s="42" t="s">
        <v>13</v>
      </c>
      <c r="D413" s="57">
        <v>45666</v>
      </c>
      <c r="E413" s="44" t="s">
        <v>15</v>
      </c>
      <c r="F413" s="43" t="s">
        <v>16</v>
      </c>
      <c r="G413" s="42" t="s">
        <v>116</v>
      </c>
      <c r="H413" s="45">
        <v>3</v>
      </c>
      <c r="I413" s="46">
        <v>45</v>
      </c>
      <c r="J413" s="46">
        <v>0</v>
      </c>
      <c r="K413" s="46">
        <v>135</v>
      </c>
      <c r="L413" s="48" t="s">
        <v>32</v>
      </c>
    </row>
    <row r="414" spans="2:12" x14ac:dyDescent="0.25">
      <c r="B414" s="49" t="s">
        <v>722</v>
      </c>
      <c r="C414" s="49" t="s">
        <v>41</v>
      </c>
      <c r="D414" s="58">
        <v>45847</v>
      </c>
      <c r="E414" s="51" t="s">
        <v>29</v>
      </c>
      <c r="F414" s="50" t="s">
        <v>30</v>
      </c>
      <c r="G414" s="52" t="s">
        <v>31</v>
      </c>
      <c r="H414" s="53">
        <v>4</v>
      </c>
      <c r="I414" s="54">
        <v>2500</v>
      </c>
      <c r="J414" s="54">
        <v>0</v>
      </c>
      <c r="K414" s="54">
        <v>10000</v>
      </c>
      <c r="L414" s="56" t="s">
        <v>69</v>
      </c>
    </row>
    <row r="415" spans="2:12" x14ac:dyDescent="0.25">
      <c r="B415" s="42" t="s">
        <v>723</v>
      </c>
      <c r="C415" s="42" t="s">
        <v>13</v>
      </c>
      <c r="D415" s="57">
        <v>45784</v>
      </c>
      <c r="E415" s="44" t="s">
        <v>47</v>
      </c>
      <c r="F415" s="43" t="s">
        <v>30</v>
      </c>
      <c r="G415" s="42" t="s">
        <v>68</v>
      </c>
      <c r="H415" s="45">
        <v>2</v>
      </c>
      <c r="I415" s="46">
        <v>799</v>
      </c>
      <c r="J415" s="46">
        <v>126.95</v>
      </c>
      <c r="K415" s="46">
        <v>1471.05</v>
      </c>
      <c r="L415" s="48" t="s">
        <v>18</v>
      </c>
    </row>
    <row r="416" spans="2:12" x14ac:dyDescent="0.25">
      <c r="B416" s="49" t="s">
        <v>725</v>
      </c>
      <c r="C416" s="49" t="s">
        <v>20</v>
      </c>
      <c r="D416" s="58">
        <v>45690</v>
      </c>
      <c r="E416" s="51" t="s">
        <v>22</v>
      </c>
      <c r="F416" s="50" t="s">
        <v>23</v>
      </c>
      <c r="G416" s="52" t="s">
        <v>43</v>
      </c>
      <c r="H416" s="53">
        <v>5</v>
      </c>
      <c r="I416" s="54">
        <v>350</v>
      </c>
      <c r="J416" s="54">
        <v>101.87</v>
      </c>
      <c r="K416" s="54">
        <v>1648.13</v>
      </c>
      <c r="L416" s="56" t="s">
        <v>18</v>
      </c>
    </row>
    <row r="417" spans="2:12" x14ac:dyDescent="0.25">
      <c r="B417" s="42" t="s">
        <v>727</v>
      </c>
      <c r="C417" s="42" t="s">
        <v>13</v>
      </c>
      <c r="D417" s="57">
        <v>45674</v>
      </c>
      <c r="E417" s="44" t="s">
        <v>22</v>
      </c>
      <c r="F417" s="43" t="s">
        <v>30</v>
      </c>
      <c r="G417" s="42" t="s">
        <v>31</v>
      </c>
      <c r="H417" s="45">
        <v>3</v>
      </c>
      <c r="I417" s="46">
        <v>2500</v>
      </c>
      <c r="J417" s="46">
        <v>191.98</v>
      </c>
      <c r="K417" s="46">
        <v>7308.02</v>
      </c>
      <c r="L417" s="48" t="s">
        <v>49</v>
      </c>
    </row>
    <row r="418" spans="2:12" x14ac:dyDescent="0.25">
      <c r="B418" s="49" t="s">
        <v>729</v>
      </c>
      <c r="C418" s="49" t="s">
        <v>34</v>
      </c>
      <c r="D418" s="58">
        <v>45918</v>
      </c>
      <c r="E418" s="51" t="s">
        <v>22</v>
      </c>
      <c r="F418" s="50" t="s">
        <v>23</v>
      </c>
      <c r="G418" s="52" t="s">
        <v>48</v>
      </c>
      <c r="H418" s="53">
        <v>4</v>
      </c>
      <c r="I418" s="54">
        <v>450</v>
      </c>
      <c r="J418" s="54">
        <v>0</v>
      </c>
      <c r="K418" s="54">
        <v>1800</v>
      </c>
      <c r="L418" s="56" t="s">
        <v>25</v>
      </c>
    </row>
    <row r="419" spans="2:12" x14ac:dyDescent="0.25">
      <c r="B419" s="42" t="s">
        <v>730</v>
      </c>
      <c r="C419" s="42" t="s">
        <v>41</v>
      </c>
      <c r="D419" s="57">
        <v>45983</v>
      </c>
      <c r="E419" s="44" t="s">
        <v>39</v>
      </c>
      <c r="F419" s="43" t="s">
        <v>30</v>
      </c>
      <c r="G419" s="42" t="s">
        <v>31</v>
      </c>
      <c r="H419" s="45">
        <v>2</v>
      </c>
      <c r="I419" s="46">
        <v>2500</v>
      </c>
      <c r="J419" s="46">
        <v>492.45</v>
      </c>
      <c r="K419" s="46">
        <v>4507.55</v>
      </c>
      <c r="L419" s="48" t="s">
        <v>25</v>
      </c>
    </row>
    <row r="420" spans="2:12" x14ac:dyDescent="0.25">
      <c r="B420" s="49" t="s">
        <v>731</v>
      </c>
      <c r="C420" s="49" t="s">
        <v>95</v>
      </c>
      <c r="D420" s="58">
        <v>45715</v>
      </c>
      <c r="E420" s="51" t="s">
        <v>15</v>
      </c>
      <c r="F420" s="50" t="s">
        <v>16</v>
      </c>
      <c r="G420" s="52" t="s">
        <v>17</v>
      </c>
      <c r="H420" s="53">
        <v>2</v>
      </c>
      <c r="I420" s="54">
        <v>39</v>
      </c>
      <c r="J420" s="54">
        <v>5.47</v>
      </c>
      <c r="K420" s="54">
        <v>72.53</v>
      </c>
      <c r="L420" s="56" t="s">
        <v>65</v>
      </c>
    </row>
    <row r="421" spans="2:12" x14ac:dyDescent="0.25">
      <c r="B421" s="42" t="s">
        <v>732</v>
      </c>
      <c r="C421" s="42" t="s">
        <v>71</v>
      </c>
      <c r="D421" s="57">
        <v>45795</v>
      </c>
      <c r="E421" s="44" t="s">
        <v>29</v>
      </c>
      <c r="F421" s="43" t="s">
        <v>52</v>
      </c>
      <c r="G421" s="42" t="s">
        <v>53</v>
      </c>
      <c r="H421" s="45">
        <v>1</v>
      </c>
      <c r="I421" s="46">
        <v>149</v>
      </c>
      <c r="J421" s="46">
        <v>0</v>
      </c>
      <c r="K421" s="46">
        <v>149</v>
      </c>
      <c r="L421" s="48" t="s">
        <v>65</v>
      </c>
    </row>
    <row r="422" spans="2:12" x14ac:dyDescent="0.25">
      <c r="B422" s="49" t="s">
        <v>733</v>
      </c>
      <c r="C422" s="49" t="s">
        <v>95</v>
      </c>
      <c r="D422" s="58">
        <v>46004</v>
      </c>
      <c r="E422" s="51" t="s">
        <v>29</v>
      </c>
      <c r="F422" s="50" t="s">
        <v>30</v>
      </c>
      <c r="G422" s="52" t="s">
        <v>68</v>
      </c>
      <c r="H422" s="53">
        <v>4</v>
      </c>
      <c r="I422" s="54">
        <v>799</v>
      </c>
      <c r="J422" s="54">
        <v>0</v>
      </c>
      <c r="K422" s="54">
        <v>3196</v>
      </c>
      <c r="L422" s="56" t="s">
        <v>89</v>
      </c>
    </row>
    <row r="423" spans="2:12" x14ac:dyDescent="0.25">
      <c r="B423" s="42" t="s">
        <v>734</v>
      </c>
      <c r="C423" s="42" t="s">
        <v>110</v>
      </c>
      <c r="D423" s="57">
        <v>46056</v>
      </c>
      <c r="E423" s="44" t="s">
        <v>15</v>
      </c>
      <c r="F423" s="43" t="s">
        <v>30</v>
      </c>
      <c r="G423" s="42" t="s">
        <v>68</v>
      </c>
      <c r="H423" s="45">
        <v>3</v>
      </c>
      <c r="I423" s="46">
        <v>799</v>
      </c>
      <c r="J423" s="46">
        <v>0</v>
      </c>
      <c r="K423" s="46">
        <v>2397</v>
      </c>
      <c r="L423" s="48" t="s">
        <v>69</v>
      </c>
    </row>
    <row r="424" spans="2:12" x14ac:dyDescent="0.25">
      <c r="B424" s="49" t="s">
        <v>735</v>
      </c>
      <c r="C424" s="49" t="s">
        <v>101</v>
      </c>
      <c r="D424" s="58">
        <v>45962</v>
      </c>
      <c r="E424" s="51" t="s">
        <v>47</v>
      </c>
      <c r="F424" s="50" t="s">
        <v>52</v>
      </c>
      <c r="G424" s="52" t="s">
        <v>53</v>
      </c>
      <c r="H424" s="53">
        <v>2</v>
      </c>
      <c r="I424" s="54">
        <v>149</v>
      </c>
      <c r="J424" s="54">
        <v>0</v>
      </c>
      <c r="K424" s="54">
        <v>298</v>
      </c>
      <c r="L424" s="56" t="s">
        <v>89</v>
      </c>
    </row>
    <row r="425" spans="2:12" x14ac:dyDescent="0.25">
      <c r="B425" s="42" t="s">
        <v>736</v>
      </c>
      <c r="C425" s="42" t="s">
        <v>37</v>
      </c>
      <c r="D425" s="57">
        <v>45939</v>
      </c>
      <c r="E425" s="44" t="s">
        <v>29</v>
      </c>
      <c r="F425" s="43" t="s">
        <v>52</v>
      </c>
      <c r="G425" s="42" t="s">
        <v>53</v>
      </c>
      <c r="H425" s="45">
        <v>3</v>
      </c>
      <c r="I425" s="46">
        <v>149</v>
      </c>
      <c r="J425" s="46">
        <v>30.6</v>
      </c>
      <c r="K425" s="46">
        <v>416.4</v>
      </c>
      <c r="L425" s="48" t="s">
        <v>18</v>
      </c>
    </row>
    <row r="426" spans="2:12" x14ac:dyDescent="0.25">
      <c r="B426" s="49" t="s">
        <v>737</v>
      </c>
      <c r="C426" s="49" t="s">
        <v>1689</v>
      </c>
      <c r="D426" s="58">
        <v>45759</v>
      </c>
      <c r="E426" s="51" t="s">
        <v>29</v>
      </c>
      <c r="F426" s="50" t="s">
        <v>30</v>
      </c>
      <c r="G426" s="52" t="s">
        <v>68</v>
      </c>
      <c r="H426" s="53">
        <v>1</v>
      </c>
      <c r="I426" s="54">
        <v>799</v>
      </c>
      <c r="J426" s="54">
        <v>0</v>
      </c>
      <c r="K426" s="54">
        <v>799</v>
      </c>
      <c r="L426" s="56" t="s">
        <v>44</v>
      </c>
    </row>
    <row r="427" spans="2:12" x14ac:dyDescent="0.25">
      <c r="B427" s="42" t="s">
        <v>739</v>
      </c>
      <c r="C427" s="42" t="s">
        <v>63</v>
      </c>
      <c r="D427" s="57">
        <v>46025</v>
      </c>
      <c r="E427" s="44" t="s">
        <v>29</v>
      </c>
      <c r="F427" s="43" t="s">
        <v>30</v>
      </c>
      <c r="G427" s="42" t="s">
        <v>106</v>
      </c>
      <c r="H427" s="45">
        <v>3</v>
      </c>
      <c r="I427" s="46">
        <v>299</v>
      </c>
      <c r="J427" s="46">
        <v>35.04</v>
      </c>
      <c r="K427" s="46">
        <v>861.96</v>
      </c>
      <c r="L427" s="48" t="s">
        <v>25</v>
      </c>
    </row>
    <row r="428" spans="2:12" x14ac:dyDescent="0.25">
      <c r="B428" s="49" t="s">
        <v>741</v>
      </c>
      <c r="C428" s="49" t="s">
        <v>13</v>
      </c>
      <c r="D428" s="58">
        <v>45828</v>
      </c>
      <c r="E428" s="51" t="s">
        <v>29</v>
      </c>
      <c r="F428" s="50" t="s">
        <v>52</v>
      </c>
      <c r="G428" s="52" t="s">
        <v>75</v>
      </c>
      <c r="H428" s="53">
        <v>2</v>
      </c>
      <c r="I428" s="54">
        <v>249</v>
      </c>
      <c r="J428" s="54">
        <v>15.5</v>
      </c>
      <c r="K428" s="54">
        <v>482.5</v>
      </c>
      <c r="L428" s="56" t="s">
        <v>44</v>
      </c>
    </row>
    <row r="429" spans="2:12" x14ac:dyDescent="0.25">
      <c r="B429" s="42" t="s">
        <v>743</v>
      </c>
      <c r="C429" s="42" t="s">
        <v>71</v>
      </c>
      <c r="D429" s="57">
        <v>45926</v>
      </c>
      <c r="E429" s="44" t="s">
        <v>39</v>
      </c>
      <c r="F429" s="43" t="s">
        <v>52</v>
      </c>
      <c r="G429" s="42" t="s">
        <v>75</v>
      </c>
      <c r="H429" s="45">
        <v>3</v>
      </c>
      <c r="I429" s="46">
        <v>249</v>
      </c>
      <c r="J429" s="46">
        <v>0</v>
      </c>
      <c r="K429" s="46">
        <v>747</v>
      </c>
      <c r="L429" s="48" t="s">
        <v>32</v>
      </c>
    </row>
    <row r="430" spans="2:12" x14ac:dyDescent="0.25">
      <c r="B430" s="49" t="s">
        <v>744</v>
      </c>
      <c r="C430" s="49" t="s">
        <v>55</v>
      </c>
      <c r="D430" s="58">
        <v>45858</v>
      </c>
      <c r="E430" s="51" t="s">
        <v>47</v>
      </c>
      <c r="F430" s="50" t="s">
        <v>30</v>
      </c>
      <c r="G430" s="52" t="s">
        <v>152</v>
      </c>
      <c r="H430" s="53">
        <v>1</v>
      </c>
      <c r="I430" s="54">
        <v>4500</v>
      </c>
      <c r="J430" s="54">
        <v>0</v>
      </c>
      <c r="K430" s="54">
        <v>4500</v>
      </c>
      <c r="L430" s="56" t="s">
        <v>69</v>
      </c>
    </row>
    <row r="431" spans="2:12" x14ac:dyDescent="0.25">
      <c r="B431" s="42" t="s">
        <v>745</v>
      </c>
      <c r="C431" s="42" t="s">
        <v>41</v>
      </c>
      <c r="D431" s="57">
        <v>45996</v>
      </c>
      <c r="E431" s="44" t="s">
        <v>39</v>
      </c>
      <c r="F431" s="43" t="s">
        <v>23</v>
      </c>
      <c r="G431" s="42" t="s">
        <v>88</v>
      </c>
      <c r="H431" s="45">
        <v>5</v>
      </c>
      <c r="I431" s="46">
        <v>650</v>
      </c>
      <c r="J431" s="46">
        <v>303.33</v>
      </c>
      <c r="K431" s="46">
        <v>2946.67</v>
      </c>
      <c r="L431" s="48" t="s">
        <v>25</v>
      </c>
    </row>
    <row r="432" spans="2:12" x14ac:dyDescent="0.25">
      <c r="B432" s="49" t="s">
        <v>746</v>
      </c>
      <c r="C432" s="49" t="s">
        <v>63</v>
      </c>
      <c r="D432" s="58">
        <v>45895</v>
      </c>
      <c r="E432" s="51" t="s">
        <v>15</v>
      </c>
      <c r="F432" s="50" t="s">
        <v>52</v>
      </c>
      <c r="G432" s="52" t="s">
        <v>53</v>
      </c>
      <c r="H432" s="53">
        <v>2</v>
      </c>
      <c r="I432" s="54">
        <v>149</v>
      </c>
      <c r="J432" s="54">
        <v>7.59</v>
      </c>
      <c r="K432" s="54">
        <v>290.41000000000003</v>
      </c>
      <c r="L432" s="56" t="s">
        <v>69</v>
      </c>
    </row>
    <row r="433" spans="2:12" x14ac:dyDescent="0.25">
      <c r="B433" s="42" t="s">
        <v>747</v>
      </c>
      <c r="C433" s="42" t="s">
        <v>110</v>
      </c>
      <c r="D433" s="57">
        <v>45900</v>
      </c>
      <c r="E433" s="44" t="s">
        <v>39</v>
      </c>
      <c r="F433" s="43" t="s">
        <v>52</v>
      </c>
      <c r="G433" s="42" t="s">
        <v>61</v>
      </c>
      <c r="H433" s="45">
        <v>2</v>
      </c>
      <c r="I433" s="46">
        <v>199</v>
      </c>
      <c r="J433" s="46">
        <v>33.17</v>
      </c>
      <c r="K433" s="46">
        <v>364.83</v>
      </c>
      <c r="L433" s="48" t="s">
        <v>25</v>
      </c>
    </row>
    <row r="434" spans="2:12" x14ac:dyDescent="0.25">
      <c r="B434" s="49" t="s">
        <v>749</v>
      </c>
      <c r="C434" s="49" t="s">
        <v>34</v>
      </c>
      <c r="D434" s="58">
        <v>45755</v>
      </c>
      <c r="E434" s="51" t="s">
        <v>22</v>
      </c>
      <c r="F434" s="50" t="s">
        <v>23</v>
      </c>
      <c r="G434" s="52" t="s">
        <v>88</v>
      </c>
      <c r="H434" s="53">
        <v>3</v>
      </c>
      <c r="I434" s="54">
        <v>650</v>
      </c>
      <c r="J434" s="54">
        <v>0</v>
      </c>
      <c r="K434" s="54">
        <v>1950</v>
      </c>
      <c r="L434" s="56" t="s">
        <v>25</v>
      </c>
    </row>
    <row r="435" spans="2:12" x14ac:dyDescent="0.25">
      <c r="B435" s="42" t="s">
        <v>751</v>
      </c>
      <c r="C435" s="42" t="s">
        <v>101</v>
      </c>
      <c r="D435" s="57">
        <v>45850</v>
      </c>
      <c r="E435" s="44" t="s">
        <v>22</v>
      </c>
      <c r="F435" s="43" t="s">
        <v>52</v>
      </c>
      <c r="G435" s="42" t="s">
        <v>99</v>
      </c>
      <c r="H435" s="45">
        <v>5</v>
      </c>
      <c r="I435" s="46">
        <v>79</v>
      </c>
      <c r="J435" s="46">
        <v>0</v>
      </c>
      <c r="K435" s="46">
        <v>395</v>
      </c>
      <c r="L435" s="48" t="s">
        <v>25</v>
      </c>
    </row>
    <row r="436" spans="2:12" x14ac:dyDescent="0.25">
      <c r="B436" s="49" t="s">
        <v>753</v>
      </c>
      <c r="C436" s="49" t="s">
        <v>13</v>
      </c>
      <c r="D436" s="58">
        <v>46021</v>
      </c>
      <c r="E436" s="51" t="s">
        <v>39</v>
      </c>
      <c r="F436" s="50" t="s">
        <v>16</v>
      </c>
      <c r="G436" s="52" t="s">
        <v>116</v>
      </c>
      <c r="H436" s="53">
        <v>5</v>
      </c>
      <c r="I436" s="54">
        <v>45</v>
      </c>
      <c r="J436" s="54">
        <v>7.84</v>
      </c>
      <c r="K436" s="54">
        <v>217.16</v>
      </c>
      <c r="L436" s="56" t="s">
        <v>69</v>
      </c>
    </row>
    <row r="437" spans="2:12" x14ac:dyDescent="0.25">
      <c r="B437" s="42" t="s">
        <v>754</v>
      </c>
      <c r="C437" s="42" t="s">
        <v>41</v>
      </c>
      <c r="D437" s="57">
        <v>45895</v>
      </c>
      <c r="E437" s="44" t="s">
        <v>22</v>
      </c>
      <c r="F437" s="43" t="s">
        <v>52</v>
      </c>
      <c r="G437" s="42" t="s">
        <v>75</v>
      </c>
      <c r="H437" s="45">
        <v>2</v>
      </c>
      <c r="I437" s="46">
        <v>249</v>
      </c>
      <c r="J437" s="46">
        <v>0</v>
      </c>
      <c r="K437" s="46">
        <v>498</v>
      </c>
      <c r="L437" s="48" t="s">
        <v>89</v>
      </c>
    </row>
    <row r="438" spans="2:12" x14ac:dyDescent="0.25">
      <c r="B438" s="49" t="s">
        <v>755</v>
      </c>
      <c r="C438" s="49" t="s">
        <v>110</v>
      </c>
      <c r="D438" s="58">
        <v>45731</v>
      </c>
      <c r="E438" s="51" t="s">
        <v>29</v>
      </c>
      <c r="F438" s="50" t="s">
        <v>16</v>
      </c>
      <c r="G438" s="52" t="s">
        <v>78</v>
      </c>
      <c r="H438" s="53">
        <v>3</v>
      </c>
      <c r="I438" s="54">
        <v>59</v>
      </c>
      <c r="J438" s="54">
        <v>7.63</v>
      </c>
      <c r="K438" s="54">
        <v>169.37</v>
      </c>
      <c r="L438" s="56" t="s">
        <v>89</v>
      </c>
    </row>
    <row r="439" spans="2:12" x14ac:dyDescent="0.25">
      <c r="B439" s="42" t="s">
        <v>757</v>
      </c>
      <c r="C439" s="42" t="s">
        <v>20</v>
      </c>
      <c r="D439" s="57">
        <v>45995</v>
      </c>
      <c r="E439" s="44" t="s">
        <v>15</v>
      </c>
      <c r="F439" s="43" t="s">
        <v>16</v>
      </c>
      <c r="G439" s="42" t="s">
        <v>103</v>
      </c>
      <c r="H439" s="45">
        <v>1</v>
      </c>
      <c r="I439" s="46">
        <v>89</v>
      </c>
      <c r="J439" s="46">
        <v>11.48</v>
      </c>
      <c r="K439" s="46">
        <v>77.52</v>
      </c>
      <c r="L439" s="48" t="s">
        <v>25</v>
      </c>
    </row>
    <row r="440" spans="2:12" x14ac:dyDescent="0.25">
      <c r="B440" s="49" t="s">
        <v>758</v>
      </c>
      <c r="C440" s="49" t="s">
        <v>63</v>
      </c>
      <c r="D440" s="58">
        <v>45720</v>
      </c>
      <c r="E440" s="51" t="s">
        <v>15</v>
      </c>
      <c r="F440" s="50" t="s">
        <v>16</v>
      </c>
      <c r="G440" s="52" t="s">
        <v>17</v>
      </c>
      <c r="H440" s="53">
        <v>5</v>
      </c>
      <c r="I440" s="54">
        <v>39</v>
      </c>
      <c r="J440" s="54">
        <v>7.69</v>
      </c>
      <c r="K440" s="54">
        <v>187.31</v>
      </c>
      <c r="L440" s="56" t="s">
        <v>49</v>
      </c>
    </row>
    <row r="441" spans="2:12" x14ac:dyDescent="0.25">
      <c r="B441" s="42" t="s">
        <v>760</v>
      </c>
      <c r="C441" s="42" t="s">
        <v>110</v>
      </c>
      <c r="D441" s="57">
        <v>45761</v>
      </c>
      <c r="E441" s="44" t="s">
        <v>39</v>
      </c>
      <c r="F441" s="43" t="s">
        <v>23</v>
      </c>
      <c r="G441" s="42" t="s">
        <v>48</v>
      </c>
      <c r="H441" s="45">
        <v>1</v>
      </c>
      <c r="I441" s="46">
        <v>450</v>
      </c>
      <c r="J441" s="46">
        <v>0</v>
      </c>
      <c r="K441" s="46">
        <v>450</v>
      </c>
      <c r="L441" s="48" t="s">
        <v>65</v>
      </c>
    </row>
    <row r="442" spans="2:12" x14ac:dyDescent="0.25">
      <c r="B442" s="49" t="s">
        <v>762</v>
      </c>
      <c r="C442" s="49" t="s">
        <v>110</v>
      </c>
      <c r="D442" s="58">
        <v>46049</v>
      </c>
      <c r="E442" s="51" t="s">
        <v>39</v>
      </c>
      <c r="F442" s="50" t="s">
        <v>23</v>
      </c>
      <c r="G442" s="52" t="s">
        <v>88</v>
      </c>
      <c r="H442" s="53">
        <v>3</v>
      </c>
      <c r="I442" s="54">
        <v>650</v>
      </c>
      <c r="J442" s="54">
        <v>75.23</v>
      </c>
      <c r="K442" s="54">
        <v>1874.77</v>
      </c>
      <c r="L442" s="56" t="s">
        <v>49</v>
      </c>
    </row>
    <row r="443" spans="2:12" x14ac:dyDescent="0.25">
      <c r="B443" s="42" t="s">
        <v>763</v>
      </c>
      <c r="C443" s="42" t="s">
        <v>110</v>
      </c>
      <c r="D443" s="57">
        <v>45775</v>
      </c>
      <c r="E443" s="44" t="s">
        <v>22</v>
      </c>
      <c r="F443" s="43" t="s">
        <v>16</v>
      </c>
      <c r="G443" s="42" t="s">
        <v>103</v>
      </c>
      <c r="H443" s="45">
        <v>2</v>
      </c>
      <c r="I443" s="46">
        <v>89</v>
      </c>
      <c r="J443" s="46">
        <v>0.5</v>
      </c>
      <c r="K443" s="46">
        <v>177.5</v>
      </c>
      <c r="L443" s="48" t="s">
        <v>89</v>
      </c>
    </row>
    <row r="444" spans="2:12" x14ac:dyDescent="0.25">
      <c r="B444" s="49" t="s">
        <v>765</v>
      </c>
      <c r="C444" s="49" t="s">
        <v>63</v>
      </c>
      <c r="D444" s="58">
        <v>45853</v>
      </c>
      <c r="E444" s="51" t="s">
        <v>22</v>
      </c>
      <c r="F444" s="50" t="s">
        <v>23</v>
      </c>
      <c r="G444" s="52" t="s">
        <v>24</v>
      </c>
      <c r="H444" s="53">
        <v>4</v>
      </c>
      <c r="I444" s="54">
        <v>180</v>
      </c>
      <c r="J444" s="54">
        <v>50.29</v>
      </c>
      <c r="K444" s="54">
        <v>669.71</v>
      </c>
      <c r="L444" s="56" t="s">
        <v>44</v>
      </c>
    </row>
    <row r="445" spans="2:12" x14ac:dyDescent="0.25">
      <c r="B445" s="42" t="s">
        <v>766</v>
      </c>
      <c r="C445" s="42" t="s">
        <v>13</v>
      </c>
      <c r="D445" s="57">
        <v>45924</v>
      </c>
      <c r="E445" s="44" t="s">
        <v>22</v>
      </c>
      <c r="F445" s="43" t="s">
        <v>16</v>
      </c>
      <c r="G445" s="42" t="s">
        <v>78</v>
      </c>
      <c r="H445" s="45">
        <v>4</v>
      </c>
      <c r="I445" s="46">
        <v>59</v>
      </c>
      <c r="J445" s="46">
        <v>34.4</v>
      </c>
      <c r="K445" s="46">
        <v>201.6</v>
      </c>
      <c r="L445" s="48" t="s">
        <v>44</v>
      </c>
    </row>
    <row r="446" spans="2:12" x14ac:dyDescent="0.25">
      <c r="B446" s="49" t="s">
        <v>767</v>
      </c>
      <c r="C446" s="49" t="s">
        <v>27</v>
      </c>
      <c r="D446" s="58">
        <v>45855</v>
      </c>
      <c r="E446" s="51" t="s">
        <v>29</v>
      </c>
      <c r="F446" s="50" t="s">
        <v>30</v>
      </c>
      <c r="G446" s="52" t="s">
        <v>106</v>
      </c>
      <c r="H446" s="53">
        <v>5</v>
      </c>
      <c r="I446" s="54">
        <v>299</v>
      </c>
      <c r="J446" s="54">
        <v>0</v>
      </c>
      <c r="K446" s="54">
        <v>1495</v>
      </c>
      <c r="L446" s="56" t="s">
        <v>65</v>
      </c>
    </row>
    <row r="447" spans="2:12" x14ac:dyDescent="0.25">
      <c r="B447" s="42" t="s">
        <v>769</v>
      </c>
      <c r="C447" s="42" t="s">
        <v>55</v>
      </c>
      <c r="D447" s="57">
        <v>45730</v>
      </c>
      <c r="E447" s="44" t="s">
        <v>29</v>
      </c>
      <c r="F447" s="43" t="s">
        <v>30</v>
      </c>
      <c r="G447" s="42" t="s">
        <v>152</v>
      </c>
      <c r="H447" s="45">
        <v>4</v>
      </c>
      <c r="I447" s="46">
        <v>4500</v>
      </c>
      <c r="J447" s="46">
        <v>1954.5</v>
      </c>
      <c r="K447" s="46">
        <v>16045.5</v>
      </c>
      <c r="L447" s="48" t="s">
        <v>89</v>
      </c>
    </row>
    <row r="448" spans="2:12" x14ac:dyDescent="0.25">
      <c r="B448" s="49" t="s">
        <v>770</v>
      </c>
      <c r="C448" s="49" t="s">
        <v>95</v>
      </c>
      <c r="D448" s="58">
        <v>45753</v>
      </c>
      <c r="E448" s="51" t="s">
        <v>22</v>
      </c>
      <c r="F448" s="50" t="s">
        <v>23</v>
      </c>
      <c r="G448" s="52" t="s">
        <v>43</v>
      </c>
      <c r="H448" s="53">
        <v>5</v>
      </c>
      <c r="I448" s="54">
        <v>350</v>
      </c>
      <c r="J448" s="54">
        <v>0</v>
      </c>
      <c r="K448" s="54">
        <v>1750</v>
      </c>
      <c r="L448" s="56" t="s">
        <v>49</v>
      </c>
    </row>
    <row r="449" spans="2:12" x14ac:dyDescent="0.25">
      <c r="B449" s="42" t="s">
        <v>771</v>
      </c>
      <c r="C449" s="42" t="s">
        <v>27</v>
      </c>
      <c r="D449" s="57">
        <v>45932</v>
      </c>
      <c r="E449" s="44" t="s">
        <v>47</v>
      </c>
      <c r="F449" s="43" t="s">
        <v>16</v>
      </c>
      <c r="G449" s="42" t="s">
        <v>116</v>
      </c>
      <c r="H449" s="45">
        <v>5</v>
      </c>
      <c r="I449" s="46">
        <v>45</v>
      </c>
      <c r="J449" s="46">
        <v>0</v>
      </c>
      <c r="K449" s="46">
        <v>225</v>
      </c>
      <c r="L449" s="48" t="s">
        <v>32</v>
      </c>
    </row>
    <row r="450" spans="2:12" x14ac:dyDescent="0.25">
      <c r="B450" s="49" t="s">
        <v>772</v>
      </c>
      <c r="C450" s="49" t="s">
        <v>55</v>
      </c>
      <c r="D450" s="58">
        <v>45815</v>
      </c>
      <c r="E450" s="51" t="s">
        <v>15</v>
      </c>
      <c r="F450" s="50" t="s">
        <v>52</v>
      </c>
      <c r="G450" s="52" t="s">
        <v>61</v>
      </c>
      <c r="H450" s="53">
        <v>4</v>
      </c>
      <c r="I450" s="54">
        <v>199</v>
      </c>
      <c r="J450" s="54">
        <v>0</v>
      </c>
      <c r="K450" s="54">
        <v>796</v>
      </c>
      <c r="L450" s="56" t="s">
        <v>44</v>
      </c>
    </row>
    <row r="451" spans="2:12" x14ac:dyDescent="0.25">
      <c r="B451" s="42" t="s">
        <v>774</v>
      </c>
      <c r="C451" s="42" t="s">
        <v>101</v>
      </c>
      <c r="D451" s="57">
        <v>45888</v>
      </c>
      <c r="E451" s="44" t="s">
        <v>29</v>
      </c>
      <c r="F451" s="43" t="s">
        <v>16</v>
      </c>
      <c r="G451" s="42" t="s">
        <v>116</v>
      </c>
      <c r="H451" s="45">
        <v>3</v>
      </c>
      <c r="I451" s="46">
        <v>45</v>
      </c>
      <c r="J451" s="46">
        <v>0.94</v>
      </c>
      <c r="K451" s="46">
        <v>134.06</v>
      </c>
      <c r="L451" s="48" t="s">
        <v>32</v>
      </c>
    </row>
    <row r="452" spans="2:12" x14ac:dyDescent="0.25">
      <c r="B452" s="49" t="s">
        <v>775</v>
      </c>
      <c r="C452" s="49" t="s">
        <v>37</v>
      </c>
      <c r="D452" s="58">
        <v>45950</v>
      </c>
      <c r="E452" s="51" t="s">
        <v>39</v>
      </c>
      <c r="F452" s="50" t="s">
        <v>30</v>
      </c>
      <c r="G452" s="52" t="s">
        <v>31</v>
      </c>
      <c r="H452" s="53">
        <v>2</v>
      </c>
      <c r="I452" s="54">
        <v>2500</v>
      </c>
      <c r="J452" s="54">
        <v>0</v>
      </c>
      <c r="K452" s="54">
        <v>5000</v>
      </c>
      <c r="L452" s="56" t="s">
        <v>18</v>
      </c>
    </row>
    <row r="453" spans="2:12" x14ac:dyDescent="0.25">
      <c r="B453" s="42" t="s">
        <v>776</v>
      </c>
      <c r="C453" s="42" t="s">
        <v>71</v>
      </c>
      <c r="D453" s="57">
        <v>45838</v>
      </c>
      <c r="E453" s="44" t="s">
        <v>15</v>
      </c>
      <c r="F453" s="43" t="s">
        <v>16</v>
      </c>
      <c r="G453" s="42" t="s">
        <v>116</v>
      </c>
      <c r="H453" s="45">
        <v>2</v>
      </c>
      <c r="I453" s="46">
        <v>45</v>
      </c>
      <c r="J453" s="46">
        <v>0</v>
      </c>
      <c r="K453" s="46">
        <v>90</v>
      </c>
      <c r="L453" s="48" t="s">
        <v>18</v>
      </c>
    </row>
    <row r="454" spans="2:12" x14ac:dyDescent="0.25">
      <c r="B454" s="49" t="s">
        <v>777</v>
      </c>
      <c r="C454" s="49" t="s">
        <v>55</v>
      </c>
      <c r="D454" s="58">
        <v>45712</v>
      </c>
      <c r="E454" s="51" t="s">
        <v>47</v>
      </c>
      <c r="F454" s="50" t="s">
        <v>52</v>
      </c>
      <c r="G454" s="52" t="s">
        <v>53</v>
      </c>
      <c r="H454" s="53">
        <v>4</v>
      </c>
      <c r="I454" s="54">
        <v>149</v>
      </c>
      <c r="J454" s="54">
        <v>0.28000000000000003</v>
      </c>
      <c r="K454" s="54">
        <v>595.72</v>
      </c>
      <c r="L454" s="56" t="s">
        <v>44</v>
      </c>
    </row>
    <row r="455" spans="2:12" x14ac:dyDescent="0.25">
      <c r="B455" s="42" t="s">
        <v>778</v>
      </c>
      <c r="C455" s="42" t="s">
        <v>95</v>
      </c>
      <c r="D455" s="57">
        <v>45915</v>
      </c>
      <c r="E455" s="44" t="s">
        <v>15</v>
      </c>
      <c r="F455" s="43" t="s">
        <v>30</v>
      </c>
      <c r="G455" s="42" t="s">
        <v>106</v>
      </c>
      <c r="H455" s="45">
        <v>4</v>
      </c>
      <c r="I455" s="46">
        <v>299</v>
      </c>
      <c r="J455" s="46">
        <v>0</v>
      </c>
      <c r="K455" s="46">
        <v>1196</v>
      </c>
      <c r="L455" s="48" t="s">
        <v>65</v>
      </c>
    </row>
    <row r="456" spans="2:12" x14ac:dyDescent="0.25">
      <c r="B456" s="49" t="s">
        <v>780</v>
      </c>
      <c r="C456" s="49" t="s">
        <v>37</v>
      </c>
      <c r="D456" s="58">
        <v>45816</v>
      </c>
      <c r="E456" s="51" t="s">
        <v>29</v>
      </c>
      <c r="F456" s="50" t="s">
        <v>16</v>
      </c>
      <c r="G456" s="52" t="s">
        <v>116</v>
      </c>
      <c r="H456" s="53">
        <v>1</v>
      </c>
      <c r="I456" s="54">
        <v>45</v>
      </c>
      <c r="J456" s="54">
        <v>1.54</v>
      </c>
      <c r="K456" s="54">
        <v>43.46</v>
      </c>
      <c r="L456" s="56" t="s">
        <v>25</v>
      </c>
    </row>
    <row r="457" spans="2:12" x14ac:dyDescent="0.25">
      <c r="B457" s="42" t="s">
        <v>781</v>
      </c>
      <c r="C457" s="42" t="s">
        <v>34</v>
      </c>
      <c r="D457" s="57">
        <v>45851</v>
      </c>
      <c r="E457" s="44" t="s">
        <v>39</v>
      </c>
      <c r="F457" s="43" t="s">
        <v>30</v>
      </c>
      <c r="G457" s="42" t="s">
        <v>68</v>
      </c>
      <c r="H457" s="45">
        <v>1</v>
      </c>
      <c r="I457" s="46">
        <v>799</v>
      </c>
      <c r="J457" s="46">
        <v>19.64</v>
      </c>
      <c r="K457" s="46">
        <v>779.36</v>
      </c>
      <c r="L457" s="48" t="s">
        <v>89</v>
      </c>
    </row>
    <row r="458" spans="2:12" x14ac:dyDescent="0.25">
      <c r="B458" s="49" t="s">
        <v>783</v>
      </c>
      <c r="C458" s="49" t="s">
        <v>71</v>
      </c>
      <c r="D458" s="58">
        <v>45787</v>
      </c>
      <c r="E458" s="51" t="s">
        <v>39</v>
      </c>
      <c r="F458" s="50" t="s">
        <v>16</v>
      </c>
      <c r="G458" s="52" t="s">
        <v>103</v>
      </c>
      <c r="H458" s="53">
        <v>2</v>
      </c>
      <c r="I458" s="54">
        <v>89</v>
      </c>
      <c r="J458" s="54">
        <v>3.13</v>
      </c>
      <c r="K458" s="54">
        <v>174.87</v>
      </c>
      <c r="L458" s="56" t="s">
        <v>49</v>
      </c>
    </row>
    <row r="459" spans="2:12" x14ac:dyDescent="0.25">
      <c r="B459" s="42" t="s">
        <v>785</v>
      </c>
      <c r="C459" s="42" t="s">
        <v>55</v>
      </c>
      <c r="D459" s="57">
        <v>45797</v>
      </c>
      <c r="E459" s="44" t="s">
        <v>47</v>
      </c>
      <c r="F459" s="43" t="s">
        <v>16</v>
      </c>
      <c r="G459" s="42" t="s">
        <v>103</v>
      </c>
      <c r="H459" s="45">
        <v>2</v>
      </c>
      <c r="I459" s="46">
        <v>89</v>
      </c>
      <c r="J459" s="46">
        <v>5.57</v>
      </c>
      <c r="K459" s="46">
        <v>172.43</v>
      </c>
      <c r="L459" s="48" t="s">
        <v>32</v>
      </c>
    </row>
    <row r="460" spans="2:12" x14ac:dyDescent="0.25">
      <c r="B460" s="49" t="s">
        <v>786</v>
      </c>
      <c r="C460" s="49" t="s">
        <v>110</v>
      </c>
      <c r="D460" s="58">
        <v>45819</v>
      </c>
      <c r="E460" s="51" t="s">
        <v>22</v>
      </c>
      <c r="F460" s="50" t="s">
        <v>52</v>
      </c>
      <c r="G460" s="52" t="s">
        <v>99</v>
      </c>
      <c r="H460" s="53">
        <v>1</v>
      </c>
      <c r="I460" s="54">
        <v>79</v>
      </c>
      <c r="J460" s="54">
        <v>4.28</v>
      </c>
      <c r="K460" s="54">
        <v>74.72</v>
      </c>
      <c r="L460" s="56" t="s">
        <v>49</v>
      </c>
    </row>
    <row r="461" spans="2:12" x14ac:dyDescent="0.25">
      <c r="B461" s="42" t="s">
        <v>788</v>
      </c>
      <c r="C461" s="42" t="s">
        <v>71</v>
      </c>
      <c r="D461" s="57">
        <v>45773</v>
      </c>
      <c r="E461" s="44" t="s">
        <v>15</v>
      </c>
      <c r="F461" s="43" t="s">
        <v>30</v>
      </c>
      <c r="G461" s="42" t="s">
        <v>106</v>
      </c>
      <c r="H461" s="45">
        <v>1</v>
      </c>
      <c r="I461" s="46">
        <v>299</v>
      </c>
      <c r="J461" s="46">
        <v>0</v>
      </c>
      <c r="K461" s="46">
        <v>299</v>
      </c>
      <c r="L461" s="48" t="s">
        <v>44</v>
      </c>
    </row>
    <row r="462" spans="2:12" x14ac:dyDescent="0.25">
      <c r="B462" s="49" t="s">
        <v>790</v>
      </c>
      <c r="C462" s="49" t="s">
        <v>27</v>
      </c>
      <c r="D462" s="58">
        <v>45790</v>
      </c>
      <c r="E462" s="51" t="s">
        <v>47</v>
      </c>
      <c r="F462" s="50" t="s">
        <v>52</v>
      </c>
      <c r="G462" s="52" t="s">
        <v>99</v>
      </c>
      <c r="H462" s="53">
        <v>4</v>
      </c>
      <c r="I462" s="54">
        <v>79</v>
      </c>
      <c r="J462" s="54">
        <v>0</v>
      </c>
      <c r="K462" s="54">
        <v>316</v>
      </c>
      <c r="L462" s="56" t="s">
        <v>25</v>
      </c>
    </row>
    <row r="463" spans="2:12" x14ac:dyDescent="0.25">
      <c r="B463" s="42" t="s">
        <v>791</v>
      </c>
      <c r="C463" s="42" t="s">
        <v>110</v>
      </c>
      <c r="D463" s="57">
        <v>45739</v>
      </c>
      <c r="E463" s="44" t="s">
        <v>15</v>
      </c>
      <c r="F463" s="43" t="s">
        <v>30</v>
      </c>
      <c r="G463" s="42" t="s">
        <v>106</v>
      </c>
      <c r="H463" s="45">
        <v>3</v>
      </c>
      <c r="I463" s="46">
        <v>299</v>
      </c>
      <c r="J463" s="46">
        <v>0</v>
      </c>
      <c r="K463" s="46">
        <v>897</v>
      </c>
      <c r="L463" s="48" t="s">
        <v>89</v>
      </c>
    </row>
    <row r="464" spans="2:12" x14ac:dyDescent="0.25">
      <c r="B464" s="49" t="s">
        <v>793</v>
      </c>
      <c r="C464" s="49" t="s">
        <v>71</v>
      </c>
      <c r="D464" s="58">
        <v>45965</v>
      </c>
      <c r="E464" s="51" t="s">
        <v>39</v>
      </c>
      <c r="F464" s="50" t="s">
        <v>16</v>
      </c>
      <c r="G464" s="52" t="s">
        <v>17</v>
      </c>
      <c r="H464" s="53">
        <v>1</v>
      </c>
      <c r="I464" s="54">
        <v>39</v>
      </c>
      <c r="J464" s="54">
        <v>0</v>
      </c>
      <c r="K464" s="54">
        <v>39</v>
      </c>
      <c r="L464" s="56" t="s">
        <v>32</v>
      </c>
    </row>
    <row r="465" spans="2:12" x14ac:dyDescent="0.25">
      <c r="B465" s="42" t="s">
        <v>794</v>
      </c>
      <c r="C465" s="42" t="s">
        <v>34</v>
      </c>
      <c r="D465" s="57">
        <v>45947</v>
      </c>
      <c r="E465" s="44" t="s">
        <v>29</v>
      </c>
      <c r="F465" s="43" t="s">
        <v>52</v>
      </c>
      <c r="G465" s="42" t="s">
        <v>75</v>
      </c>
      <c r="H465" s="45">
        <v>1</v>
      </c>
      <c r="I465" s="46">
        <v>249</v>
      </c>
      <c r="J465" s="46">
        <v>15.06</v>
      </c>
      <c r="K465" s="46">
        <v>233.94</v>
      </c>
      <c r="L465" s="48" t="s">
        <v>44</v>
      </c>
    </row>
    <row r="466" spans="2:12" x14ac:dyDescent="0.25">
      <c r="B466" s="49" t="s">
        <v>795</v>
      </c>
      <c r="C466" s="49" t="s">
        <v>34</v>
      </c>
      <c r="D466" s="58">
        <v>45907</v>
      </c>
      <c r="E466" s="51" t="s">
        <v>22</v>
      </c>
      <c r="F466" s="50" t="s">
        <v>23</v>
      </c>
      <c r="G466" s="52" t="s">
        <v>48</v>
      </c>
      <c r="H466" s="53">
        <v>3</v>
      </c>
      <c r="I466" s="54">
        <v>450</v>
      </c>
      <c r="J466" s="54">
        <v>0</v>
      </c>
      <c r="K466" s="54">
        <v>1350</v>
      </c>
      <c r="L466" s="56" t="s">
        <v>49</v>
      </c>
    </row>
    <row r="467" spans="2:12" x14ac:dyDescent="0.25">
      <c r="B467" s="42" t="s">
        <v>797</v>
      </c>
      <c r="C467" s="42" t="s">
        <v>37</v>
      </c>
      <c r="D467" s="57">
        <v>45675</v>
      </c>
      <c r="E467" s="44" t="s">
        <v>15</v>
      </c>
      <c r="F467" s="43" t="s">
        <v>23</v>
      </c>
      <c r="G467" s="42" t="s">
        <v>48</v>
      </c>
      <c r="H467" s="45">
        <v>4</v>
      </c>
      <c r="I467" s="46">
        <v>450</v>
      </c>
      <c r="J467" s="46">
        <v>6.57</v>
      </c>
      <c r="K467" s="46">
        <v>1793.43</v>
      </c>
      <c r="L467" s="48" t="s">
        <v>18</v>
      </c>
    </row>
    <row r="468" spans="2:12" x14ac:dyDescent="0.25">
      <c r="B468" s="49" t="s">
        <v>798</v>
      </c>
      <c r="C468" s="49" t="s">
        <v>13</v>
      </c>
      <c r="D468" s="58">
        <v>45847</v>
      </c>
      <c r="E468" s="51" t="s">
        <v>47</v>
      </c>
      <c r="F468" s="50" t="s">
        <v>52</v>
      </c>
      <c r="G468" s="52" t="s">
        <v>61</v>
      </c>
      <c r="H468" s="53">
        <v>2</v>
      </c>
      <c r="I468" s="54">
        <v>199</v>
      </c>
      <c r="J468" s="54">
        <v>0</v>
      </c>
      <c r="K468" s="54">
        <v>398</v>
      </c>
      <c r="L468" s="56" t="s">
        <v>69</v>
      </c>
    </row>
    <row r="469" spans="2:12" x14ac:dyDescent="0.25">
      <c r="B469" s="42" t="s">
        <v>799</v>
      </c>
      <c r="C469" s="42" t="s">
        <v>71</v>
      </c>
      <c r="D469" s="57">
        <v>46042</v>
      </c>
      <c r="E469" s="44" t="s">
        <v>22</v>
      </c>
      <c r="F469" s="43" t="s">
        <v>16</v>
      </c>
      <c r="G469" s="42" t="s">
        <v>103</v>
      </c>
      <c r="H469" s="45">
        <v>2</v>
      </c>
      <c r="I469" s="46">
        <v>89</v>
      </c>
      <c r="J469" s="46">
        <v>0</v>
      </c>
      <c r="K469" s="46">
        <v>178</v>
      </c>
      <c r="L469" s="48" t="s">
        <v>32</v>
      </c>
    </row>
    <row r="470" spans="2:12" x14ac:dyDescent="0.25">
      <c r="B470" s="49" t="s">
        <v>800</v>
      </c>
      <c r="C470" s="49" t="s">
        <v>41</v>
      </c>
      <c r="D470" s="58">
        <v>45753</v>
      </c>
      <c r="E470" s="51" t="s">
        <v>15</v>
      </c>
      <c r="F470" s="50" t="s">
        <v>16</v>
      </c>
      <c r="G470" s="52" t="s">
        <v>103</v>
      </c>
      <c r="H470" s="53">
        <v>4</v>
      </c>
      <c r="I470" s="54">
        <v>89</v>
      </c>
      <c r="J470" s="54">
        <v>0</v>
      </c>
      <c r="K470" s="54">
        <v>356</v>
      </c>
      <c r="L470" s="56" t="s">
        <v>44</v>
      </c>
    </row>
    <row r="471" spans="2:12" x14ac:dyDescent="0.25">
      <c r="B471" s="42" t="s">
        <v>801</v>
      </c>
      <c r="C471" s="42" t="s">
        <v>37</v>
      </c>
      <c r="D471" s="57">
        <v>45849</v>
      </c>
      <c r="E471" s="44" t="s">
        <v>22</v>
      </c>
      <c r="F471" s="43" t="s">
        <v>23</v>
      </c>
      <c r="G471" s="42" t="s">
        <v>24</v>
      </c>
      <c r="H471" s="45">
        <v>4</v>
      </c>
      <c r="I471" s="46">
        <v>180</v>
      </c>
      <c r="J471" s="46">
        <v>16.82</v>
      </c>
      <c r="K471" s="46">
        <v>703.18</v>
      </c>
      <c r="L471" s="48" t="s">
        <v>65</v>
      </c>
    </row>
    <row r="472" spans="2:12" x14ac:dyDescent="0.25">
      <c r="B472" s="49" t="s">
        <v>803</v>
      </c>
      <c r="C472" s="49" t="s">
        <v>27</v>
      </c>
      <c r="D472" s="58">
        <v>45993</v>
      </c>
      <c r="E472" s="51" t="s">
        <v>39</v>
      </c>
      <c r="F472" s="50" t="s">
        <v>30</v>
      </c>
      <c r="G472" s="52" t="s">
        <v>31</v>
      </c>
      <c r="H472" s="53">
        <v>2</v>
      </c>
      <c r="I472" s="54">
        <v>2500</v>
      </c>
      <c r="J472" s="54">
        <v>359.67</v>
      </c>
      <c r="K472" s="54">
        <v>4640.33</v>
      </c>
      <c r="L472" s="56" t="s">
        <v>32</v>
      </c>
    </row>
    <row r="473" spans="2:12" x14ac:dyDescent="0.25">
      <c r="B473" s="42" t="s">
        <v>804</v>
      </c>
      <c r="C473" s="42" t="s">
        <v>34</v>
      </c>
      <c r="D473" s="57">
        <v>45869</v>
      </c>
      <c r="E473" s="44" t="s">
        <v>22</v>
      </c>
      <c r="F473" s="43" t="s">
        <v>30</v>
      </c>
      <c r="G473" s="42" t="s">
        <v>152</v>
      </c>
      <c r="H473" s="45">
        <v>1</v>
      </c>
      <c r="I473" s="46">
        <v>4500</v>
      </c>
      <c r="J473" s="46">
        <v>0</v>
      </c>
      <c r="K473" s="46">
        <v>4500</v>
      </c>
      <c r="L473" s="48" t="s">
        <v>65</v>
      </c>
    </row>
    <row r="474" spans="2:12" x14ac:dyDescent="0.25">
      <c r="B474" s="49" t="s">
        <v>806</v>
      </c>
      <c r="C474" s="49" t="s">
        <v>41</v>
      </c>
      <c r="D474" s="58">
        <v>45757</v>
      </c>
      <c r="E474" s="51" t="s">
        <v>15</v>
      </c>
      <c r="F474" s="50" t="s">
        <v>30</v>
      </c>
      <c r="G474" s="52" t="s">
        <v>68</v>
      </c>
      <c r="H474" s="53">
        <v>2</v>
      </c>
      <c r="I474" s="54">
        <v>799</v>
      </c>
      <c r="J474" s="54">
        <v>0</v>
      </c>
      <c r="K474" s="54">
        <v>1598</v>
      </c>
      <c r="L474" s="56" t="s">
        <v>25</v>
      </c>
    </row>
    <row r="475" spans="2:12" x14ac:dyDescent="0.25">
      <c r="B475" s="42" t="s">
        <v>807</v>
      </c>
      <c r="C475" s="42" t="s">
        <v>55</v>
      </c>
      <c r="D475" s="57">
        <v>45712</v>
      </c>
      <c r="E475" s="44" t="s">
        <v>29</v>
      </c>
      <c r="F475" s="43" t="s">
        <v>16</v>
      </c>
      <c r="G475" s="42" t="s">
        <v>103</v>
      </c>
      <c r="H475" s="45">
        <v>1</v>
      </c>
      <c r="I475" s="46">
        <v>89</v>
      </c>
      <c r="J475" s="46">
        <v>5.23</v>
      </c>
      <c r="K475" s="46">
        <v>83.77</v>
      </c>
      <c r="L475" s="48" t="s">
        <v>44</v>
      </c>
    </row>
    <row r="476" spans="2:12" x14ac:dyDescent="0.25">
      <c r="B476" s="49" t="s">
        <v>808</v>
      </c>
      <c r="C476" s="49" t="s">
        <v>34</v>
      </c>
      <c r="D476" s="58">
        <v>45994</v>
      </c>
      <c r="E476" s="51" t="s">
        <v>29</v>
      </c>
      <c r="F476" s="50" t="s">
        <v>30</v>
      </c>
      <c r="G476" s="52" t="s">
        <v>68</v>
      </c>
      <c r="H476" s="53">
        <v>5</v>
      </c>
      <c r="I476" s="54">
        <v>799</v>
      </c>
      <c r="J476" s="54">
        <v>0</v>
      </c>
      <c r="K476" s="54">
        <v>3995</v>
      </c>
      <c r="L476" s="56" t="s">
        <v>49</v>
      </c>
    </row>
    <row r="477" spans="2:12" x14ac:dyDescent="0.25">
      <c r="B477" s="42" t="s">
        <v>810</v>
      </c>
      <c r="C477" s="42" t="s">
        <v>55</v>
      </c>
      <c r="D477" s="57">
        <v>45765</v>
      </c>
      <c r="E477" s="44" t="s">
        <v>39</v>
      </c>
      <c r="F477" s="43" t="s">
        <v>30</v>
      </c>
      <c r="G477" s="42" t="s">
        <v>31</v>
      </c>
      <c r="H477" s="45">
        <v>4</v>
      </c>
      <c r="I477" s="46">
        <v>2500</v>
      </c>
      <c r="J477" s="46">
        <v>162.63999999999999</v>
      </c>
      <c r="K477" s="46">
        <v>9837.36</v>
      </c>
      <c r="L477" s="48" t="s">
        <v>89</v>
      </c>
    </row>
    <row r="478" spans="2:12" x14ac:dyDescent="0.25">
      <c r="B478" s="49" t="s">
        <v>811</v>
      </c>
      <c r="C478" s="49" t="s">
        <v>110</v>
      </c>
      <c r="D478" s="58">
        <v>45900</v>
      </c>
      <c r="E478" s="51" t="s">
        <v>29</v>
      </c>
      <c r="F478" s="50" t="s">
        <v>52</v>
      </c>
      <c r="G478" s="52" t="s">
        <v>75</v>
      </c>
      <c r="H478" s="53">
        <v>4</v>
      </c>
      <c r="I478" s="54">
        <v>249</v>
      </c>
      <c r="J478" s="54">
        <v>96.84</v>
      </c>
      <c r="K478" s="54">
        <v>899.16</v>
      </c>
      <c r="L478" s="56" t="s">
        <v>89</v>
      </c>
    </row>
    <row r="479" spans="2:12" x14ac:dyDescent="0.25">
      <c r="B479" s="42" t="s">
        <v>812</v>
      </c>
      <c r="C479" s="42" t="s">
        <v>71</v>
      </c>
      <c r="D479" s="57">
        <v>45660</v>
      </c>
      <c r="E479" s="44" t="s">
        <v>22</v>
      </c>
      <c r="F479" s="43" t="s">
        <v>16</v>
      </c>
      <c r="G479" s="42" t="s">
        <v>103</v>
      </c>
      <c r="H479" s="45">
        <v>1</v>
      </c>
      <c r="I479" s="46">
        <v>89</v>
      </c>
      <c r="J479" s="46">
        <v>2.2999999999999998</v>
      </c>
      <c r="K479" s="46">
        <v>86.7</v>
      </c>
      <c r="L479" s="48" t="s">
        <v>32</v>
      </c>
    </row>
    <row r="480" spans="2:12" x14ac:dyDescent="0.25">
      <c r="B480" s="49" t="s">
        <v>814</v>
      </c>
      <c r="C480" s="49" t="s">
        <v>20</v>
      </c>
      <c r="D480" s="58">
        <v>45980</v>
      </c>
      <c r="E480" s="51" t="s">
        <v>39</v>
      </c>
      <c r="F480" s="50" t="s">
        <v>23</v>
      </c>
      <c r="G480" s="52" t="s">
        <v>24</v>
      </c>
      <c r="H480" s="53">
        <v>2</v>
      </c>
      <c r="I480" s="54">
        <v>180</v>
      </c>
      <c r="J480" s="54">
        <v>0</v>
      </c>
      <c r="K480" s="54">
        <v>360</v>
      </c>
      <c r="L480" s="56" t="s">
        <v>69</v>
      </c>
    </row>
    <row r="481" spans="2:12" x14ac:dyDescent="0.25">
      <c r="B481" s="42" t="s">
        <v>815</v>
      </c>
      <c r="C481" s="42" t="s">
        <v>34</v>
      </c>
      <c r="D481" s="57">
        <v>45977</v>
      </c>
      <c r="E481" s="44" t="s">
        <v>29</v>
      </c>
      <c r="F481" s="43" t="s">
        <v>52</v>
      </c>
      <c r="G481" s="42" t="s">
        <v>99</v>
      </c>
      <c r="H481" s="45">
        <v>5</v>
      </c>
      <c r="I481" s="46">
        <v>79</v>
      </c>
      <c r="J481" s="46">
        <v>31.72</v>
      </c>
      <c r="K481" s="46">
        <v>363.28</v>
      </c>
      <c r="L481" s="48" t="s">
        <v>25</v>
      </c>
    </row>
    <row r="482" spans="2:12" x14ac:dyDescent="0.25">
      <c r="B482" s="49" t="s">
        <v>816</v>
      </c>
      <c r="C482" s="49" t="s">
        <v>41</v>
      </c>
      <c r="D482" s="58">
        <v>45738</v>
      </c>
      <c r="E482" s="51" t="s">
        <v>15</v>
      </c>
      <c r="F482" s="50" t="s">
        <v>30</v>
      </c>
      <c r="G482" s="52" t="s">
        <v>68</v>
      </c>
      <c r="H482" s="53">
        <v>5</v>
      </c>
      <c r="I482" s="54">
        <v>799</v>
      </c>
      <c r="J482" s="54">
        <v>0</v>
      </c>
      <c r="K482" s="54">
        <v>3995</v>
      </c>
      <c r="L482" s="56" t="s">
        <v>44</v>
      </c>
    </row>
    <row r="483" spans="2:12" x14ac:dyDescent="0.25">
      <c r="B483" s="42" t="s">
        <v>817</v>
      </c>
      <c r="C483" s="42" t="s">
        <v>55</v>
      </c>
      <c r="D483" s="57">
        <v>46011</v>
      </c>
      <c r="E483" s="44" t="s">
        <v>15</v>
      </c>
      <c r="F483" s="43" t="s">
        <v>16</v>
      </c>
      <c r="G483" s="42" t="s">
        <v>17</v>
      </c>
      <c r="H483" s="45">
        <v>3</v>
      </c>
      <c r="I483" s="46">
        <v>39</v>
      </c>
      <c r="J483" s="46">
        <v>0</v>
      </c>
      <c r="K483" s="46">
        <v>117</v>
      </c>
      <c r="L483" s="48" t="s">
        <v>69</v>
      </c>
    </row>
    <row r="484" spans="2:12" x14ac:dyDescent="0.25">
      <c r="B484" s="49" t="s">
        <v>818</v>
      </c>
      <c r="C484" s="49" t="s">
        <v>34</v>
      </c>
      <c r="D484" s="58">
        <v>45935</v>
      </c>
      <c r="E484" s="51" t="s">
        <v>15</v>
      </c>
      <c r="F484" s="50" t="s">
        <v>30</v>
      </c>
      <c r="G484" s="52" t="s">
        <v>31</v>
      </c>
      <c r="H484" s="53">
        <v>5</v>
      </c>
      <c r="I484" s="54">
        <v>2500</v>
      </c>
      <c r="J484" s="54">
        <v>983.87</v>
      </c>
      <c r="K484" s="54">
        <v>11516.13</v>
      </c>
      <c r="L484" s="56" t="s">
        <v>25</v>
      </c>
    </row>
    <row r="485" spans="2:12" x14ac:dyDescent="0.25">
      <c r="B485" s="42" t="s">
        <v>819</v>
      </c>
      <c r="C485" s="42" t="s">
        <v>1689</v>
      </c>
      <c r="D485" s="57">
        <v>46057</v>
      </c>
      <c r="E485" s="44" t="s">
        <v>39</v>
      </c>
      <c r="F485" s="43" t="s">
        <v>52</v>
      </c>
      <c r="G485" s="42" t="s">
        <v>53</v>
      </c>
      <c r="H485" s="45">
        <v>1</v>
      </c>
      <c r="I485" s="46">
        <v>149</v>
      </c>
      <c r="J485" s="46">
        <v>16.32</v>
      </c>
      <c r="K485" s="46">
        <v>132.68</v>
      </c>
      <c r="L485" s="48" t="s">
        <v>44</v>
      </c>
    </row>
    <row r="486" spans="2:12" x14ac:dyDescent="0.25">
      <c r="B486" s="49" t="s">
        <v>820</v>
      </c>
      <c r="C486" s="49" t="s">
        <v>95</v>
      </c>
      <c r="D486" s="58">
        <v>45947</v>
      </c>
      <c r="E486" s="51" t="s">
        <v>22</v>
      </c>
      <c r="F486" s="50" t="s">
        <v>30</v>
      </c>
      <c r="G486" s="52" t="s">
        <v>31</v>
      </c>
      <c r="H486" s="53">
        <v>4</v>
      </c>
      <c r="I486" s="54">
        <v>2500</v>
      </c>
      <c r="J486" s="54">
        <v>0</v>
      </c>
      <c r="K486" s="54">
        <v>10000</v>
      </c>
      <c r="L486" s="56" t="s">
        <v>44</v>
      </c>
    </row>
    <row r="487" spans="2:12" x14ac:dyDescent="0.25">
      <c r="B487" s="42" t="s">
        <v>821</v>
      </c>
      <c r="C487" s="42" t="s">
        <v>41</v>
      </c>
      <c r="D487" s="57">
        <v>45909</v>
      </c>
      <c r="E487" s="44" t="s">
        <v>29</v>
      </c>
      <c r="F487" s="43" t="s">
        <v>23</v>
      </c>
      <c r="G487" s="42" t="s">
        <v>88</v>
      </c>
      <c r="H487" s="45">
        <v>2</v>
      </c>
      <c r="I487" s="46">
        <v>650</v>
      </c>
      <c r="J487" s="46">
        <v>56.56</v>
      </c>
      <c r="K487" s="46">
        <v>1243.44</v>
      </c>
      <c r="L487" s="48" t="s">
        <v>25</v>
      </c>
    </row>
    <row r="488" spans="2:12" x14ac:dyDescent="0.25">
      <c r="B488" s="49" t="s">
        <v>822</v>
      </c>
      <c r="C488" s="49" t="s">
        <v>27</v>
      </c>
      <c r="D488" s="58">
        <v>45715</v>
      </c>
      <c r="E488" s="51" t="s">
        <v>29</v>
      </c>
      <c r="F488" s="50" t="s">
        <v>30</v>
      </c>
      <c r="G488" s="52" t="s">
        <v>31</v>
      </c>
      <c r="H488" s="53">
        <v>1</v>
      </c>
      <c r="I488" s="54">
        <v>2500</v>
      </c>
      <c r="J488" s="54">
        <v>0</v>
      </c>
      <c r="K488" s="54">
        <v>2500</v>
      </c>
      <c r="L488" s="56" t="s">
        <v>89</v>
      </c>
    </row>
    <row r="489" spans="2:12" x14ac:dyDescent="0.25">
      <c r="B489" s="42" t="s">
        <v>823</v>
      </c>
      <c r="C489" s="42" t="s">
        <v>55</v>
      </c>
      <c r="D489" s="57">
        <v>45924</v>
      </c>
      <c r="E489" s="44" t="s">
        <v>47</v>
      </c>
      <c r="F489" s="43" t="s">
        <v>16</v>
      </c>
      <c r="G489" s="42" t="s">
        <v>78</v>
      </c>
      <c r="H489" s="45">
        <v>4</v>
      </c>
      <c r="I489" s="46">
        <v>59</v>
      </c>
      <c r="J489" s="46">
        <v>34.89</v>
      </c>
      <c r="K489" s="46">
        <v>201.11</v>
      </c>
      <c r="L489" s="48" t="s">
        <v>89</v>
      </c>
    </row>
    <row r="490" spans="2:12" x14ac:dyDescent="0.25">
      <c r="B490" s="49" t="s">
        <v>824</v>
      </c>
      <c r="C490" s="49" t="s">
        <v>37</v>
      </c>
      <c r="D490" s="58">
        <v>45968</v>
      </c>
      <c r="E490" s="51" t="s">
        <v>47</v>
      </c>
      <c r="F490" s="50" t="s">
        <v>52</v>
      </c>
      <c r="G490" s="52" t="s">
        <v>99</v>
      </c>
      <c r="H490" s="53">
        <v>4</v>
      </c>
      <c r="I490" s="54">
        <v>79</v>
      </c>
      <c r="J490" s="54">
        <v>27.24</v>
      </c>
      <c r="K490" s="54">
        <v>288.76</v>
      </c>
      <c r="L490" s="56" t="s">
        <v>49</v>
      </c>
    </row>
    <row r="491" spans="2:12" x14ac:dyDescent="0.25">
      <c r="B491" s="42" t="s">
        <v>826</v>
      </c>
      <c r="C491" s="42" t="s">
        <v>37</v>
      </c>
      <c r="D491" s="57">
        <v>45702</v>
      </c>
      <c r="E491" s="44" t="s">
        <v>47</v>
      </c>
      <c r="F491" s="43" t="s">
        <v>30</v>
      </c>
      <c r="G491" s="42" t="s">
        <v>31</v>
      </c>
      <c r="H491" s="45">
        <v>5</v>
      </c>
      <c r="I491" s="46">
        <v>2500</v>
      </c>
      <c r="J491" s="46">
        <v>0</v>
      </c>
      <c r="K491" s="46">
        <v>12500</v>
      </c>
      <c r="L491" s="48" t="s">
        <v>69</v>
      </c>
    </row>
    <row r="492" spans="2:12" x14ac:dyDescent="0.25">
      <c r="B492" s="49" t="s">
        <v>827</v>
      </c>
      <c r="C492" s="49" t="s">
        <v>13</v>
      </c>
      <c r="D492" s="58">
        <v>45878</v>
      </c>
      <c r="E492" s="51" t="s">
        <v>15</v>
      </c>
      <c r="F492" s="50" t="s">
        <v>23</v>
      </c>
      <c r="G492" s="52" t="s">
        <v>24</v>
      </c>
      <c r="H492" s="53">
        <v>5</v>
      </c>
      <c r="I492" s="54">
        <v>180</v>
      </c>
      <c r="J492" s="54">
        <v>0</v>
      </c>
      <c r="K492" s="54">
        <v>900</v>
      </c>
      <c r="L492" s="56" t="s">
        <v>49</v>
      </c>
    </row>
    <row r="493" spans="2:12" x14ac:dyDescent="0.25">
      <c r="B493" s="42" t="s">
        <v>829</v>
      </c>
      <c r="C493" s="42" t="s">
        <v>71</v>
      </c>
      <c r="D493" s="57">
        <v>45838</v>
      </c>
      <c r="E493" s="44" t="s">
        <v>47</v>
      </c>
      <c r="F493" s="43" t="s">
        <v>16</v>
      </c>
      <c r="G493" s="42" t="s">
        <v>17</v>
      </c>
      <c r="H493" s="45">
        <v>1</v>
      </c>
      <c r="I493" s="46">
        <v>39</v>
      </c>
      <c r="J493" s="46">
        <v>0</v>
      </c>
      <c r="K493" s="46">
        <v>39</v>
      </c>
      <c r="L493" s="48" t="s">
        <v>44</v>
      </c>
    </row>
    <row r="494" spans="2:12" x14ac:dyDescent="0.25">
      <c r="B494" s="49" t="s">
        <v>830</v>
      </c>
      <c r="C494" s="49" t="s">
        <v>37</v>
      </c>
      <c r="D494" s="58">
        <v>45706</v>
      </c>
      <c r="E494" s="51" t="s">
        <v>47</v>
      </c>
      <c r="F494" s="50" t="s">
        <v>16</v>
      </c>
      <c r="G494" s="52" t="s">
        <v>78</v>
      </c>
      <c r="H494" s="53">
        <v>2</v>
      </c>
      <c r="I494" s="54">
        <v>59</v>
      </c>
      <c r="J494" s="54">
        <v>0</v>
      </c>
      <c r="K494" s="54">
        <v>118</v>
      </c>
      <c r="L494" s="56" t="s">
        <v>49</v>
      </c>
    </row>
    <row r="495" spans="2:12" x14ac:dyDescent="0.25">
      <c r="B495" s="42" t="s">
        <v>831</v>
      </c>
      <c r="C495" s="42" t="s">
        <v>37</v>
      </c>
      <c r="D495" s="57">
        <v>45971</v>
      </c>
      <c r="E495" s="44" t="s">
        <v>39</v>
      </c>
      <c r="F495" s="43" t="s">
        <v>30</v>
      </c>
      <c r="G495" s="42" t="s">
        <v>152</v>
      </c>
      <c r="H495" s="45">
        <v>2</v>
      </c>
      <c r="I495" s="46">
        <v>4500</v>
      </c>
      <c r="J495" s="46">
        <v>470.76</v>
      </c>
      <c r="K495" s="46">
        <v>8529.24</v>
      </c>
      <c r="L495" s="48" t="s">
        <v>49</v>
      </c>
    </row>
    <row r="496" spans="2:12" x14ac:dyDescent="0.25">
      <c r="B496" s="49" t="s">
        <v>833</v>
      </c>
      <c r="C496" s="49" t="s">
        <v>95</v>
      </c>
      <c r="D496" s="58">
        <v>46009</v>
      </c>
      <c r="E496" s="51" t="s">
        <v>39</v>
      </c>
      <c r="F496" s="50" t="s">
        <v>23</v>
      </c>
      <c r="G496" s="52" t="s">
        <v>24</v>
      </c>
      <c r="H496" s="53">
        <v>4</v>
      </c>
      <c r="I496" s="54">
        <v>180</v>
      </c>
      <c r="J496" s="54">
        <v>0</v>
      </c>
      <c r="K496" s="54">
        <v>720</v>
      </c>
      <c r="L496" s="56" t="s">
        <v>49</v>
      </c>
    </row>
    <row r="497" spans="2:12" x14ac:dyDescent="0.25">
      <c r="B497" s="42" t="s">
        <v>834</v>
      </c>
      <c r="C497" s="42" t="s">
        <v>27</v>
      </c>
      <c r="D497" s="57">
        <v>45750</v>
      </c>
      <c r="E497" s="44" t="s">
        <v>39</v>
      </c>
      <c r="F497" s="43" t="s">
        <v>16</v>
      </c>
      <c r="G497" s="42" t="s">
        <v>103</v>
      </c>
      <c r="H497" s="45">
        <v>3</v>
      </c>
      <c r="I497" s="46">
        <v>89</v>
      </c>
      <c r="J497" s="46">
        <v>0</v>
      </c>
      <c r="K497" s="46">
        <v>267</v>
      </c>
      <c r="L497" s="48" t="s">
        <v>44</v>
      </c>
    </row>
    <row r="498" spans="2:12" x14ac:dyDescent="0.25">
      <c r="B498" s="49" t="s">
        <v>836</v>
      </c>
      <c r="C498" s="49" t="s">
        <v>41</v>
      </c>
      <c r="D498" s="58">
        <v>45879</v>
      </c>
      <c r="E498" s="51" t="s">
        <v>15</v>
      </c>
      <c r="F498" s="50" t="s">
        <v>16</v>
      </c>
      <c r="G498" s="52" t="s">
        <v>103</v>
      </c>
      <c r="H498" s="53">
        <v>1</v>
      </c>
      <c r="I498" s="54">
        <v>89</v>
      </c>
      <c r="J498" s="54">
        <v>0</v>
      </c>
      <c r="K498" s="54">
        <v>89</v>
      </c>
      <c r="L498" s="56" t="s">
        <v>49</v>
      </c>
    </row>
    <row r="499" spans="2:12" x14ac:dyDescent="0.25">
      <c r="B499" s="42" t="s">
        <v>837</v>
      </c>
      <c r="C499" s="42" t="s">
        <v>63</v>
      </c>
      <c r="D499" s="57">
        <v>45924</v>
      </c>
      <c r="E499" s="44" t="s">
        <v>39</v>
      </c>
      <c r="F499" s="43" t="s">
        <v>16</v>
      </c>
      <c r="G499" s="42" t="s">
        <v>103</v>
      </c>
      <c r="H499" s="45">
        <v>1</v>
      </c>
      <c r="I499" s="46">
        <v>89</v>
      </c>
      <c r="J499" s="46">
        <v>0</v>
      </c>
      <c r="K499" s="46">
        <v>89</v>
      </c>
      <c r="L499" s="48" t="s">
        <v>18</v>
      </c>
    </row>
    <row r="500" spans="2:12" x14ac:dyDescent="0.25">
      <c r="B500" s="49" t="s">
        <v>838</v>
      </c>
      <c r="C500" s="49" t="s">
        <v>71</v>
      </c>
      <c r="D500" s="58">
        <v>45878</v>
      </c>
      <c r="E500" s="51" t="s">
        <v>29</v>
      </c>
      <c r="F500" s="50" t="s">
        <v>30</v>
      </c>
      <c r="G500" s="52" t="s">
        <v>106</v>
      </c>
      <c r="H500" s="53">
        <v>1</v>
      </c>
      <c r="I500" s="54">
        <v>299</v>
      </c>
      <c r="J500" s="54">
        <v>0</v>
      </c>
      <c r="K500" s="54">
        <v>299</v>
      </c>
      <c r="L500" s="56" t="s">
        <v>25</v>
      </c>
    </row>
    <row r="501" spans="2:12" x14ac:dyDescent="0.25">
      <c r="B501" s="42" t="s">
        <v>839</v>
      </c>
      <c r="C501" s="42" t="s">
        <v>55</v>
      </c>
      <c r="D501" s="57">
        <v>45869</v>
      </c>
      <c r="E501" s="44" t="s">
        <v>29</v>
      </c>
      <c r="F501" s="43" t="s">
        <v>30</v>
      </c>
      <c r="G501" s="42" t="s">
        <v>31</v>
      </c>
      <c r="H501" s="45">
        <v>1</v>
      </c>
      <c r="I501" s="46">
        <v>2500</v>
      </c>
      <c r="J501" s="46">
        <v>0</v>
      </c>
      <c r="K501" s="46">
        <v>2500</v>
      </c>
      <c r="L501" s="48" t="s">
        <v>65</v>
      </c>
    </row>
    <row r="502" spans="2:12" x14ac:dyDescent="0.25">
      <c r="B502" s="49" t="s">
        <v>840</v>
      </c>
      <c r="C502" s="49" t="s">
        <v>101</v>
      </c>
      <c r="D502" s="58">
        <v>45716</v>
      </c>
      <c r="E502" s="51" t="s">
        <v>39</v>
      </c>
      <c r="F502" s="50" t="s">
        <v>30</v>
      </c>
      <c r="G502" s="52" t="s">
        <v>31</v>
      </c>
      <c r="H502" s="53">
        <v>3</v>
      </c>
      <c r="I502" s="54">
        <v>2500</v>
      </c>
      <c r="J502" s="54">
        <v>0</v>
      </c>
      <c r="K502" s="54">
        <v>7500</v>
      </c>
      <c r="L502" s="56" t="s">
        <v>89</v>
      </c>
    </row>
    <row r="503" spans="2:12" x14ac:dyDescent="0.25">
      <c r="B503" s="42" t="s">
        <v>841</v>
      </c>
      <c r="C503" s="42" t="s">
        <v>95</v>
      </c>
      <c r="D503" s="57">
        <v>45763</v>
      </c>
      <c r="E503" s="44" t="s">
        <v>22</v>
      </c>
      <c r="F503" s="43" t="s">
        <v>16</v>
      </c>
      <c r="G503" s="42" t="s">
        <v>17</v>
      </c>
      <c r="H503" s="45">
        <v>4</v>
      </c>
      <c r="I503" s="46">
        <v>39</v>
      </c>
      <c r="J503" s="46">
        <v>5.92</v>
      </c>
      <c r="K503" s="46">
        <v>150.08000000000001</v>
      </c>
      <c r="L503" s="48" t="s">
        <v>44</v>
      </c>
    </row>
    <row r="504" spans="2:12" x14ac:dyDescent="0.25">
      <c r="B504" s="49" t="s">
        <v>842</v>
      </c>
      <c r="C504" s="49" t="s">
        <v>27</v>
      </c>
      <c r="D504" s="58">
        <v>45928</v>
      </c>
      <c r="E504" s="51" t="s">
        <v>47</v>
      </c>
      <c r="F504" s="50" t="s">
        <v>52</v>
      </c>
      <c r="G504" s="52" t="s">
        <v>99</v>
      </c>
      <c r="H504" s="53">
        <v>3</v>
      </c>
      <c r="I504" s="54">
        <v>79</v>
      </c>
      <c r="J504" s="54">
        <v>10.119999999999999</v>
      </c>
      <c r="K504" s="54">
        <v>226.88</v>
      </c>
      <c r="L504" s="56" t="s">
        <v>69</v>
      </c>
    </row>
    <row r="505" spans="2:12" x14ac:dyDescent="0.25">
      <c r="B505" s="42" t="s">
        <v>843</v>
      </c>
      <c r="C505" s="42" t="s">
        <v>95</v>
      </c>
      <c r="D505" s="57">
        <v>45946</v>
      </c>
      <c r="E505" s="44" t="s">
        <v>22</v>
      </c>
      <c r="F505" s="43" t="s">
        <v>52</v>
      </c>
      <c r="G505" s="42" t="s">
        <v>61</v>
      </c>
      <c r="H505" s="45">
        <v>2</v>
      </c>
      <c r="I505" s="46">
        <v>199</v>
      </c>
      <c r="J505" s="46">
        <v>0</v>
      </c>
      <c r="K505" s="46">
        <v>398</v>
      </c>
      <c r="L505" s="48" t="s">
        <v>89</v>
      </c>
    </row>
    <row r="506" spans="2:12" x14ac:dyDescent="0.25">
      <c r="B506" s="49" t="s">
        <v>844</v>
      </c>
      <c r="C506" s="49" t="s">
        <v>41</v>
      </c>
      <c r="D506" s="58">
        <v>45991</v>
      </c>
      <c r="E506" s="51" t="s">
        <v>39</v>
      </c>
      <c r="F506" s="50" t="s">
        <v>30</v>
      </c>
      <c r="G506" s="52" t="s">
        <v>152</v>
      </c>
      <c r="H506" s="53">
        <v>4</v>
      </c>
      <c r="I506" s="54">
        <v>4500</v>
      </c>
      <c r="J506" s="54">
        <v>1143.76</v>
      </c>
      <c r="K506" s="54">
        <v>16856.240000000002</v>
      </c>
      <c r="L506" s="56" t="s">
        <v>65</v>
      </c>
    </row>
    <row r="507" spans="2:12" x14ac:dyDescent="0.25">
      <c r="B507" s="42" t="s">
        <v>845</v>
      </c>
      <c r="C507" s="42" t="s">
        <v>20</v>
      </c>
      <c r="D507" s="57">
        <v>45880</v>
      </c>
      <c r="E507" s="44" t="s">
        <v>39</v>
      </c>
      <c r="F507" s="43" t="s">
        <v>23</v>
      </c>
      <c r="G507" s="42" t="s">
        <v>24</v>
      </c>
      <c r="H507" s="45">
        <v>4</v>
      </c>
      <c r="I507" s="46">
        <v>180</v>
      </c>
      <c r="J507" s="46">
        <v>84.2</v>
      </c>
      <c r="K507" s="46">
        <v>635.79999999999995</v>
      </c>
      <c r="L507" s="48" t="s">
        <v>49</v>
      </c>
    </row>
    <row r="508" spans="2:12" x14ac:dyDescent="0.25">
      <c r="B508" s="49" t="s">
        <v>846</v>
      </c>
      <c r="C508" s="49" t="s">
        <v>71</v>
      </c>
      <c r="D508" s="58">
        <v>45962</v>
      </c>
      <c r="E508" s="51" t="s">
        <v>39</v>
      </c>
      <c r="F508" s="50" t="s">
        <v>30</v>
      </c>
      <c r="G508" s="52" t="s">
        <v>68</v>
      </c>
      <c r="H508" s="53">
        <v>4</v>
      </c>
      <c r="I508" s="54">
        <v>799</v>
      </c>
      <c r="J508" s="54">
        <v>0</v>
      </c>
      <c r="K508" s="54">
        <v>3196</v>
      </c>
      <c r="L508" s="56" t="s">
        <v>44</v>
      </c>
    </row>
    <row r="509" spans="2:12" x14ac:dyDescent="0.25">
      <c r="B509" s="42" t="s">
        <v>847</v>
      </c>
      <c r="C509" s="42" t="s">
        <v>27</v>
      </c>
      <c r="D509" s="57">
        <v>46016</v>
      </c>
      <c r="E509" s="44" t="s">
        <v>22</v>
      </c>
      <c r="F509" s="43" t="s">
        <v>23</v>
      </c>
      <c r="G509" s="42" t="s">
        <v>24</v>
      </c>
      <c r="H509" s="45">
        <v>2</v>
      </c>
      <c r="I509" s="46">
        <v>180</v>
      </c>
      <c r="J509" s="46">
        <v>12.01</v>
      </c>
      <c r="K509" s="46">
        <v>347.99</v>
      </c>
      <c r="L509" s="48" t="s">
        <v>25</v>
      </c>
    </row>
    <row r="510" spans="2:12" x14ac:dyDescent="0.25">
      <c r="B510" s="49" t="s">
        <v>848</v>
      </c>
      <c r="C510" s="49" t="s">
        <v>27</v>
      </c>
      <c r="D510" s="58">
        <v>45943</v>
      </c>
      <c r="E510" s="51" t="s">
        <v>39</v>
      </c>
      <c r="F510" s="50" t="s">
        <v>52</v>
      </c>
      <c r="G510" s="52" t="s">
        <v>99</v>
      </c>
      <c r="H510" s="53">
        <v>5</v>
      </c>
      <c r="I510" s="54">
        <v>79</v>
      </c>
      <c r="J510" s="54">
        <v>0</v>
      </c>
      <c r="K510" s="54">
        <v>395</v>
      </c>
      <c r="L510" s="56" t="s">
        <v>18</v>
      </c>
    </row>
    <row r="511" spans="2:12" x14ac:dyDescent="0.25">
      <c r="B511" s="42" t="s">
        <v>849</v>
      </c>
      <c r="C511" s="42" t="s">
        <v>20</v>
      </c>
      <c r="D511" s="57">
        <v>45747</v>
      </c>
      <c r="E511" s="44" t="s">
        <v>29</v>
      </c>
      <c r="F511" s="43" t="s">
        <v>30</v>
      </c>
      <c r="G511" s="42" t="s">
        <v>31</v>
      </c>
      <c r="H511" s="45">
        <v>5</v>
      </c>
      <c r="I511" s="46">
        <v>2500</v>
      </c>
      <c r="J511" s="46">
        <v>80.58</v>
      </c>
      <c r="K511" s="46">
        <v>12419.42</v>
      </c>
      <c r="L511" s="48" t="s">
        <v>44</v>
      </c>
    </row>
    <row r="512" spans="2:12" x14ac:dyDescent="0.25">
      <c r="B512" s="49" t="s">
        <v>850</v>
      </c>
      <c r="C512" s="49" t="s">
        <v>55</v>
      </c>
      <c r="D512" s="58">
        <v>45937</v>
      </c>
      <c r="E512" s="51" t="s">
        <v>47</v>
      </c>
      <c r="F512" s="50" t="s">
        <v>16</v>
      </c>
      <c r="G512" s="52" t="s">
        <v>116</v>
      </c>
      <c r="H512" s="53">
        <v>5</v>
      </c>
      <c r="I512" s="54">
        <v>45</v>
      </c>
      <c r="J512" s="54">
        <v>23.56</v>
      </c>
      <c r="K512" s="54">
        <v>201.44</v>
      </c>
      <c r="L512" s="56" t="s">
        <v>69</v>
      </c>
    </row>
    <row r="513" spans="2:12" x14ac:dyDescent="0.25">
      <c r="B513" s="42" t="s">
        <v>852</v>
      </c>
      <c r="C513" s="42" t="s">
        <v>37</v>
      </c>
      <c r="D513" s="57">
        <v>45944</v>
      </c>
      <c r="E513" s="44" t="s">
        <v>39</v>
      </c>
      <c r="F513" s="43" t="s">
        <v>52</v>
      </c>
      <c r="G513" s="42" t="s">
        <v>75</v>
      </c>
      <c r="H513" s="45">
        <v>5</v>
      </c>
      <c r="I513" s="46">
        <v>249</v>
      </c>
      <c r="J513" s="46">
        <v>65.94</v>
      </c>
      <c r="K513" s="46">
        <v>1179.06</v>
      </c>
      <c r="L513" s="48" t="s">
        <v>69</v>
      </c>
    </row>
    <row r="514" spans="2:12" x14ac:dyDescent="0.25">
      <c r="B514" s="49" t="s">
        <v>853</v>
      </c>
      <c r="C514" s="49" t="s">
        <v>110</v>
      </c>
      <c r="D514" s="58">
        <v>45974</v>
      </c>
      <c r="E514" s="51" t="s">
        <v>15</v>
      </c>
      <c r="F514" s="50" t="s">
        <v>16</v>
      </c>
      <c r="G514" s="52" t="s">
        <v>116</v>
      </c>
      <c r="H514" s="53">
        <v>5</v>
      </c>
      <c r="I514" s="54">
        <v>45</v>
      </c>
      <c r="J514" s="54">
        <v>0</v>
      </c>
      <c r="K514" s="54">
        <v>225</v>
      </c>
      <c r="L514" s="56" t="s">
        <v>65</v>
      </c>
    </row>
    <row r="515" spans="2:12" x14ac:dyDescent="0.25">
      <c r="B515" s="42" t="s">
        <v>854</v>
      </c>
      <c r="C515" s="42" t="s">
        <v>95</v>
      </c>
      <c r="D515" s="57">
        <v>46052</v>
      </c>
      <c r="E515" s="44" t="s">
        <v>15</v>
      </c>
      <c r="F515" s="43" t="s">
        <v>30</v>
      </c>
      <c r="G515" s="42" t="s">
        <v>68</v>
      </c>
      <c r="H515" s="45">
        <v>4</v>
      </c>
      <c r="I515" s="46">
        <v>799</v>
      </c>
      <c r="J515" s="46">
        <v>0</v>
      </c>
      <c r="K515" s="46">
        <v>3196</v>
      </c>
      <c r="L515" s="48" t="s">
        <v>32</v>
      </c>
    </row>
    <row r="516" spans="2:12" x14ac:dyDescent="0.25">
      <c r="B516" s="49" t="s">
        <v>856</v>
      </c>
      <c r="C516" s="49" t="s">
        <v>110</v>
      </c>
      <c r="D516" s="58">
        <v>45837</v>
      </c>
      <c r="E516" s="51" t="s">
        <v>15</v>
      </c>
      <c r="F516" s="50" t="s">
        <v>30</v>
      </c>
      <c r="G516" s="52" t="s">
        <v>31</v>
      </c>
      <c r="H516" s="53">
        <v>2</v>
      </c>
      <c r="I516" s="54">
        <v>2500</v>
      </c>
      <c r="J516" s="54">
        <v>0</v>
      </c>
      <c r="K516" s="54">
        <v>5000</v>
      </c>
      <c r="L516" s="56" t="s">
        <v>49</v>
      </c>
    </row>
    <row r="517" spans="2:12" x14ac:dyDescent="0.25">
      <c r="B517" s="42" t="s">
        <v>858</v>
      </c>
      <c r="C517" s="42" t="s">
        <v>27</v>
      </c>
      <c r="D517" s="57">
        <v>45798</v>
      </c>
      <c r="E517" s="44" t="s">
        <v>39</v>
      </c>
      <c r="F517" s="43" t="s">
        <v>23</v>
      </c>
      <c r="G517" s="42" t="s">
        <v>48</v>
      </c>
      <c r="H517" s="45">
        <v>3</v>
      </c>
      <c r="I517" s="46">
        <v>450</v>
      </c>
      <c r="J517" s="46">
        <v>112.36</v>
      </c>
      <c r="K517" s="46">
        <v>1237.6400000000001</v>
      </c>
      <c r="L517" s="48" t="s">
        <v>65</v>
      </c>
    </row>
    <row r="518" spans="2:12" x14ac:dyDescent="0.25">
      <c r="B518" s="49" t="s">
        <v>859</v>
      </c>
      <c r="C518" s="49" t="s">
        <v>110</v>
      </c>
      <c r="D518" s="58">
        <v>45672</v>
      </c>
      <c r="E518" s="51" t="s">
        <v>47</v>
      </c>
      <c r="F518" s="50" t="s">
        <v>30</v>
      </c>
      <c r="G518" s="52" t="s">
        <v>152</v>
      </c>
      <c r="H518" s="53">
        <v>2</v>
      </c>
      <c r="I518" s="54">
        <v>4500</v>
      </c>
      <c r="J518" s="54">
        <v>1064.29</v>
      </c>
      <c r="K518" s="54">
        <v>7935.71</v>
      </c>
      <c r="L518" s="56" t="s">
        <v>25</v>
      </c>
    </row>
    <row r="519" spans="2:12" x14ac:dyDescent="0.25">
      <c r="B519" s="42" t="s">
        <v>861</v>
      </c>
      <c r="C519" s="42" t="s">
        <v>13</v>
      </c>
      <c r="D519" s="57">
        <v>45772</v>
      </c>
      <c r="E519" s="44" t="s">
        <v>47</v>
      </c>
      <c r="F519" s="43" t="s">
        <v>52</v>
      </c>
      <c r="G519" s="42" t="s">
        <v>53</v>
      </c>
      <c r="H519" s="45">
        <v>4</v>
      </c>
      <c r="I519" s="46">
        <v>149</v>
      </c>
      <c r="J519" s="46">
        <v>0</v>
      </c>
      <c r="K519" s="46">
        <v>596</v>
      </c>
      <c r="L519" s="48" t="s">
        <v>25</v>
      </c>
    </row>
    <row r="520" spans="2:12" x14ac:dyDescent="0.25">
      <c r="B520" s="49" t="s">
        <v>862</v>
      </c>
      <c r="C520" s="49" t="s">
        <v>37</v>
      </c>
      <c r="D520" s="58">
        <v>46036</v>
      </c>
      <c r="E520" s="51" t="s">
        <v>47</v>
      </c>
      <c r="F520" s="50" t="s">
        <v>23</v>
      </c>
      <c r="G520" s="52" t="s">
        <v>48</v>
      </c>
      <c r="H520" s="53">
        <v>1</v>
      </c>
      <c r="I520" s="54">
        <v>450</v>
      </c>
      <c r="J520" s="54">
        <v>63.87</v>
      </c>
      <c r="K520" s="54">
        <v>386.13</v>
      </c>
      <c r="L520" s="56" t="s">
        <v>49</v>
      </c>
    </row>
    <row r="521" spans="2:12" x14ac:dyDescent="0.25">
      <c r="B521" s="42" t="s">
        <v>863</v>
      </c>
      <c r="C521" s="42" t="s">
        <v>55</v>
      </c>
      <c r="D521" s="57">
        <v>45885</v>
      </c>
      <c r="E521" s="44" t="s">
        <v>22</v>
      </c>
      <c r="F521" s="43" t="s">
        <v>52</v>
      </c>
      <c r="G521" s="42" t="s">
        <v>53</v>
      </c>
      <c r="H521" s="45">
        <v>4</v>
      </c>
      <c r="I521" s="46">
        <v>149</v>
      </c>
      <c r="J521" s="46">
        <v>65.86</v>
      </c>
      <c r="K521" s="46">
        <v>530.14</v>
      </c>
      <c r="L521" s="48" t="s">
        <v>89</v>
      </c>
    </row>
    <row r="522" spans="2:12" x14ac:dyDescent="0.25">
      <c r="B522" s="49" t="s">
        <v>864</v>
      </c>
      <c r="C522" s="49" t="s">
        <v>34</v>
      </c>
      <c r="D522" s="58">
        <v>45899</v>
      </c>
      <c r="E522" s="51" t="s">
        <v>29</v>
      </c>
      <c r="F522" s="50" t="s">
        <v>23</v>
      </c>
      <c r="G522" s="52" t="s">
        <v>43</v>
      </c>
      <c r="H522" s="53">
        <v>1</v>
      </c>
      <c r="I522" s="54">
        <v>350</v>
      </c>
      <c r="J522" s="54">
        <v>43.51</v>
      </c>
      <c r="K522" s="54">
        <v>306.49</v>
      </c>
      <c r="L522" s="56" t="s">
        <v>65</v>
      </c>
    </row>
    <row r="523" spans="2:12" x14ac:dyDescent="0.25">
      <c r="B523" s="42" t="s">
        <v>866</v>
      </c>
      <c r="C523" s="42" t="s">
        <v>34</v>
      </c>
      <c r="D523" s="57">
        <v>45842</v>
      </c>
      <c r="E523" s="44" t="s">
        <v>29</v>
      </c>
      <c r="F523" s="43" t="s">
        <v>23</v>
      </c>
      <c r="G523" s="42" t="s">
        <v>24</v>
      </c>
      <c r="H523" s="45">
        <v>3</v>
      </c>
      <c r="I523" s="46">
        <v>180</v>
      </c>
      <c r="J523" s="46">
        <v>53.85</v>
      </c>
      <c r="K523" s="46">
        <v>486.15</v>
      </c>
      <c r="L523" s="48" t="s">
        <v>32</v>
      </c>
    </row>
    <row r="524" spans="2:12" x14ac:dyDescent="0.25">
      <c r="B524" s="49" t="s">
        <v>867</v>
      </c>
      <c r="C524" s="49" t="s">
        <v>20</v>
      </c>
      <c r="D524" s="58">
        <v>46014</v>
      </c>
      <c r="E524" s="51" t="s">
        <v>47</v>
      </c>
      <c r="F524" s="50" t="s">
        <v>30</v>
      </c>
      <c r="G524" s="52" t="s">
        <v>68</v>
      </c>
      <c r="H524" s="53">
        <v>3</v>
      </c>
      <c r="I524" s="54">
        <v>799</v>
      </c>
      <c r="J524" s="54">
        <v>0</v>
      </c>
      <c r="K524" s="54">
        <v>2397</v>
      </c>
      <c r="L524" s="56" t="s">
        <v>89</v>
      </c>
    </row>
    <row r="525" spans="2:12" x14ac:dyDescent="0.25">
      <c r="B525" s="42" t="s">
        <v>869</v>
      </c>
      <c r="C525" s="42" t="s">
        <v>95</v>
      </c>
      <c r="D525" s="57">
        <v>45992</v>
      </c>
      <c r="E525" s="44" t="s">
        <v>47</v>
      </c>
      <c r="F525" s="43" t="s">
        <v>30</v>
      </c>
      <c r="G525" s="42" t="s">
        <v>68</v>
      </c>
      <c r="H525" s="45">
        <v>1</v>
      </c>
      <c r="I525" s="46">
        <v>799</v>
      </c>
      <c r="J525" s="46">
        <v>2.2999999999999998</v>
      </c>
      <c r="K525" s="46">
        <v>796.7</v>
      </c>
      <c r="L525" s="48" t="s">
        <v>49</v>
      </c>
    </row>
    <row r="526" spans="2:12" x14ac:dyDescent="0.25">
      <c r="B526" s="49" t="s">
        <v>870</v>
      </c>
      <c r="C526" s="49" t="s">
        <v>63</v>
      </c>
      <c r="D526" s="58">
        <v>45781</v>
      </c>
      <c r="E526" s="51" t="s">
        <v>39</v>
      </c>
      <c r="F526" s="50" t="s">
        <v>30</v>
      </c>
      <c r="G526" s="52" t="s">
        <v>106</v>
      </c>
      <c r="H526" s="53">
        <v>1</v>
      </c>
      <c r="I526" s="54">
        <v>299</v>
      </c>
      <c r="J526" s="54">
        <v>12.25</v>
      </c>
      <c r="K526" s="54">
        <v>286.75</v>
      </c>
      <c r="L526" s="56" t="s">
        <v>89</v>
      </c>
    </row>
    <row r="527" spans="2:12" x14ac:dyDescent="0.25">
      <c r="B527" s="42" t="s">
        <v>871</v>
      </c>
      <c r="C527" s="42" t="s">
        <v>95</v>
      </c>
      <c r="D527" s="57">
        <v>45959</v>
      </c>
      <c r="E527" s="44" t="s">
        <v>29</v>
      </c>
      <c r="F527" s="43" t="s">
        <v>52</v>
      </c>
      <c r="G527" s="42" t="s">
        <v>61</v>
      </c>
      <c r="H527" s="45">
        <v>1</v>
      </c>
      <c r="I527" s="46">
        <v>199</v>
      </c>
      <c r="J527" s="46">
        <v>20.63</v>
      </c>
      <c r="K527" s="46">
        <v>178.37</v>
      </c>
      <c r="L527" s="48" t="s">
        <v>65</v>
      </c>
    </row>
    <row r="528" spans="2:12" x14ac:dyDescent="0.25">
      <c r="B528" s="49" t="s">
        <v>872</v>
      </c>
      <c r="C528" s="49" t="s">
        <v>101</v>
      </c>
      <c r="D528" s="58">
        <v>46036</v>
      </c>
      <c r="E528" s="51" t="s">
        <v>39</v>
      </c>
      <c r="F528" s="50" t="s">
        <v>30</v>
      </c>
      <c r="G528" s="52" t="s">
        <v>152</v>
      </c>
      <c r="H528" s="53">
        <v>4</v>
      </c>
      <c r="I528" s="54">
        <v>4500</v>
      </c>
      <c r="J528" s="54">
        <v>1114.6199999999999</v>
      </c>
      <c r="K528" s="54">
        <v>16885.38</v>
      </c>
      <c r="L528" s="56" t="s">
        <v>69</v>
      </c>
    </row>
    <row r="529" spans="2:12" x14ac:dyDescent="0.25">
      <c r="B529" s="42" t="s">
        <v>873</v>
      </c>
      <c r="C529" s="42" t="s">
        <v>27</v>
      </c>
      <c r="D529" s="57">
        <v>45950</v>
      </c>
      <c r="E529" s="44" t="s">
        <v>39</v>
      </c>
      <c r="F529" s="43" t="s">
        <v>16</v>
      </c>
      <c r="G529" s="42" t="s">
        <v>78</v>
      </c>
      <c r="H529" s="45">
        <v>1</v>
      </c>
      <c r="I529" s="46">
        <v>59</v>
      </c>
      <c r="J529" s="46">
        <v>0</v>
      </c>
      <c r="K529" s="46">
        <v>59</v>
      </c>
      <c r="L529" s="48" t="s">
        <v>89</v>
      </c>
    </row>
    <row r="530" spans="2:12" x14ac:dyDescent="0.25">
      <c r="B530" s="49" t="s">
        <v>874</v>
      </c>
      <c r="C530" s="49" t="s">
        <v>95</v>
      </c>
      <c r="D530" s="58">
        <v>45931</v>
      </c>
      <c r="E530" s="51" t="s">
        <v>29</v>
      </c>
      <c r="F530" s="50" t="s">
        <v>16</v>
      </c>
      <c r="G530" s="52" t="s">
        <v>78</v>
      </c>
      <c r="H530" s="53">
        <v>5</v>
      </c>
      <c r="I530" s="54">
        <v>59</v>
      </c>
      <c r="J530" s="54">
        <v>0</v>
      </c>
      <c r="K530" s="54">
        <v>295</v>
      </c>
      <c r="L530" s="56" t="s">
        <v>89</v>
      </c>
    </row>
    <row r="531" spans="2:12" x14ac:dyDescent="0.25">
      <c r="B531" s="42" t="s">
        <v>876</v>
      </c>
      <c r="C531" s="42" t="s">
        <v>55</v>
      </c>
      <c r="D531" s="57">
        <v>46007</v>
      </c>
      <c r="E531" s="44" t="s">
        <v>15</v>
      </c>
      <c r="F531" s="43" t="s">
        <v>30</v>
      </c>
      <c r="G531" s="42" t="s">
        <v>31</v>
      </c>
      <c r="H531" s="45">
        <v>3</v>
      </c>
      <c r="I531" s="46">
        <v>2500</v>
      </c>
      <c r="J531" s="46">
        <v>475.99</v>
      </c>
      <c r="K531" s="46">
        <v>7024.01</v>
      </c>
      <c r="L531" s="48" t="s">
        <v>44</v>
      </c>
    </row>
    <row r="532" spans="2:12" x14ac:dyDescent="0.25">
      <c r="B532" s="49" t="s">
        <v>877</v>
      </c>
      <c r="C532" s="49" t="s">
        <v>71</v>
      </c>
      <c r="D532" s="58">
        <v>45686</v>
      </c>
      <c r="E532" s="51" t="s">
        <v>22</v>
      </c>
      <c r="F532" s="50" t="s">
        <v>30</v>
      </c>
      <c r="G532" s="52" t="s">
        <v>106</v>
      </c>
      <c r="H532" s="53">
        <v>4</v>
      </c>
      <c r="I532" s="54">
        <v>299</v>
      </c>
      <c r="J532" s="54">
        <v>0</v>
      </c>
      <c r="K532" s="54">
        <v>1196</v>
      </c>
      <c r="L532" s="56" t="s">
        <v>65</v>
      </c>
    </row>
    <row r="533" spans="2:12" x14ac:dyDescent="0.25">
      <c r="B533" s="42" t="s">
        <v>878</v>
      </c>
      <c r="C533" s="42" t="s">
        <v>95</v>
      </c>
      <c r="D533" s="57">
        <v>45884</v>
      </c>
      <c r="E533" s="44" t="s">
        <v>29</v>
      </c>
      <c r="F533" s="43" t="s">
        <v>52</v>
      </c>
      <c r="G533" s="42" t="s">
        <v>99</v>
      </c>
      <c r="H533" s="45">
        <v>4</v>
      </c>
      <c r="I533" s="46">
        <v>79</v>
      </c>
      <c r="J533" s="46">
        <v>47.01</v>
      </c>
      <c r="K533" s="46">
        <v>268.99</v>
      </c>
      <c r="L533" s="48" t="s">
        <v>18</v>
      </c>
    </row>
    <row r="534" spans="2:12" x14ac:dyDescent="0.25">
      <c r="B534" s="49" t="s">
        <v>879</v>
      </c>
      <c r="C534" s="49" t="s">
        <v>101</v>
      </c>
      <c r="D534" s="58">
        <v>46046</v>
      </c>
      <c r="E534" s="51" t="s">
        <v>47</v>
      </c>
      <c r="F534" s="50" t="s">
        <v>23</v>
      </c>
      <c r="G534" s="52" t="s">
        <v>43</v>
      </c>
      <c r="H534" s="53">
        <v>3</v>
      </c>
      <c r="I534" s="54">
        <v>350</v>
      </c>
      <c r="J534" s="54">
        <v>10.82</v>
      </c>
      <c r="K534" s="54">
        <v>1039.18</v>
      </c>
      <c r="L534" s="56" t="s">
        <v>25</v>
      </c>
    </row>
    <row r="535" spans="2:12" x14ac:dyDescent="0.25">
      <c r="B535" s="42" t="s">
        <v>881</v>
      </c>
      <c r="C535" s="42" t="s">
        <v>55</v>
      </c>
      <c r="D535" s="57">
        <v>45975</v>
      </c>
      <c r="E535" s="44" t="s">
        <v>29</v>
      </c>
      <c r="F535" s="43" t="s">
        <v>52</v>
      </c>
      <c r="G535" s="42" t="s">
        <v>75</v>
      </c>
      <c r="H535" s="45">
        <v>4</v>
      </c>
      <c r="I535" s="46">
        <v>249</v>
      </c>
      <c r="J535" s="46">
        <v>0</v>
      </c>
      <c r="K535" s="46">
        <v>996</v>
      </c>
      <c r="L535" s="48" t="s">
        <v>89</v>
      </c>
    </row>
    <row r="536" spans="2:12" x14ac:dyDescent="0.25">
      <c r="B536" s="49" t="s">
        <v>882</v>
      </c>
      <c r="C536" s="49" t="s">
        <v>20</v>
      </c>
      <c r="D536" s="58">
        <v>45945</v>
      </c>
      <c r="E536" s="51" t="s">
        <v>22</v>
      </c>
      <c r="F536" s="50" t="s">
        <v>23</v>
      </c>
      <c r="G536" s="52" t="s">
        <v>24</v>
      </c>
      <c r="H536" s="53">
        <v>5</v>
      </c>
      <c r="I536" s="54">
        <v>180</v>
      </c>
      <c r="J536" s="54">
        <v>0</v>
      </c>
      <c r="K536" s="54">
        <v>900</v>
      </c>
      <c r="L536" s="56" t="s">
        <v>25</v>
      </c>
    </row>
    <row r="537" spans="2:12" x14ac:dyDescent="0.25">
      <c r="B537" s="42" t="s">
        <v>883</v>
      </c>
      <c r="C537" s="42" t="s">
        <v>37</v>
      </c>
      <c r="D537" s="57">
        <v>45721</v>
      </c>
      <c r="E537" s="44" t="s">
        <v>29</v>
      </c>
      <c r="F537" s="43" t="s">
        <v>52</v>
      </c>
      <c r="G537" s="42" t="s">
        <v>99</v>
      </c>
      <c r="H537" s="45">
        <v>1</v>
      </c>
      <c r="I537" s="46">
        <v>79</v>
      </c>
      <c r="J537" s="46">
        <v>0</v>
      </c>
      <c r="K537" s="46">
        <v>79</v>
      </c>
      <c r="L537" s="48" t="s">
        <v>32</v>
      </c>
    </row>
    <row r="538" spans="2:12" x14ac:dyDescent="0.25">
      <c r="B538" s="49" t="s">
        <v>885</v>
      </c>
      <c r="C538" s="49" t="s">
        <v>37</v>
      </c>
      <c r="D538" s="58">
        <v>45819</v>
      </c>
      <c r="E538" s="51" t="s">
        <v>22</v>
      </c>
      <c r="F538" s="50" t="s">
        <v>52</v>
      </c>
      <c r="G538" s="52" t="s">
        <v>61</v>
      </c>
      <c r="H538" s="53">
        <v>3</v>
      </c>
      <c r="I538" s="54">
        <v>199</v>
      </c>
      <c r="J538" s="54">
        <v>40.07</v>
      </c>
      <c r="K538" s="54">
        <v>556.92999999999995</v>
      </c>
      <c r="L538" s="56" t="s">
        <v>89</v>
      </c>
    </row>
    <row r="539" spans="2:12" x14ac:dyDescent="0.25">
      <c r="B539" s="42" t="s">
        <v>886</v>
      </c>
      <c r="C539" s="42" t="s">
        <v>95</v>
      </c>
      <c r="D539" s="57">
        <v>45703</v>
      </c>
      <c r="E539" s="44" t="s">
        <v>47</v>
      </c>
      <c r="F539" s="43" t="s">
        <v>52</v>
      </c>
      <c r="G539" s="42" t="s">
        <v>75</v>
      </c>
      <c r="H539" s="45">
        <v>3</v>
      </c>
      <c r="I539" s="46">
        <v>249</v>
      </c>
      <c r="J539" s="46">
        <v>42.46</v>
      </c>
      <c r="K539" s="46">
        <v>704.54</v>
      </c>
      <c r="L539" s="48" t="s">
        <v>44</v>
      </c>
    </row>
    <row r="540" spans="2:12" x14ac:dyDescent="0.25">
      <c r="B540" s="49" t="s">
        <v>887</v>
      </c>
      <c r="C540" s="49" t="s">
        <v>63</v>
      </c>
      <c r="D540" s="58">
        <v>45675</v>
      </c>
      <c r="E540" s="51" t="s">
        <v>47</v>
      </c>
      <c r="F540" s="50" t="s">
        <v>23</v>
      </c>
      <c r="G540" s="52" t="s">
        <v>43</v>
      </c>
      <c r="H540" s="53">
        <v>2</v>
      </c>
      <c r="I540" s="54">
        <v>350</v>
      </c>
      <c r="J540" s="54">
        <v>92.35</v>
      </c>
      <c r="K540" s="54">
        <v>607.65</v>
      </c>
      <c r="L540" s="56" t="s">
        <v>69</v>
      </c>
    </row>
    <row r="541" spans="2:12" x14ac:dyDescent="0.25">
      <c r="B541" s="42" t="s">
        <v>888</v>
      </c>
      <c r="C541" s="42" t="s">
        <v>71</v>
      </c>
      <c r="D541" s="57">
        <v>46037</v>
      </c>
      <c r="E541" s="44" t="s">
        <v>39</v>
      </c>
      <c r="F541" s="43" t="s">
        <v>52</v>
      </c>
      <c r="G541" s="42" t="s">
        <v>53</v>
      </c>
      <c r="H541" s="45">
        <v>4</v>
      </c>
      <c r="I541" s="46">
        <v>149</v>
      </c>
      <c r="J541" s="46">
        <v>83.62</v>
      </c>
      <c r="K541" s="46">
        <v>512.38</v>
      </c>
      <c r="L541" s="48" t="s">
        <v>89</v>
      </c>
    </row>
    <row r="542" spans="2:12" x14ac:dyDescent="0.25">
      <c r="B542" s="49" t="s">
        <v>889</v>
      </c>
      <c r="C542" s="49" t="s">
        <v>55</v>
      </c>
      <c r="D542" s="58">
        <v>45763</v>
      </c>
      <c r="E542" s="51" t="s">
        <v>22</v>
      </c>
      <c r="F542" s="50" t="s">
        <v>52</v>
      </c>
      <c r="G542" s="52" t="s">
        <v>75</v>
      </c>
      <c r="H542" s="53">
        <v>3</v>
      </c>
      <c r="I542" s="54">
        <v>249</v>
      </c>
      <c r="J542" s="54">
        <v>0</v>
      </c>
      <c r="K542" s="54">
        <v>747</v>
      </c>
      <c r="L542" s="56" t="s">
        <v>69</v>
      </c>
    </row>
    <row r="543" spans="2:12" x14ac:dyDescent="0.25">
      <c r="B543" s="42" t="s">
        <v>890</v>
      </c>
      <c r="C543" s="42" t="s">
        <v>13</v>
      </c>
      <c r="D543" s="57">
        <v>45777</v>
      </c>
      <c r="E543" s="44" t="s">
        <v>22</v>
      </c>
      <c r="F543" s="43" t="s">
        <v>52</v>
      </c>
      <c r="G543" s="42" t="s">
        <v>99</v>
      </c>
      <c r="H543" s="45">
        <v>3</v>
      </c>
      <c r="I543" s="46">
        <v>79</v>
      </c>
      <c r="J543" s="46">
        <v>0</v>
      </c>
      <c r="K543" s="46">
        <v>237</v>
      </c>
      <c r="L543" s="48" t="s">
        <v>89</v>
      </c>
    </row>
    <row r="544" spans="2:12" x14ac:dyDescent="0.25">
      <c r="B544" s="49" t="s">
        <v>891</v>
      </c>
      <c r="C544" s="49" t="s">
        <v>41</v>
      </c>
      <c r="D544" s="58">
        <v>45906</v>
      </c>
      <c r="E544" s="51" t="s">
        <v>29</v>
      </c>
      <c r="F544" s="50" t="s">
        <v>30</v>
      </c>
      <c r="G544" s="52" t="s">
        <v>106</v>
      </c>
      <c r="H544" s="53">
        <v>2</v>
      </c>
      <c r="I544" s="54">
        <v>299</v>
      </c>
      <c r="J544" s="54">
        <v>0</v>
      </c>
      <c r="K544" s="54">
        <v>598</v>
      </c>
      <c r="L544" s="56" t="s">
        <v>49</v>
      </c>
    </row>
    <row r="545" spans="2:12" x14ac:dyDescent="0.25">
      <c r="B545" s="42" t="s">
        <v>892</v>
      </c>
      <c r="C545" s="42" t="s">
        <v>55</v>
      </c>
      <c r="D545" s="57">
        <v>45861</v>
      </c>
      <c r="E545" s="44" t="s">
        <v>22</v>
      </c>
      <c r="F545" s="43" t="s">
        <v>52</v>
      </c>
      <c r="G545" s="42" t="s">
        <v>99</v>
      </c>
      <c r="H545" s="45">
        <v>2</v>
      </c>
      <c r="I545" s="46">
        <v>79</v>
      </c>
      <c r="J545" s="46">
        <v>2.2599999999999998</v>
      </c>
      <c r="K545" s="46">
        <v>155.74</v>
      </c>
      <c r="L545" s="48" t="s">
        <v>65</v>
      </c>
    </row>
    <row r="546" spans="2:12" x14ac:dyDescent="0.25">
      <c r="B546" s="49" t="s">
        <v>893</v>
      </c>
      <c r="C546" s="49" t="s">
        <v>41</v>
      </c>
      <c r="D546" s="58">
        <v>46041</v>
      </c>
      <c r="E546" s="51" t="s">
        <v>39</v>
      </c>
      <c r="F546" s="50" t="s">
        <v>16</v>
      </c>
      <c r="G546" s="52" t="s">
        <v>78</v>
      </c>
      <c r="H546" s="53">
        <v>5</v>
      </c>
      <c r="I546" s="54">
        <v>59</v>
      </c>
      <c r="J546" s="54">
        <v>29.95</v>
      </c>
      <c r="K546" s="54">
        <v>265.05</v>
      </c>
      <c r="L546" s="56" t="s">
        <v>44</v>
      </c>
    </row>
    <row r="547" spans="2:12" x14ac:dyDescent="0.25">
      <c r="B547" s="42" t="s">
        <v>894</v>
      </c>
      <c r="C547" s="42" t="s">
        <v>37</v>
      </c>
      <c r="D547" s="57">
        <v>45817</v>
      </c>
      <c r="E547" s="44" t="s">
        <v>29</v>
      </c>
      <c r="F547" s="43" t="s">
        <v>52</v>
      </c>
      <c r="G547" s="42" t="s">
        <v>75</v>
      </c>
      <c r="H547" s="45">
        <v>1</v>
      </c>
      <c r="I547" s="46">
        <v>249</v>
      </c>
      <c r="J547" s="46">
        <v>0</v>
      </c>
      <c r="K547" s="46">
        <v>249</v>
      </c>
      <c r="L547" s="48" t="s">
        <v>25</v>
      </c>
    </row>
    <row r="548" spans="2:12" x14ac:dyDescent="0.25">
      <c r="B548" s="49" t="s">
        <v>895</v>
      </c>
      <c r="C548" s="49" t="s">
        <v>63</v>
      </c>
      <c r="D548" s="58">
        <v>45717</v>
      </c>
      <c r="E548" s="51" t="s">
        <v>47</v>
      </c>
      <c r="F548" s="50" t="s">
        <v>30</v>
      </c>
      <c r="G548" s="52" t="s">
        <v>152</v>
      </c>
      <c r="H548" s="53">
        <v>1</v>
      </c>
      <c r="I548" s="54">
        <v>4500</v>
      </c>
      <c r="J548" s="54">
        <v>387.01</v>
      </c>
      <c r="K548" s="54">
        <v>4112.99</v>
      </c>
      <c r="L548" s="56" t="s">
        <v>69</v>
      </c>
    </row>
    <row r="549" spans="2:12" x14ac:dyDescent="0.25">
      <c r="B549" s="42" t="s">
        <v>896</v>
      </c>
      <c r="C549" s="42" t="s">
        <v>13</v>
      </c>
      <c r="D549" s="57">
        <v>45847</v>
      </c>
      <c r="E549" s="44" t="s">
        <v>47</v>
      </c>
      <c r="F549" s="43" t="s">
        <v>52</v>
      </c>
      <c r="G549" s="42" t="s">
        <v>53</v>
      </c>
      <c r="H549" s="45">
        <v>1</v>
      </c>
      <c r="I549" s="46">
        <v>149</v>
      </c>
      <c r="J549" s="46">
        <v>10.79</v>
      </c>
      <c r="K549" s="46">
        <v>138.21</v>
      </c>
      <c r="L549" s="48" t="s">
        <v>89</v>
      </c>
    </row>
    <row r="550" spans="2:12" x14ac:dyDescent="0.25">
      <c r="B550" s="49" t="s">
        <v>897</v>
      </c>
      <c r="C550" s="49" t="s">
        <v>27</v>
      </c>
      <c r="D550" s="58">
        <v>45794</v>
      </c>
      <c r="E550" s="51" t="s">
        <v>39</v>
      </c>
      <c r="F550" s="50" t="s">
        <v>52</v>
      </c>
      <c r="G550" s="52" t="s">
        <v>99</v>
      </c>
      <c r="H550" s="53">
        <v>5</v>
      </c>
      <c r="I550" s="54">
        <v>79</v>
      </c>
      <c r="J550" s="54">
        <v>0</v>
      </c>
      <c r="K550" s="54">
        <v>395</v>
      </c>
      <c r="L550" s="56" t="s">
        <v>18</v>
      </c>
    </row>
    <row r="551" spans="2:12" x14ac:dyDescent="0.25">
      <c r="B551" s="42" t="s">
        <v>898</v>
      </c>
      <c r="C551" s="42" t="s">
        <v>55</v>
      </c>
      <c r="D551" s="57">
        <v>45702</v>
      </c>
      <c r="E551" s="44" t="s">
        <v>15</v>
      </c>
      <c r="F551" s="43" t="s">
        <v>16</v>
      </c>
      <c r="G551" s="42" t="s">
        <v>103</v>
      </c>
      <c r="H551" s="45">
        <v>2</v>
      </c>
      <c r="I551" s="46">
        <v>89</v>
      </c>
      <c r="J551" s="46">
        <v>12.85</v>
      </c>
      <c r="K551" s="46">
        <v>165.15</v>
      </c>
      <c r="L551" s="48" t="s">
        <v>18</v>
      </c>
    </row>
    <row r="552" spans="2:12" x14ac:dyDescent="0.25">
      <c r="B552" s="49" t="s">
        <v>899</v>
      </c>
      <c r="C552" s="49" t="s">
        <v>71</v>
      </c>
      <c r="D552" s="58">
        <v>46053</v>
      </c>
      <c r="E552" s="51" t="s">
        <v>15</v>
      </c>
      <c r="F552" s="50" t="s">
        <v>16</v>
      </c>
      <c r="G552" s="52" t="s">
        <v>103</v>
      </c>
      <c r="H552" s="53">
        <v>3</v>
      </c>
      <c r="I552" s="54">
        <v>89</v>
      </c>
      <c r="J552" s="54">
        <v>0</v>
      </c>
      <c r="K552" s="54">
        <v>267</v>
      </c>
      <c r="L552" s="56" t="s">
        <v>89</v>
      </c>
    </row>
    <row r="553" spans="2:12" x14ac:dyDescent="0.25">
      <c r="B553" s="42" t="s">
        <v>901</v>
      </c>
      <c r="C553" s="42" t="s">
        <v>95</v>
      </c>
      <c r="D553" s="57">
        <v>45875</v>
      </c>
      <c r="E553" s="44" t="s">
        <v>29</v>
      </c>
      <c r="F553" s="43" t="s">
        <v>16</v>
      </c>
      <c r="G553" s="42" t="s">
        <v>17</v>
      </c>
      <c r="H553" s="45">
        <v>2</v>
      </c>
      <c r="I553" s="46">
        <v>39</v>
      </c>
      <c r="J553" s="46">
        <v>6.91</v>
      </c>
      <c r="K553" s="46">
        <v>71.09</v>
      </c>
      <c r="L553" s="48" t="s">
        <v>65</v>
      </c>
    </row>
    <row r="554" spans="2:12" x14ac:dyDescent="0.25">
      <c r="B554" s="49" t="s">
        <v>903</v>
      </c>
      <c r="C554" s="49" t="s">
        <v>63</v>
      </c>
      <c r="D554" s="58">
        <v>45804</v>
      </c>
      <c r="E554" s="51" t="s">
        <v>15</v>
      </c>
      <c r="F554" s="50" t="s">
        <v>30</v>
      </c>
      <c r="G554" s="52" t="s">
        <v>152</v>
      </c>
      <c r="H554" s="53">
        <v>1</v>
      </c>
      <c r="I554" s="54">
        <v>4500</v>
      </c>
      <c r="J554" s="54">
        <v>0</v>
      </c>
      <c r="K554" s="54">
        <v>4500</v>
      </c>
      <c r="L554" s="56" t="s">
        <v>69</v>
      </c>
    </row>
    <row r="555" spans="2:12" x14ac:dyDescent="0.25">
      <c r="B555" s="42" t="s">
        <v>905</v>
      </c>
      <c r="C555" s="42" t="s">
        <v>37</v>
      </c>
      <c r="D555" s="57">
        <v>45897</v>
      </c>
      <c r="E555" s="44" t="s">
        <v>15</v>
      </c>
      <c r="F555" s="43" t="s">
        <v>23</v>
      </c>
      <c r="G555" s="42" t="s">
        <v>88</v>
      </c>
      <c r="H555" s="45">
        <v>5</v>
      </c>
      <c r="I555" s="46">
        <v>650</v>
      </c>
      <c r="J555" s="46">
        <v>96.8</v>
      </c>
      <c r="K555" s="46">
        <v>3153.2</v>
      </c>
      <c r="L555" s="48" t="s">
        <v>89</v>
      </c>
    </row>
    <row r="556" spans="2:12" x14ac:dyDescent="0.25">
      <c r="B556" s="49" t="s">
        <v>907</v>
      </c>
      <c r="C556" s="49" t="s">
        <v>27</v>
      </c>
      <c r="D556" s="58">
        <v>45944</v>
      </c>
      <c r="E556" s="51" t="s">
        <v>22</v>
      </c>
      <c r="F556" s="50" t="s">
        <v>23</v>
      </c>
      <c r="G556" s="52" t="s">
        <v>88</v>
      </c>
      <c r="H556" s="53">
        <v>1</v>
      </c>
      <c r="I556" s="54">
        <v>650</v>
      </c>
      <c r="J556" s="54">
        <v>0</v>
      </c>
      <c r="K556" s="54">
        <v>650</v>
      </c>
      <c r="L556" s="56" t="s">
        <v>25</v>
      </c>
    </row>
    <row r="557" spans="2:12" x14ac:dyDescent="0.25">
      <c r="B557" s="42" t="s">
        <v>908</v>
      </c>
      <c r="C557" s="42" t="s">
        <v>95</v>
      </c>
      <c r="D557" s="57">
        <v>45864</v>
      </c>
      <c r="E557" s="44" t="s">
        <v>39</v>
      </c>
      <c r="F557" s="43" t="s">
        <v>30</v>
      </c>
      <c r="G557" s="42" t="s">
        <v>68</v>
      </c>
      <c r="H557" s="45">
        <v>5</v>
      </c>
      <c r="I557" s="46">
        <v>799</v>
      </c>
      <c r="J557" s="46">
        <v>0</v>
      </c>
      <c r="K557" s="46">
        <v>3995</v>
      </c>
      <c r="L557" s="48" t="s">
        <v>69</v>
      </c>
    </row>
    <row r="558" spans="2:12" x14ac:dyDescent="0.25">
      <c r="B558" s="49" t="s">
        <v>910</v>
      </c>
      <c r="C558" s="49" t="s">
        <v>63</v>
      </c>
      <c r="D558" s="58">
        <v>45903</v>
      </c>
      <c r="E558" s="51" t="s">
        <v>39</v>
      </c>
      <c r="F558" s="50" t="s">
        <v>30</v>
      </c>
      <c r="G558" s="52" t="s">
        <v>152</v>
      </c>
      <c r="H558" s="53">
        <v>1</v>
      </c>
      <c r="I558" s="54">
        <v>4500</v>
      </c>
      <c r="J558" s="54">
        <v>0</v>
      </c>
      <c r="K558" s="54">
        <v>4500</v>
      </c>
      <c r="L558" s="56" t="s">
        <v>44</v>
      </c>
    </row>
    <row r="559" spans="2:12" x14ac:dyDescent="0.25">
      <c r="B559" s="42" t="s">
        <v>911</v>
      </c>
      <c r="C559" s="42" t="s">
        <v>55</v>
      </c>
      <c r="D559" s="57">
        <v>45869</v>
      </c>
      <c r="E559" s="44" t="s">
        <v>15</v>
      </c>
      <c r="F559" s="43" t="s">
        <v>30</v>
      </c>
      <c r="G559" s="42" t="s">
        <v>68</v>
      </c>
      <c r="H559" s="45">
        <v>3</v>
      </c>
      <c r="I559" s="46">
        <v>799</v>
      </c>
      <c r="J559" s="46">
        <v>344.91</v>
      </c>
      <c r="K559" s="46">
        <v>2052.09</v>
      </c>
      <c r="L559" s="48" t="s">
        <v>49</v>
      </c>
    </row>
    <row r="560" spans="2:12" x14ac:dyDescent="0.25">
      <c r="B560" s="49" t="s">
        <v>912</v>
      </c>
      <c r="C560" s="49" t="s">
        <v>34</v>
      </c>
      <c r="D560" s="58">
        <v>46017</v>
      </c>
      <c r="E560" s="51" t="s">
        <v>29</v>
      </c>
      <c r="F560" s="50" t="s">
        <v>30</v>
      </c>
      <c r="G560" s="52" t="s">
        <v>31</v>
      </c>
      <c r="H560" s="53">
        <v>4</v>
      </c>
      <c r="I560" s="54">
        <v>2500</v>
      </c>
      <c r="J560" s="54">
        <v>0</v>
      </c>
      <c r="K560" s="54">
        <v>10000</v>
      </c>
      <c r="L560" s="56" t="s">
        <v>49</v>
      </c>
    </row>
    <row r="561" spans="2:12" x14ac:dyDescent="0.25">
      <c r="B561" s="42" t="s">
        <v>914</v>
      </c>
      <c r="C561" s="42" t="s">
        <v>34</v>
      </c>
      <c r="D561" s="57">
        <v>45671</v>
      </c>
      <c r="E561" s="44" t="s">
        <v>15</v>
      </c>
      <c r="F561" s="43" t="s">
        <v>16</v>
      </c>
      <c r="G561" s="42" t="s">
        <v>116</v>
      </c>
      <c r="H561" s="45">
        <v>1</v>
      </c>
      <c r="I561" s="46">
        <v>45</v>
      </c>
      <c r="J561" s="46">
        <v>4.53</v>
      </c>
      <c r="K561" s="46">
        <v>40.47</v>
      </c>
      <c r="L561" s="48" t="s">
        <v>18</v>
      </c>
    </row>
    <row r="562" spans="2:12" x14ac:dyDescent="0.25">
      <c r="B562" s="49" t="s">
        <v>915</v>
      </c>
      <c r="C562" s="49" t="s">
        <v>110</v>
      </c>
      <c r="D562" s="58">
        <v>45683</v>
      </c>
      <c r="E562" s="51" t="s">
        <v>15</v>
      </c>
      <c r="F562" s="50" t="s">
        <v>23</v>
      </c>
      <c r="G562" s="52" t="s">
        <v>43</v>
      </c>
      <c r="H562" s="53">
        <v>1</v>
      </c>
      <c r="I562" s="54">
        <v>350</v>
      </c>
      <c r="J562" s="54">
        <v>23.06</v>
      </c>
      <c r="K562" s="54">
        <v>326.94</v>
      </c>
      <c r="L562" s="56" t="s">
        <v>69</v>
      </c>
    </row>
    <row r="563" spans="2:12" x14ac:dyDescent="0.25">
      <c r="B563" s="42" t="s">
        <v>916</v>
      </c>
      <c r="C563" s="42" t="s">
        <v>13</v>
      </c>
      <c r="D563" s="57">
        <v>45677</v>
      </c>
      <c r="E563" s="44" t="s">
        <v>47</v>
      </c>
      <c r="F563" s="43" t="s">
        <v>16</v>
      </c>
      <c r="G563" s="42" t="s">
        <v>78</v>
      </c>
      <c r="H563" s="45">
        <v>2</v>
      </c>
      <c r="I563" s="46">
        <v>59</v>
      </c>
      <c r="J563" s="46">
        <v>0</v>
      </c>
      <c r="K563" s="46">
        <v>118</v>
      </c>
      <c r="L563" s="48" t="s">
        <v>89</v>
      </c>
    </row>
    <row r="564" spans="2:12" x14ac:dyDescent="0.25">
      <c r="B564" s="49" t="s">
        <v>918</v>
      </c>
      <c r="C564" s="49" t="s">
        <v>63</v>
      </c>
      <c r="D564" s="58">
        <v>45812</v>
      </c>
      <c r="E564" s="51" t="s">
        <v>29</v>
      </c>
      <c r="F564" s="50" t="s">
        <v>30</v>
      </c>
      <c r="G564" s="52" t="s">
        <v>106</v>
      </c>
      <c r="H564" s="53">
        <v>1</v>
      </c>
      <c r="I564" s="54">
        <v>299</v>
      </c>
      <c r="J564" s="54">
        <v>14.05</v>
      </c>
      <c r="K564" s="54">
        <v>284.95</v>
      </c>
      <c r="L564" s="56" t="s">
        <v>69</v>
      </c>
    </row>
    <row r="565" spans="2:12" x14ac:dyDescent="0.25">
      <c r="B565" s="42" t="s">
        <v>920</v>
      </c>
      <c r="C565" s="42" t="s">
        <v>34</v>
      </c>
      <c r="D565" s="57">
        <v>45991</v>
      </c>
      <c r="E565" s="44" t="s">
        <v>47</v>
      </c>
      <c r="F565" s="43" t="s">
        <v>23</v>
      </c>
      <c r="G565" s="42" t="s">
        <v>43</v>
      </c>
      <c r="H565" s="45">
        <v>3</v>
      </c>
      <c r="I565" s="46">
        <v>350</v>
      </c>
      <c r="J565" s="46">
        <v>0</v>
      </c>
      <c r="K565" s="46">
        <v>1050</v>
      </c>
      <c r="L565" s="48" t="s">
        <v>49</v>
      </c>
    </row>
    <row r="566" spans="2:12" x14ac:dyDescent="0.25">
      <c r="B566" s="49" t="s">
        <v>921</v>
      </c>
      <c r="C566" s="49" t="s">
        <v>37</v>
      </c>
      <c r="D566" s="58">
        <v>45852</v>
      </c>
      <c r="E566" s="51" t="s">
        <v>15</v>
      </c>
      <c r="F566" s="50" t="s">
        <v>23</v>
      </c>
      <c r="G566" s="52" t="s">
        <v>43</v>
      </c>
      <c r="H566" s="53">
        <v>3</v>
      </c>
      <c r="I566" s="54">
        <v>350</v>
      </c>
      <c r="J566" s="54">
        <v>0</v>
      </c>
      <c r="K566" s="54">
        <v>1050</v>
      </c>
      <c r="L566" s="56" t="s">
        <v>69</v>
      </c>
    </row>
    <row r="567" spans="2:12" x14ac:dyDescent="0.25">
      <c r="B567" s="42" t="s">
        <v>922</v>
      </c>
      <c r="C567" s="42" t="s">
        <v>63</v>
      </c>
      <c r="D567" s="57">
        <v>45880</v>
      </c>
      <c r="E567" s="44" t="s">
        <v>22</v>
      </c>
      <c r="F567" s="43" t="s">
        <v>30</v>
      </c>
      <c r="G567" s="42" t="s">
        <v>152</v>
      </c>
      <c r="H567" s="45">
        <v>1</v>
      </c>
      <c r="I567" s="46">
        <v>4500</v>
      </c>
      <c r="J567" s="46">
        <v>0</v>
      </c>
      <c r="K567" s="46">
        <v>4500</v>
      </c>
      <c r="L567" s="48" t="s">
        <v>89</v>
      </c>
    </row>
    <row r="568" spans="2:12" x14ac:dyDescent="0.25">
      <c r="B568" s="49" t="s">
        <v>923</v>
      </c>
      <c r="C568" s="49" t="s">
        <v>13</v>
      </c>
      <c r="D568" s="58">
        <v>45708</v>
      </c>
      <c r="E568" s="51" t="s">
        <v>39</v>
      </c>
      <c r="F568" s="50" t="s">
        <v>30</v>
      </c>
      <c r="G568" s="52" t="s">
        <v>68</v>
      </c>
      <c r="H568" s="53">
        <v>1</v>
      </c>
      <c r="I568" s="54">
        <v>799</v>
      </c>
      <c r="J568" s="54">
        <v>78.23</v>
      </c>
      <c r="K568" s="54">
        <v>720.77</v>
      </c>
      <c r="L568" s="56" t="s">
        <v>32</v>
      </c>
    </row>
    <row r="569" spans="2:12" x14ac:dyDescent="0.25">
      <c r="B569" s="42" t="s">
        <v>924</v>
      </c>
      <c r="C569" s="42" t="s">
        <v>95</v>
      </c>
      <c r="D569" s="57">
        <v>45720</v>
      </c>
      <c r="E569" s="44" t="s">
        <v>15</v>
      </c>
      <c r="F569" s="43" t="s">
        <v>30</v>
      </c>
      <c r="G569" s="42" t="s">
        <v>31</v>
      </c>
      <c r="H569" s="45">
        <v>3</v>
      </c>
      <c r="I569" s="46">
        <v>2500</v>
      </c>
      <c r="J569" s="46">
        <v>12.61</v>
      </c>
      <c r="K569" s="46">
        <v>7487.39</v>
      </c>
      <c r="L569" s="48" t="s">
        <v>69</v>
      </c>
    </row>
    <row r="570" spans="2:12" x14ac:dyDescent="0.25">
      <c r="B570" s="49" t="s">
        <v>925</v>
      </c>
      <c r="C570" s="49" t="s">
        <v>101</v>
      </c>
      <c r="D570" s="58">
        <v>45697</v>
      </c>
      <c r="E570" s="51" t="s">
        <v>47</v>
      </c>
      <c r="F570" s="50" t="s">
        <v>52</v>
      </c>
      <c r="G570" s="52" t="s">
        <v>99</v>
      </c>
      <c r="H570" s="53">
        <v>3</v>
      </c>
      <c r="I570" s="54">
        <v>79</v>
      </c>
      <c r="J570" s="54">
        <v>8.58</v>
      </c>
      <c r="K570" s="54">
        <v>228.42</v>
      </c>
      <c r="L570" s="56" t="s">
        <v>69</v>
      </c>
    </row>
    <row r="571" spans="2:12" x14ac:dyDescent="0.25">
      <c r="B571" s="42" t="s">
        <v>926</v>
      </c>
      <c r="C571" s="42" t="s">
        <v>101</v>
      </c>
      <c r="D571" s="57">
        <v>45779</v>
      </c>
      <c r="E571" s="44" t="s">
        <v>39</v>
      </c>
      <c r="F571" s="43" t="s">
        <v>23</v>
      </c>
      <c r="G571" s="42" t="s">
        <v>88</v>
      </c>
      <c r="H571" s="45">
        <v>3</v>
      </c>
      <c r="I571" s="46">
        <v>650</v>
      </c>
      <c r="J571" s="46">
        <v>258.26</v>
      </c>
      <c r="K571" s="46">
        <v>1691.74</v>
      </c>
      <c r="L571" s="48" t="s">
        <v>69</v>
      </c>
    </row>
    <row r="572" spans="2:12" x14ac:dyDescent="0.25">
      <c r="B572" s="49" t="s">
        <v>928</v>
      </c>
      <c r="C572" s="49" t="s">
        <v>37</v>
      </c>
      <c r="D572" s="58">
        <v>45791</v>
      </c>
      <c r="E572" s="51" t="s">
        <v>39</v>
      </c>
      <c r="F572" s="50" t="s">
        <v>16</v>
      </c>
      <c r="G572" s="52" t="s">
        <v>17</v>
      </c>
      <c r="H572" s="53">
        <v>1</v>
      </c>
      <c r="I572" s="54">
        <v>39</v>
      </c>
      <c r="J572" s="54">
        <v>3.64</v>
      </c>
      <c r="K572" s="54">
        <v>35.36</v>
      </c>
      <c r="L572" s="56" t="s">
        <v>18</v>
      </c>
    </row>
    <row r="573" spans="2:12" x14ac:dyDescent="0.25">
      <c r="B573" s="42" t="s">
        <v>929</v>
      </c>
      <c r="C573" s="42" t="s">
        <v>55</v>
      </c>
      <c r="D573" s="57">
        <v>45690</v>
      </c>
      <c r="E573" s="44" t="s">
        <v>29</v>
      </c>
      <c r="F573" s="43" t="s">
        <v>16</v>
      </c>
      <c r="G573" s="42" t="s">
        <v>17</v>
      </c>
      <c r="H573" s="45">
        <v>2</v>
      </c>
      <c r="I573" s="46">
        <v>39</v>
      </c>
      <c r="J573" s="46">
        <v>9.58</v>
      </c>
      <c r="K573" s="46">
        <v>68.42</v>
      </c>
      <c r="L573" s="48" t="s">
        <v>65</v>
      </c>
    </row>
    <row r="574" spans="2:12" x14ac:dyDescent="0.25">
      <c r="B574" s="49" t="s">
        <v>930</v>
      </c>
      <c r="C574" s="49" t="s">
        <v>41</v>
      </c>
      <c r="D574" s="58">
        <v>45834</v>
      </c>
      <c r="E574" s="51" t="s">
        <v>22</v>
      </c>
      <c r="F574" s="50" t="s">
        <v>16</v>
      </c>
      <c r="G574" s="52" t="s">
        <v>103</v>
      </c>
      <c r="H574" s="53">
        <v>4</v>
      </c>
      <c r="I574" s="54">
        <v>89</v>
      </c>
      <c r="J574" s="54">
        <v>0</v>
      </c>
      <c r="K574" s="54">
        <v>356</v>
      </c>
      <c r="L574" s="56" t="s">
        <v>49</v>
      </c>
    </row>
    <row r="575" spans="2:12" x14ac:dyDescent="0.25">
      <c r="B575" s="42" t="s">
        <v>932</v>
      </c>
      <c r="C575" s="42" t="s">
        <v>13</v>
      </c>
      <c r="D575" s="57">
        <v>45883</v>
      </c>
      <c r="E575" s="44" t="s">
        <v>29</v>
      </c>
      <c r="F575" s="43" t="s">
        <v>23</v>
      </c>
      <c r="G575" s="42" t="s">
        <v>24</v>
      </c>
      <c r="H575" s="45">
        <v>2</v>
      </c>
      <c r="I575" s="46">
        <v>180</v>
      </c>
      <c r="J575" s="46">
        <v>0</v>
      </c>
      <c r="K575" s="46">
        <v>360</v>
      </c>
      <c r="L575" s="48" t="s">
        <v>89</v>
      </c>
    </row>
    <row r="576" spans="2:12" x14ac:dyDescent="0.25">
      <c r="B576" s="49" t="s">
        <v>933</v>
      </c>
      <c r="C576" s="49" t="s">
        <v>13</v>
      </c>
      <c r="D576" s="58">
        <v>45984</v>
      </c>
      <c r="E576" s="51" t="s">
        <v>47</v>
      </c>
      <c r="F576" s="50" t="s">
        <v>23</v>
      </c>
      <c r="G576" s="52" t="s">
        <v>88</v>
      </c>
      <c r="H576" s="53">
        <v>3</v>
      </c>
      <c r="I576" s="54">
        <v>650</v>
      </c>
      <c r="J576" s="54">
        <v>0</v>
      </c>
      <c r="K576" s="54">
        <v>1950</v>
      </c>
      <c r="L576" s="56" t="s">
        <v>69</v>
      </c>
    </row>
    <row r="577" spans="2:12" x14ac:dyDescent="0.25">
      <c r="B577" s="42" t="s">
        <v>934</v>
      </c>
      <c r="C577" s="42" t="s">
        <v>71</v>
      </c>
      <c r="D577" s="57">
        <v>45927</v>
      </c>
      <c r="E577" s="44" t="s">
        <v>39</v>
      </c>
      <c r="F577" s="43" t="s">
        <v>30</v>
      </c>
      <c r="G577" s="42" t="s">
        <v>106</v>
      </c>
      <c r="H577" s="45">
        <v>2</v>
      </c>
      <c r="I577" s="46">
        <v>299</v>
      </c>
      <c r="J577" s="46">
        <v>71.42</v>
      </c>
      <c r="K577" s="46">
        <v>526.58000000000004</v>
      </c>
      <c r="L577" s="48" t="s">
        <v>32</v>
      </c>
    </row>
    <row r="578" spans="2:12" x14ac:dyDescent="0.25">
      <c r="B578" s="49" t="s">
        <v>935</v>
      </c>
      <c r="C578" s="49" t="s">
        <v>95</v>
      </c>
      <c r="D578" s="58">
        <v>45952</v>
      </c>
      <c r="E578" s="51" t="s">
        <v>29</v>
      </c>
      <c r="F578" s="50" t="s">
        <v>16</v>
      </c>
      <c r="G578" s="52" t="s">
        <v>17</v>
      </c>
      <c r="H578" s="53">
        <v>2</v>
      </c>
      <c r="I578" s="54">
        <v>39</v>
      </c>
      <c r="J578" s="54">
        <v>2.2400000000000002</v>
      </c>
      <c r="K578" s="54">
        <v>75.760000000000005</v>
      </c>
      <c r="L578" s="56" t="s">
        <v>89</v>
      </c>
    </row>
    <row r="579" spans="2:12" x14ac:dyDescent="0.25">
      <c r="B579" s="42" t="s">
        <v>936</v>
      </c>
      <c r="C579" s="42" t="s">
        <v>63</v>
      </c>
      <c r="D579" s="57">
        <v>45800</v>
      </c>
      <c r="E579" s="44" t="s">
        <v>22</v>
      </c>
      <c r="F579" s="43" t="s">
        <v>23</v>
      </c>
      <c r="G579" s="42" t="s">
        <v>88</v>
      </c>
      <c r="H579" s="45">
        <v>5</v>
      </c>
      <c r="I579" s="46">
        <v>650</v>
      </c>
      <c r="J579" s="46">
        <v>192.77</v>
      </c>
      <c r="K579" s="46">
        <v>3057.23</v>
      </c>
      <c r="L579" s="48" t="s">
        <v>65</v>
      </c>
    </row>
    <row r="580" spans="2:12" x14ac:dyDescent="0.25">
      <c r="B580" s="49" t="s">
        <v>937</v>
      </c>
      <c r="C580" s="49" t="s">
        <v>71</v>
      </c>
      <c r="D580" s="58">
        <v>45845</v>
      </c>
      <c r="E580" s="51" t="s">
        <v>22</v>
      </c>
      <c r="F580" s="50" t="s">
        <v>52</v>
      </c>
      <c r="G580" s="52" t="s">
        <v>61</v>
      </c>
      <c r="H580" s="53">
        <v>3</v>
      </c>
      <c r="I580" s="54">
        <v>199</v>
      </c>
      <c r="J580" s="54">
        <v>0</v>
      </c>
      <c r="K580" s="54">
        <v>597</v>
      </c>
      <c r="L580" s="56" t="s">
        <v>89</v>
      </c>
    </row>
    <row r="581" spans="2:12" x14ac:dyDescent="0.25">
      <c r="B581" s="42" t="s">
        <v>939</v>
      </c>
      <c r="C581" s="42" t="s">
        <v>27</v>
      </c>
      <c r="D581" s="57">
        <v>46017</v>
      </c>
      <c r="E581" s="44" t="s">
        <v>15</v>
      </c>
      <c r="F581" s="43" t="s">
        <v>23</v>
      </c>
      <c r="G581" s="42" t="s">
        <v>88</v>
      </c>
      <c r="H581" s="45">
        <v>2</v>
      </c>
      <c r="I581" s="46">
        <v>650</v>
      </c>
      <c r="J581" s="46">
        <v>59.25</v>
      </c>
      <c r="K581" s="46">
        <v>1240.75</v>
      </c>
      <c r="L581" s="48" t="s">
        <v>44</v>
      </c>
    </row>
    <row r="582" spans="2:12" x14ac:dyDescent="0.25">
      <c r="B582" s="49" t="s">
        <v>940</v>
      </c>
      <c r="C582" s="49" t="s">
        <v>71</v>
      </c>
      <c r="D582" s="58">
        <v>45832</v>
      </c>
      <c r="E582" s="51" t="s">
        <v>29</v>
      </c>
      <c r="F582" s="50" t="s">
        <v>23</v>
      </c>
      <c r="G582" s="52" t="s">
        <v>24</v>
      </c>
      <c r="H582" s="53">
        <v>3</v>
      </c>
      <c r="I582" s="54">
        <v>180</v>
      </c>
      <c r="J582" s="54">
        <v>0</v>
      </c>
      <c r="K582" s="54">
        <v>540</v>
      </c>
      <c r="L582" s="56" t="s">
        <v>65</v>
      </c>
    </row>
    <row r="583" spans="2:12" x14ac:dyDescent="0.25">
      <c r="B583" s="42" t="s">
        <v>941</v>
      </c>
      <c r="C583" s="42" t="s">
        <v>55</v>
      </c>
      <c r="D583" s="57">
        <v>45800</v>
      </c>
      <c r="E583" s="44" t="s">
        <v>22</v>
      </c>
      <c r="F583" s="43" t="s">
        <v>23</v>
      </c>
      <c r="G583" s="42" t="s">
        <v>88</v>
      </c>
      <c r="H583" s="45">
        <v>2</v>
      </c>
      <c r="I583" s="46">
        <v>650</v>
      </c>
      <c r="J583" s="46">
        <v>0</v>
      </c>
      <c r="K583" s="46">
        <v>1300</v>
      </c>
      <c r="L583" s="48" t="s">
        <v>18</v>
      </c>
    </row>
    <row r="584" spans="2:12" x14ac:dyDescent="0.25">
      <c r="B584" s="49" t="s">
        <v>942</v>
      </c>
      <c r="C584" s="49" t="s">
        <v>13</v>
      </c>
      <c r="D584" s="58">
        <v>45794</v>
      </c>
      <c r="E584" s="51" t="s">
        <v>22</v>
      </c>
      <c r="F584" s="50" t="s">
        <v>52</v>
      </c>
      <c r="G584" s="52" t="s">
        <v>75</v>
      </c>
      <c r="H584" s="53">
        <v>4</v>
      </c>
      <c r="I584" s="54">
        <v>249</v>
      </c>
      <c r="J584" s="54">
        <v>1.98</v>
      </c>
      <c r="K584" s="54">
        <v>994.02</v>
      </c>
      <c r="L584" s="56" t="s">
        <v>18</v>
      </c>
    </row>
    <row r="585" spans="2:12" x14ac:dyDescent="0.25">
      <c r="B585" s="42" t="s">
        <v>943</v>
      </c>
      <c r="C585" s="42" t="s">
        <v>95</v>
      </c>
      <c r="D585" s="57">
        <v>45907</v>
      </c>
      <c r="E585" s="44" t="s">
        <v>47</v>
      </c>
      <c r="F585" s="43" t="s">
        <v>23</v>
      </c>
      <c r="G585" s="42" t="s">
        <v>88</v>
      </c>
      <c r="H585" s="45">
        <v>2</v>
      </c>
      <c r="I585" s="46">
        <v>650</v>
      </c>
      <c r="J585" s="46">
        <v>0.56000000000000005</v>
      </c>
      <c r="K585" s="46">
        <v>1299.44</v>
      </c>
      <c r="L585" s="48" t="s">
        <v>25</v>
      </c>
    </row>
    <row r="586" spans="2:12" x14ac:dyDescent="0.25">
      <c r="B586" s="49" t="s">
        <v>944</v>
      </c>
      <c r="C586" s="49" t="s">
        <v>41</v>
      </c>
      <c r="D586" s="58">
        <v>45794</v>
      </c>
      <c r="E586" s="51" t="s">
        <v>15</v>
      </c>
      <c r="F586" s="50" t="s">
        <v>30</v>
      </c>
      <c r="G586" s="52" t="s">
        <v>106</v>
      </c>
      <c r="H586" s="53">
        <v>1</v>
      </c>
      <c r="I586" s="54">
        <v>299</v>
      </c>
      <c r="J586" s="54">
        <v>12.23</v>
      </c>
      <c r="K586" s="54">
        <v>286.77</v>
      </c>
      <c r="L586" s="56" t="s">
        <v>89</v>
      </c>
    </row>
    <row r="587" spans="2:12" x14ac:dyDescent="0.25">
      <c r="B587" s="42" t="s">
        <v>945</v>
      </c>
      <c r="C587" s="42" t="s">
        <v>110</v>
      </c>
      <c r="D587" s="57">
        <v>45679</v>
      </c>
      <c r="E587" s="44" t="s">
        <v>47</v>
      </c>
      <c r="F587" s="43" t="s">
        <v>52</v>
      </c>
      <c r="G587" s="42" t="s">
        <v>61</v>
      </c>
      <c r="H587" s="45">
        <v>4</v>
      </c>
      <c r="I587" s="46">
        <v>199</v>
      </c>
      <c r="J587" s="46">
        <v>45.78</v>
      </c>
      <c r="K587" s="46">
        <v>750.22</v>
      </c>
      <c r="L587" s="48" t="s">
        <v>49</v>
      </c>
    </row>
    <row r="588" spans="2:12" x14ac:dyDescent="0.25">
      <c r="B588" s="49" t="s">
        <v>946</v>
      </c>
      <c r="C588" s="49" t="s">
        <v>27</v>
      </c>
      <c r="D588" s="58">
        <v>45973</v>
      </c>
      <c r="E588" s="51" t="s">
        <v>15</v>
      </c>
      <c r="F588" s="50" t="s">
        <v>23</v>
      </c>
      <c r="G588" s="52" t="s">
        <v>88</v>
      </c>
      <c r="H588" s="53">
        <v>4</v>
      </c>
      <c r="I588" s="54">
        <v>650</v>
      </c>
      <c r="J588" s="54">
        <v>0</v>
      </c>
      <c r="K588" s="54">
        <v>2600</v>
      </c>
      <c r="L588" s="56" t="s">
        <v>32</v>
      </c>
    </row>
    <row r="589" spans="2:12" x14ac:dyDescent="0.25">
      <c r="B589" s="42" t="s">
        <v>947</v>
      </c>
      <c r="C589" s="42" t="s">
        <v>27</v>
      </c>
      <c r="D589" s="57">
        <v>46048</v>
      </c>
      <c r="E589" s="44" t="s">
        <v>15</v>
      </c>
      <c r="F589" s="43" t="s">
        <v>16</v>
      </c>
      <c r="G589" s="42" t="s">
        <v>116</v>
      </c>
      <c r="H589" s="45">
        <v>1</v>
      </c>
      <c r="I589" s="46">
        <v>45</v>
      </c>
      <c r="J589" s="46">
        <v>0</v>
      </c>
      <c r="K589" s="46">
        <v>45</v>
      </c>
      <c r="L589" s="48" t="s">
        <v>49</v>
      </c>
    </row>
    <row r="590" spans="2:12" x14ac:dyDescent="0.25">
      <c r="B590" s="49" t="s">
        <v>948</v>
      </c>
      <c r="C590" s="49" t="s">
        <v>20</v>
      </c>
      <c r="D590" s="58">
        <v>45658</v>
      </c>
      <c r="E590" s="51" t="s">
        <v>29</v>
      </c>
      <c r="F590" s="50" t="s">
        <v>23</v>
      </c>
      <c r="G590" s="52" t="s">
        <v>24</v>
      </c>
      <c r="H590" s="53">
        <v>5</v>
      </c>
      <c r="I590" s="54">
        <v>180</v>
      </c>
      <c r="J590" s="54">
        <v>0</v>
      </c>
      <c r="K590" s="54">
        <v>900</v>
      </c>
      <c r="L590" s="56" t="s">
        <v>65</v>
      </c>
    </row>
    <row r="591" spans="2:12" x14ac:dyDescent="0.25">
      <c r="B591" s="42" t="s">
        <v>949</v>
      </c>
      <c r="C591" s="42" t="s">
        <v>13</v>
      </c>
      <c r="D591" s="57">
        <v>45834</v>
      </c>
      <c r="E591" s="44" t="s">
        <v>22</v>
      </c>
      <c r="F591" s="43" t="s">
        <v>30</v>
      </c>
      <c r="G591" s="42" t="s">
        <v>31</v>
      </c>
      <c r="H591" s="45">
        <v>2</v>
      </c>
      <c r="I591" s="46">
        <v>2500</v>
      </c>
      <c r="J591" s="46">
        <v>0</v>
      </c>
      <c r="K591" s="46">
        <v>5000</v>
      </c>
      <c r="L591" s="48" t="s">
        <v>65</v>
      </c>
    </row>
    <row r="592" spans="2:12" x14ac:dyDescent="0.25">
      <c r="B592" s="49" t="s">
        <v>950</v>
      </c>
      <c r="C592" s="49" t="s">
        <v>71</v>
      </c>
      <c r="D592" s="58">
        <v>45722</v>
      </c>
      <c r="E592" s="51" t="s">
        <v>39</v>
      </c>
      <c r="F592" s="50" t="s">
        <v>52</v>
      </c>
      <c r="G592" s="52" t="s">
        <v>75</v>
      </c>
      <c r="H592" s="53">
        <v>1</v>
      </c>
      <c r="I592" s="54">
        <v>249</v>
      </c>
      <c r="J592" s="54">
        <v>0</v>
      </c>
      <c r="K592" s="54">
        <v>249</v>
      </c>
      <c r="L592" s="56" t="s">
        <v>89</v>
      </c>
    </row>
    <row r="593" spans="2:12" x14ac:dyDescent="0.25">
      <c r="B593" s="42" t="s">
        <v>951</v>
      </c>
      <c r="C593" s="42" t="s">
        <v>13</v>
      </c>
      <c r="D593" s="57">
        <v>45950</v>
      </c>
      <c r="E593" s="44" t="s">
        <v>22</v>
      </c>
      <c r="F593" s="43" t="s">
        <v>23</v>
      </c>
      <c r="G593" s="42" t="s">
        <v>24</v>
      </c>
      <c r="H593" s="45">
        <v>3</v>
      </c>
      <c r="I593" s="46">
        <v>180</v>
      </c>
      <c r="J593" s="46">
        <v>17.91</v>
      </c>
      <c r="K593" s="46">
        <v>522.09</v>
      </c>
      <c r="L593" s="48" t="s">
        <v>18</v>
      </c>
    </row>
    <row r="594" spans="2:12" x14ac:dyDescent="0.25">
      <c r="B594" s="49" t="s">
        <v>952</v>
      </c>
      <c r="C594" s="49" t="s">
        <v>55</v>
      </c>
      <c r="D594" s="58">
        <v>46041</v>
      </c>
      <c r="E594" s="51" t="s">
        <v>29</v>
      </c>
      <c r="F594" s="50" t="s">
        <v>30</v>
      </c>
      <c r="G594" s="52" t="s">
        <v>106</v>
      </c>
      <c r="H594" s="53">
        <v>5</v>
      </c>
      <c r="I594" s="54">
        <v>299</v>
      </c>
      <c r="J594" s="54">
        <v>0</v>
      </c>
      <c r="K594" s="54">
        <v>1495</v>
      </c>
      <c r="L594" s="56" t="s">
        <v>65</v>
      </c>
    </row>
    <row r="595" spans="2:12" x14ac:dyDescent="0.25">
      <c r="B595" s="42" t="s">
        <v>953</v>
      </c>
      <c r="C595" s="42" t="s">
        <v>34</v>
      </c>
      <c r="D595" s="57">
        <v>45953</v>
      </c>
      <c r="E595" s="44" t="s">
        <v>15</v>
      </c>
      <c r="F595" s="43" t="s">
        <v>16</v>
      </c>
      <c r="G595" s="42" t="s">
        <v>103</v>
      </c>
      <c r="H595" s="45">
        <v>3</v>
      </c>
      <c r="I595" s="46">
        <v>89</v>
      </c>
      <c r="J595" s="46">
        <v>0</v>
      </c>
      <c r="K595" s="46">
        <v>267</v>
      </c>
      <c r="L595" s="48" t="s">
        <v>69</v>
      </c>
    </row>
    <row r="596" spans="2:12" x14ac:dyDescent="0.25">
      <c r="B596" s="49" t="s">
        <v>955</v>
      </c>
      <c r="C596" s="49" t="s">
        <v>37</v>
      </c>
      <c r="D596" s="58">
        <v>45790</v>
      </c>
      <c r="E596" s="51" t="s">
        <v>15</v>
      </c>
      <c r="F596" s="50" t="s">
        <v>52</v>
      </c>
      <c r="G596" s="52" t="s">
        <v>75</v>
      </c>
      <c r="H596" s="53">
        <v>1</v>
      </c>
      <c r="I596" s="54">
        <v>249</v>
      </c>
      <c r="J596" s="54">
        <v>0</v>
      </c>
      <c r="K596" s="54">
        <v>249</v>
      </c>
      <c r="L596" s="56" t="s">
        <v>49</v>
      </c>
    </row>
    <row r="597" spans="2:12" x14ac:dyDescent="0.25">
      <c r="B597" s="42" t="s">
        <v>956</v>
      </c>
      <c r="C597" s="42" t="s">
        <v>27</v>
      </c>
      <c r="D597" s="57">
        <v>45726</v>
      </c>
      <c r="E597" s="44" t="s">
        <v>47</v>
      </c>
      <c r="F597" s="43" t="s">
        <v>23</v>
      </c>
      <c r="G597" s="42" t="s">
        <v>48</v>
      </c>
      <c r="H597" s="45">
        <v>3</v>
      </c>
      <c r="I597" s="46">
        <v>450</v>
      </c>
      <c r="J597" s="46">
        <v>5.04</v>
      </c>
      <c r="K597" s="46">
        <v>1344.96</v>
      </c>
      <c r="L597" s="48" t="s">
        <v>32</v>
      </c>
    </row>
    <row r="598" spans="2:12" x14ac:dyDescent="0.25">
      <c r="B598" s="49" t="s">
        <v>957</v>
      </c>
      <c r="C598" s="49" t="s">
        <v>20</v>
      </c>
      <c r="D598" s="58">
        <v>45942</v>
      </c>
      <c r="E598" s="51" t="s">
        <v>47</v>
      </c>
      <c r="F598" s="50" t="s">
        <v>16</v>
      </c>
      <c r="G598" s="52" t="s">
        <v>116</v>
      </c>
      <c r="H598" s="53">
        <v>5</v>
      </c>
      <c r="I598" s="54">
        <v>45</v>
      </c>
      <c r="J598" s="54">
        <v>5.2</v>
      </c>
      <c r="K598" s="54">
        <v>219.8</v>
      </c>
      <c r="L598" s="56" t="s">
        <v>32</v>
      </c>
    </row>
    <row r="599" spans="2:12" x14ac:dyDescent="0.25">
      <c r="B599" s="42" t="s">
        <v>958</v>
      </c>
      <c r="C599" s="42" t="s">
        <v>63</v>
      </c>
      <c r="D599" s="57">
        <v>45965</v>
      </c>
      <c r="E599" s="44" t="s">
        <v>39</v>
      </c>
      <c r="F599" s="43" t="s">
        <v>30</v>
      </c>
      <c r="G599" s="42" t="s">
        <v>152</v>
      </c>
      <c r="H599" s="45">
        <v>4</v>
      </c>
      <c r="I599" s="46">
        <v>4500</v>
      </c>
      <c r="J599" s="46">
        <v>2300.34</v>
      </c>
      <c r="K599" s="46">
        <v>15699.66</v>
      </c>
      <c r="L599" s="48" t="s">
        <v>65</v>
      </c>
    </row>
    <row r="600" spans="2:12" x14ac:dyDescent="0.25">
      <c r="B600" s="49" t="s">
        <v>959</v>
      </c>
      <c r="C600" s="49" t="s">
        <v>63</v>
      </c>
      <c r="D600" s="58">
        <v>45878</v>
      </c>
      <c r="E600" s="51" t="s">
        <v>47</v>
      </c>
      <c r="F600" s="50" t="s">
        <v>30</v>
      </c>
      <c r="G600" s="52" t="s">
        <v>68</v>
      </c>
      <c r="H600" s="53">
        <v>1</v>
      </c>
      <c r="I600" s="54">
        <v>799</v>
      </c>
      <c r="J600" s="54">
        <v>0</v>
      </c>
      <c r="K600" s="54">
        <v>799</v>
      </c>
      <c r="L600" s="56" t="s">
        <v>49</v>
      </c>
    </row>
    <row r="601" spans="2:12" x14ac:dyDescent="0.25">
      <c r="B601" s="42" t="s">
        <v>960</v>
      </c>
      <c r="C601" s="42" t="s">
        <v>20</v>
      </c>
      <c r="D601" s="57">
        <v>46058</v>
      </c>
      <c r="E601" s="44" t="s">
        <v>15</v>
      </c>
      <c r="F601" s="43" t="s">
        <v>23</v>
      </c>
      <c r="G601" s="42" t="s">
        <v>43</v>
      </c>
      <c r="H601" s="45">
        <v>1</v>
      </c>
      <c r="I601" s="46">
        <v>350</v>
      </c>
      <c r="J601" s="46">
        <v>0</v>
      </c>
      <c r="K601" s="46">
        <v>350</v>
      </c>
      <c r="L601" s="48" t="s">
        <v>18</v>
      </c>
    </row>
    <row r="602" spans="2:12" x14ac:dyDescent="0.25">
      <c r="B602" s="49" t="s">
        <v>961</v>
      </c>
      <c r="C602" s="49" t="s">
        <v>110</v>
      </c>
      <c r="D602" s="58">
        <v>45728</v>
      </c>
      <c r="E602" s="51" t="s">
        <v>22</v>
      </c>
      <c r="F602" s="50" t="s">
        <v>23</v>
      </c>
      <c r="G602" s="52" t="s">
        <v>48</v>
      </c>
      <c r="H602" s="53">
        <v>4</v>
      </c>
      <c r="I602" s="54">
        <v>450</v>
      </c>
      <c r="J602" s="54">
        <v>119.94</v>
      </c>
      <c r="K602" s="54">
        <v>1680.06</v>
      </c>
      <c r="L602" s="56" t="s">
        <v>44</v>
      </c>
    </row>
    <row r="603" spans="2:12" x14ac:dyDescent="0.25">
      <c r="B603" s="42" t="s">
        <v>963</v>
      </c>
      <c r="C603" s="42" t="s">
        <v>27</v>
      </c>
      <c r="D603" s="57">
        <v>45761</v>
      </c>
      <c r="E603" s="44" t="s">
        <v>47</v>
      </c>
      <c r="F603" s="43" t="s">
        <v>23</v>
      </c>
      <c r="G603" s="42" t="s">
        <v>88</v>
      </c>
      <c r="H603" s="45">
        <v>1</v>
      </c>
      <c r="I603" s="46">
        <v>650</v>
      </c>
      <c r="J603" s="46">
        <v>0</v>
      </c>
      <c r="K603" s="46">
        <v>650</v>
      </c>
      <c r="L603" s="48" t="s">
        <v>69</v>
      </c>
    </row>
    <row r="604" spans="2:12" x14ac:dyDescent="0.25">
      <c r="B604" s="49" t="s">
        <v>964</v>
      </c>
      <c r="C604" s="49" t="s">
        <v>34</v>
      </c>
      <c r="D604" s="58">
        <v>45865</v>
      </c>
      <c r="E604" s="51" t="s">
        <v>22</v>
      </c>
      <c r="F604" s="50" t="s">
        <v>23</v>
      </c>
      <c r="G604" s="52" t="s">
        <v>88</v>
      </c>
      <c r="H604" s="53">
        <v>4</v>
      </c>
      <c r="I604" s="54">
        <v>650</v>
      </c>
      <c r="J604" s="54">
        <v>295.98</v>
      </c>
      <c r="K604" s="54">
        <v>2304.02</v>
      </c>
      <c r="L604" s="56" t="s">
        <v>32</v>
      </c>
    </row>
    <row r="605" spans="2:12" x14ac:dyDescent="0.25">
      <c r="B605" s="42" t="s">
        <v>966</v>
      </c>
      <c r="C605" s="42" t="s">
        <v>13</v>
      </c>
      <c r="D605" s="57">
        <v>45870</v>
      </c>
      <c r="E605" s="44" t="s">
        <v>15</v>
      </c>
      <c r="F605" s="43" t="s">
        <v>23</v>
      </c>
      <c r="G605" s="42" t="s">
        <v>43</v>
      </c>
      <c r="H605" s="45">
        <v>3</v>
      </c>
      <c r="I605" s="46">
        <v>350</v>
      </c>
      <c r="J605" s="46">
        <v>0</v>
      </c>
      <c r="K605" s="46">
        <v>1050</v>
      </c>
      <c r="L605" s="48" t="s">
        <v>89</v>
      </c>
    </row>
    <row r="606" spans="2:12" x14ac:dyDescent="0.25">
      <c r="B606" s="49" t="s">
        <v>967</v>
      </c>
      <c r="C606" s="49" t="s">
        <v>101</v>
      </c>
      <c r="D606" s="58">
        <v>45784</v>
      </c>
      <c r="E606" s="51" t="s">
        <v>29</v>
      </c>
      <c r="F606" s="50" t="s">
        <v>23</v>
      </c>
      <c r="G606" s="52" t="s">
        <v>88</v>
      </c>
      <c r="H606" s="53">
        <v>2</v>
      </c>
      <c r="I606" s="54">
        <v>650</v>
      </c>
      <c r="J606" s="54">
        <v>133.1</v>
      </c>
      <c r="K606" s="54">
        <v>1166.9000000000001</v>
      </c>
      <c r="L606" s="56" t="s">
        <v>89</v>
      </c>
    </row>
    <row r="607" spans="2:12" x14ac:dyDescent="0.25">
      <c r="B607" s="42" t="s">
        <v>968</v>
      </c>
      <c r="C607" s="42" t="s">
        <v>101</v>
      </c>
      <c r="D607" s="57">
        <v>45714</v>
      </c>
      <c r="E607" s="44" t="s">
        <v>47</v>
      </c>
      <c r="F607" s="43" t="s">
        <v>52</v>
      </c>
      <c r="G607" s="42" t="s">
        <v>53</v>
      </c>
      <c r="H607" s="45">
        <v>4</v>
      </c>
      <c r="I607" s="46">
        <v>149</v>
      </c>
      <c r="J607" s="46">
        <v>0</v>
      </c>
      <c r="K607" s="46">
        <v>596</v>
      </c>
      <c r="L607" s="48" t="s">
        <v>44</v>
      </c>
    </row>
    <row r="608" spans="2:12" x14ac:dyDescent="0.25">
      <c r="B608" s="49" t="s">
        <v>970</v>
      </c>
      <c r="C608" s="49" t="s">
        <v>110</v>
      </c>
      <c r="D608" s="58">
        <v>45927</v>
      </c>
      <c r="E608" s="51" t="s">
        <v>15</v>
      </c>
      <c r="F608" s="50" t="s">
        <v>23</v>
      </c>
      <c r="G608" s="52" t="s">
        <v>24</v>
      </c>
      <c r="H608" s="53">
        <v>5</v>
      </c>
      <c r="I608" s="54">
        <v>180</v>
      </c>
      <c r="J608" s="54">
        <v>61.81</v>
      </c>
      <c r="K608" s="54">
        <v>838.19</v>
      </c>
      <c r="L608" s="56" t="s">
        <v>69</v>
      </c>
    </row>
    <row r="609" spans="2:12" x14ac:dyDescent="0.25">
      <c r="B609" s="42" t="s">
        <v>971</v>
      </c>
      <c r="C609" s="42" t="s">
        <v>37</v>
      </c>
      <c r="D609" s="57">
        <v>45974</v>
      </c>
      <c r="E609" s="44" t="s">
        <v>15</v>
      </c>
      <c r="F609" s="43" t="s">
        <v>52</v>
      </c>
      <c r="G609" s="42" t="s">
        <v>99</v>
      </c>
      <c r="H609" s="45">
        <v>5</v>
      </c>
      <c r="I609" s="46">
        <v>79</v>
      </c>
      <c r="J609" s="46">
        <v>30.11</v>
      </c>
      <c r="K609" s="46">
        <v>364.89</v>
      </c>
      <c r="L609" s="48" t="s">
        <v>49</v>
      </c>
    </row>
    <row r="610" spans="2:12" x14ac:dyDescent="0.25">
      <c r="B610" s="49" t="s">
        <v>972</v>
      </c>
      <c r="C610" s="49" t="s">
        <v>13</v>
      </c>
      <c r="D610" s="58">
        <v>45884</v>
      </c>
      <c r="E610" s="51" t="s">
        <v>29</v>
      </c>
      <c r="F610" s="50" t="s">
        <v>30</v>
      </c>
      <c r="G610" s="52" t="s">
        <v>68</v>
      </c>
      <c r="H610" s="53">
        <v>4</v>
      </c>
      <c r="I610" s="54">
        <v>799</v>
      </c>
      <c r="J610" s="54">
        <v>104.16</v>
      </c>
      <c r="K610" s="54">
        <v>3091.84</v>
      </c>
      <c r="L610" s="56" t="s">
        <v>89</v>
      </c>
    </row>
    <row r="611" spans="2:12" x14ac:dyDescent="0.25">
      <c r="B611" s="42" t="s">
        <v>973</v>
      </c>
      <c r="C611" s="42" t="s">
        <v>63</v>
      </c>
      <c r="D611" s="57">
        <v>45761</v>
      </c>
      <c r="E611" s="44" t="s">
        <v>39</v>
      </c>
      <c r="F611" s="43" t="s">
        <v>16</v>
      </c>
      <c r="G611" s="42" t="s">
        <v>78</v>
      </c>
      <c r="H611" s="45">
        <v>3</v>
      </c>
      <c r="I611" s="46">
        <v>59</v>
      </c>
      <c r="J611" s="46">
        <v>19.829999999999998</v>
      </c>
      <c r="K611" s="46">
        <v>157.17000000000002</v>
      </c>
      <c r="L611" s="48" t="s">
        <v>65</v>
      </c>
    </row>
    <row r="612" spans="2:12" x14ac:dyDescent="0.25">
      <c r="B612" s="49" t="s">
        <v>974</v>
      </c>
      <c r="C612" s="49" t="s">
        <v>34</v>
      </c>
      <c r="D612" s="58">
        <v>46022</v>
      </c>
      <c r="E612" s="51" t="s">
        <v>15</v>
      </c>
      <c r="F612" s="50" t="s">
        <v>30</v>
      </c>
      <c r="G612" s="52" t="s">
        <v>152</v>
      </c>
      <c r="H612" s="53">
        <v>1</v>
      </c>
      <c r="I612" s="54">
        <v>4500</v>
      </c>
      <c r="J612" s="54">
        <v>0</v>
      </c>
      <c r="K612" s="54">
        <v>4500</v>
      </c>
      <c r="L612" s="56" t="s">
        <v>18</v>
      </c>
    </row>
    <row r="613" spans="2:12" x14ac:dyDescent="0.25">
      <c r="B613" s="42" t="s">
        <v>976</v>
      </c>
      <c r="C613" s="42" t="s">
        <v>34</v>
      </c>
      <c r="D613" s="57">
        <v>45702</v>
      </c>
      <c r="E613" s="44" t="s">
        <v>22</v>
      </c>
      <c r="F613" s="43" t="s">
        <v>30</v>
      </c>
      <c r="G613" s="42" t="s">
        <v>106</v>
      </c>
      <c r="H613" s="45">
        <v>4</v>
      </c>
      <c r="I613" s="46">
        <v>299</v>
      </c>
      <c r="J613" s="46">
        <v>151.35</v>
      </c>
      <c r="K613" s="46">
        <v>1044.6500000000001</v>
      </c>
      <c r="L613" s="48" t="s">
        <v>18</v>
      </c>
    </row>
    <row r="614" spans="2:12" x14ac:dyDescent="0.25">
      <c r="B614" s="49" t="s">
        <v>977</v>
      </c>
      <c r="C614" s="49" t="s">
        <v>71</v>
      </c>
      <c r="D614" s="58">
        <v>46017</v>
      </c>
      <c r="E614" s="51" t="s">
        <v>39</v>
      </c>
      <c r="F614" s="50" t="s">
        <v>30</v>
      </c>
      <c r="G614" s="52" t="s">
        <v>31</v>
      </c>
      <c r="H614" s="53">
        <v>2</v>
      </c>
      <c r="I614" s="54">
        <v>2500</v>
      </c>
      <c r="J614" s="54">
        <v>574.07000000000005</v>
      </c>
      <c r="K614" s="54">
        <v>4425.93</v>
      </c>
      <c r="L614" s="56" t="s">
        <v>44</v>
      </c>
    </row>
    <row r="615" spans="2:12" x14ac:dyDescent="0.25">
      <c r="B615" s="42" t="s">
        <v>978</v>
      </c>
      <c r="C615" s="42" t="s">
        <v>71</v>
      </c>
      <c r="D615" s="57">
        <v>45659</v>
      </c>
      <c r="E615" s="44" t="s">
        <v>29</v>
      </c>
      <c r="F615" s="43" t="s">
        <v>16</v>
      </c>
      <c r="G615" s="42" t="s">
        <v>103</v>
      </c>
      <c r="H615" s="45">
        <v>2</v>
      </c>
      <c r="I615" s="46">
        <v>89</v>
      </c>
      <c r="J615" s="46">
        <v>16.82</v>
      </c>
      <c r="K615" s="46">
        <v>161.18</v>
      </c>
      <c r="L615" s="48" t="s">
        <v>89</v>
      </c>
    </row>
    <row r="616" spans="2:12" x14ac:dyDescent="0.25">
      <c r="B616" s="49" t="s">
        <v>979</v>
      </c>
      <c r="C616" s="49" t="s">
        <v>71</v>
      </c>
      <c r="D616" s="58">
        <v>45723</v>
      </c>
      <c r="E616" s="51" t="s">
        <v>22</v>
      </c>
      <c r="F616" s="50" t="s">
        <v>16</v>
      </c>
      <c r="G616" s="52" t="s">
        <v>17</v>
      </c>
      <c r="H616" s="53">
        <v>1</v>
      </c>
      <c r="I616" s="54">
        <v>39</v>
      </c>
      <c r="J616" s="54">
        <v>5.39</v>
      </c>
      <c r="K616" s="54">
        <v>33.61</v>
      </c>
      <c r="L616" s="56" t="s">
        <v>18</v>
      </c>
    </row>
    <row r="617" spans="2:12" x14ac:dyDescent="0.25">
      <c r="B617" s="42" t="s">
        <v>980</v>
      </c>
      <c r="C617" s="42" t="s">
        <v>55</v>
      </c>
      <c r="D617" s="57">
        <v>45861</v>
      </c>
      <c r="E617" s="44" t="s">
        <v>47</v>
      </c>
      <c r="F617" s="43" t="s">
        <v>30</v>
      </c>
      <c r="G617" s="42" t="s">
        <v>152</v>
      </c>
      <c r="H617" s="45">
        <v>3</v>
      </c>
      <c r="I617" s="46">
        <v>4500</v>
      </c>
      <c r="J617" s="46">
        <v>0</v>
      </c>
      <c r="K617" s="46">
        <v>13500</v>
      </c>
      <c r="L617" s="48" t="s">
        <v>18</v>
      </c>
    </row>
    <row r="618" spans="2:12" x14ac:dyDescent="0.25">
      <c r="B618" s="49" t="s">
        <v>981</v>
      </c>
      <c r="C618" s="49" t="s">
        <v>27</v>
      </c>
      <c r="D618" s="58">
        <v>45896</v>
      </c>
      <c r="E618" s="51" t="s">
        <v>29</v>
      </c>
      <c r="F618" s="50" t="s">
        <v>16</v>
      </c>
      <c r="G618" s="52" t="s">
        <v>116</v>
      </c>
      <c r="H618" s="53">
        <v>4</v>
      </c>
      <c r="I618" s="54">
        <v>45</v>
      </c>
      <c r="J618" s="54">
        <v>0</v>
      </c>
      <c r="K618" s="54">
        <v>180</v>
      </c>
      <c r="L618" s="56" t="s">
        <v>65</v>
      </c>
    </row>
    <row r="619" spans="2:12" x14ac:dyDescent="0.25">
      <c r="B619" s="42" t="s">
        <v>982</v>
      </c>
      <c r="C619" s="42" t="s">
        <v>34</v>
      </c>
      <c r="D619" s="57">
        <v>45955</v>
      </c>
      <c r="E619" s="44" t="s">
        <v>47</v>
      </c>
      <c r="F619" s="43" t="s">
        <v>23</v>
      </c>
      <c r="G619" s="42" t="s">
        <v>88</v>
      </c>
      <c r="H619" s="45">
        <v>4</v>
      </c>
      <c r="I619" s="46">
        <v>650</v>
      </c>
      <c r="J619" s="46">
        <v>0</v>
      </c>
      <c r="K619" s="46">
        <v>2600</v>
      </c>
      <c r="L619" s="48" t="s">
        <v>89</v>
      </c>
    </row>
    <row r="620" spans="2:12" x14ac:dyDescent="0.25">
      <c r="B620" s="49" t="s">
        <v>983</v>
      </c>
      <c r="C620" s="49" t="s">
        <v>110</v>
      </c>
      <c r="D620" s="58">
        <v>45937</v>
      </c>
      <c r="E620" s="51" t="s">
        <v>15</v>
      </c>
      <c r="F620" s="50" t="s">
        <v>23</v>
      </c>
      <c r="G620" s="52" t="s">
        <v>48</v>
      </c>
      <c r="H620" s="53">
        <v>5</v>
      </c>
      <c r="I620" s="54">
        <v>450</v>
      </c>
      <c r="J620" s="54">
        <v>161.06</v>
      </c>
      <c r="K620" s="54">
        <v>2088.94</v>
      </c>
      <c r="L620" s="56" t="s">
        <v>44</v>
      </c>
    </row>
    <row r="621" spans="2:12" x14ac:dyDescent="0.25">
      <c r="B621" s="42" t="s">
        <v>984</v>
      </c>
      <c r="C621" s="42" t="s">
        <v>37</v>
      </c>
      <c r="D621" s="57">
        <v>45873</v>
      </c>
      <c r="E621" s="44" t="s">
        <v>47</v>
      </c>
      <c r="F621" s="43" t="s">
        <v>16</v>
      </c>
      <c r="G621" s="42" t="s">
        <v>17</v>
      </c>
      <c r="H621" s="45">
        <v>3</v>
      </c>
      <c r="I621" s="46">
        <v>39</v>
      </c>
      <c r="J621" s="46">
        <v>0</v>
      </c>
      <c r="K621" s="46">
        <v>117</v>
      </c>
      <c r="L621" s="48" t="s">
        <v>44</v>
      </c>
    </row>
    <row r="622" spans="2:12" x14ac:dyDescent="0.25">
      <c r="B622" s="49" t="s">
        <v>986</v>
      </c>
      <c r="C622" s="49" t="s">
        <v>95</v>
      </c>
      <c r="D622" s="58">
        <v>45723</v>
      </c>
      <c r="E622" s="51" t="s">
        <v>15</v>
      </c>
      <c r="F622" s="50" t="s">
        <v>23</v>
      </c>
      <c r="G622" s="52" t="s">
        <v>43</v>
      </c>
      <c r="H622" s="53">
        <v>1</v>
      </c>
      <c r="I622" s="54">
        <v>350</v>
      </c>
      <c r="J622" s="54">
        <v>0</v>
      </c>
      <c r="K622" s="54">
        <v>350</v>
      </c>
      <c r="L622" s="56" t="s">
        <v>69</v>
      </c>
    </row>
    <row r="623" spans="2:12" x14ac:dyDescent="0.25">
      <c r="B623" s="42" t="s">
        <v>987</v>
      </c>
      <c r="C623" s="42" t="s">
        <v>95</v>
      </c>
      <c r="D623" s="57">
        <v>45728</v>
      </c>
      <c r="E623" s="44" t="s">
        <v>29</v>
      </c>
      <c r="F623" s="43" t="s">
        <v>30</v>
      </c>
      <c r="G623" s="42" t="s">
        <v>106</v>
      </c>
      <c r="H623" s="45">
        <v>3</v>
      </c>
      <c r="I623" s="46">
        <v>299</v>
      </c>
      <c r="J623" s="46">
        <v>0</v>
      </c>
      <c r="K623" s="46">
        <v>897</v>
      </c>
      <c r="L623" s="48" t="s">
        <v>25</v>
      </c>
    </row>
    <row r="624" spans="2:12" x14ac:dyDescent="0.25">
      <c r="B624" s="49" t="s">
        <v>988</v>
      </c>
      <c r="C624" s="49" t="s">
        <v>110</v>
      </c>
      <c r="D624" s="58">
        <v>45734</v>
      </c>
      <c r="E624" s="51" t="s">
        <v>15</v>
      </c>
      <c r="F624" s="50" t="s">
        <v>30</v>
      </c>
      <c r="G624" s="52" t="s">
        <v>152</v>
      </c>
      <c r="H624" s="53">
        <v>4</v>
      </c>
      <c r="I624" s="54">
        <v>4500</v>
      </c>
      <c r="J624" s="54">
        <v>1135.19</v>
      </c>
      <c r="K624" s="54">
        <v>16864.810000000001</v>
      </c>
      <c r="L624" s="56" t="s">
        <v>69</v>
      </c>
    </row>
    <row r="625" spans="2:12" x14ac:dyDescent="0.25">
      <c r="B625" s="42" t="s">
        <v>990</v>
      </c>
      <c r="C625" s="42" t="s">
        <v>101</v>
      </c>
      <c r="D625" s="57">
        <v>45987</v>
      </c>
      <c r="E625" s="44" t="s">
        <v>29</v>
      </c>
      <c r="F625" s="43" t="s">
        <v>16</v>
      </c>
      <c r="G625" s="42" t="s">
        <v>17</v>
      </c>
      <c r="H625" s="45">
        <v>2</v>
      </c>
      <c r="I625" s="46">
        <v>39</v>
      </c>
      <c r="J625" s="46">
        <v>2.52</v>
      </c>
      <c r="K625" s="46">
        <v>75.48</v>
      </c>
      <c r="L625" s="48" t="s">
        <v>18</v>
      </c>
    </row>
    <row r="626" spans="2:12" x14ac:dyDescent="0.25">
      <c r="B626" s="49" t="s">
        <v>991</v>
      </c>
      <c r="C626" s="49" t="s">
        <v>37</v>
      </c>
      <c r="D626" s="58">
        <v>45876</v>
      </c>
      <c r="E626" s="51" t="s">
        <v>15</v>
      </c>
      <c r="F626" s="50" t="s">
        <v>30</v>
      </c>
      <c r="G626" s="52" t="s">
        <v>106</v>
      </c>
      <c r="H626" s="53">
        <v>4</v>
      </c>
      <c r="I626" s="54">
        <v>299</v>
      </c>
      <c r="J626" s="54">
        <v>155.04</v>
      </c>
      <c r="K626" s="54">
        <v>1040.96</v>
      </c>
      <c r="L626" s="56" t="s">
        <v>69</v>
      </c>
    </row>
    <row r="627" spans="2:12" x14ac:dyDescent="0.25">
      <c r="B627" s="42" t="s">
        <v>992</v>
      </c>
      <c r="C627" s="42" t="s">
        <v>55</v>
      </c>
      <c r="D627" s="57">
        <v>45753</v>
      </c>
      <c r="E627" s="44" t="s">
        <v>15</v>
      </c>
      <c r="F627" s="43" t="s">
        <v>30</v>
      </c>
      <c r="G627" s="42" t="s">
        <v>31</v>
      </c>
      <c r="H627" s="45">
        <v>4</v>
      </c>
      <c r="I627" s="46">
        <v>2500</v>
      </c>
      <c r="J627" s="46">
        <v>0</v>
      </c>
      <c r="K627" s="46">
        <v>10000</v>
      </c>
      <c r="L627" s="48" t="s">
        <v>65</v>
      </c>
    </row>
    <row r="628" spans="2:12" x14ac:dyDescent="0.25">
      <c r="B628" s="49" t="s">
        <v>993</v>
      </c>
      <c r="C628" s="49" t="s">
        <v>37</v>
      </c>
      <c r="D628" s="58">
        <v>45968</v>
      </c>
      <c r="E628" s="51" t="s">
        <v>29</v>
      </c>
      <c r="F628" s="50" t="s">
        <v>23</v>
      </c>
      <c r="G628" s="52" t="s">
        <v>24</v>
      </c>
      <c r="H628" s="53">
        <v>1</v>
      </c>
      <c r="I628" s="54">
        <v>180</v>
      </c>
      <c r="J628" s="54">
        <v>0</v>
      </c>
      <c r="K628" s="54">
        <v>180</v>
      </c>
      <c r="L628" s="56" t="s">
        <v>69</v>
      </c>
    </row>
    <row r="629" spans="2:12" x14ac:dyDescent="0.25">
      <c r="B629" s="42" t="s">
        <v>994</v>
      </c>
      <c r="C629" s="42" t="s">
        <v>71</v>
      </c>
      <c r="D629" s="57">
        <v>45918</v>
      </c>
      <c r="E629" s="44" t="s">
        <v>39</v>
      </c>
      <c r="F629" s="43" t="s">
        <v>23</v>
      </c>
      <c r="G629" s="42" t="s">
        <v>88</v>
      </c>
      <c r="H629" s="45">
        <v>3</v>
      </c>
      <c r="I629" s="46">
        <v>650</v>
      </c>
      <c r="J629" s="46">
        <v>180.12</v>
      </c>
      <c r="K629" s="46">
        <v>1769.88</v>
      </c>
      <c r="L629" s="48" t="s">
        <v>18</v>
      </c>
    </row>
    <row r="630" spans="2:12" x14ac:dyDescent="0.25">
      <c r="B630" s="49" t="s">
        <v>995</v>
      </c>
      <c r="C630" s="49" t="s">
        <v>71</v>
      </c>
      <c r="D630" s="58">
        <v>45960</v>
      </c>
      <c r="E630" s="51" t="s">
        <v>22</v>
      </c>
      <c r="F630" s="50" t="s">
        <v>52</v>
      </c>
      <c r="G630" s="52" t="s">
        <v>99</v>
      </c>
      <c r="H630" s="53">
        <v>4</v>
      </c>
      <c r="I630" s="54">
        <v>79</v>
      </c>
      <c r="J630" s="54">
        <v>0</v>
      </c>
      <c r="K630" s="54">
        <v>316</v>
      </c>
      <c r="L630" s="56" t="s">
        <v>69</v>
      </c>
    </row>
    <row r="631" spans="2:12" x14ac:dyDescent="0.25">
      <c r="B631" s="42" t="s">
        <v>997</v>
      </c>
      <c r="C631" s="42" t="s">
        <v>37</v>
      </c>
      <c r="D631" s="57">
        <v>45881</v>
      </c>
      <c r="E631" s="44" t="s">
        <v>47</v>
      </c>
      <c r="F631" s="43" t="s">
        <v>16</v>
      </c>
      <c r="G631" s="42" t="s">
        <v>116</v>
      </c>
      <c r="H631" s="45">
        <v>1</v>
      </c>
      <c r="I631" s="46">
        <v>45</v>
      </c>
      <c r="J631" s="46">
        <v>0</v>
      </c>
      <c r="K631" s="46">
        <v>45</v>
      </c>
      <c r="L631" s="48" t="s">
        <v>49</v>
      </c>
    </row>
    <row r="632" spans="2:12" x14ac:dyDescent="0.25">
      <c r="B632" s="49" t="s">
        <v>999</v>
      </c>
      <c r="C632" s="49" t="s">
        <v>95</v>
      </c>
      <c r="D632" s="58">
        <v>45869</v>
      </c>
      <c r="E632" s="51" t="s">
        <v>15</v>
      </c>
      <c r="F632" s="50" t="s">
        <v>30</v>
      </c>
      <c r="G632" s="52" t="s">
        <v>152</v>
      </c>
      <c r="H632" s="53">
        <v>1</v>
      </c>
      <c r="I632" s="54">
        <v>4500</v>
      </c>
      <c r="J632" s="54">
        <v>0</v>
      </c>
      <c r="K632" s="54">
        <v>4500</v>
      </c>
      <c r="L632" s="56" t="s">
        <v>44</v>
      </c>
    </row>
    <row r="633" spans="2:12" x14ac:dyDescent="0.25">
      <c r="B633" s="42" t="s">
        <v>1000</v>
      </c>
      <c r="C633" s="42" t="s">
        <v>20</v>
      </c>
      <c r="D633" s="57">
        <v>45996</v>
      </c>
      <c r="E633" s="44" t="s">
        <v>29</v>
      </c>
      <c r="F633" s="43" t="s">
        <v>52</v>
      </c>
      <c r="G633" s="42" t="s">
        <v>53</v>
      </c>
      <c r="H633" s="45">
        <v>3</v>
      </c>
      <c r="I633" s="46">
        <v>149</v>
      </c>
      <c r="J633" s="46">
        <v>0</v>
      </c>
      <c r="K633" s="46">
        <v>447</v>
      </c>
      <c r="L633" s="48" t="s">
        <v>65</v>
      </c>
    </row>
    <row r="634" spans="2:12" x14ac:dyDescent="0.25">
      <c r="B634" s="49" t="s">
        <v>1001</v>
      </c>
      <c r="C634" s="49" t="s">
        <v>34</v>
      </c>
      <c r="D634" s="58">
        <v>45694</v>
      </c>
      <c r="E634" s="51" t="s">
        <v>15</v>
      </c>
      <c r="F634" s="50" t="s">
        <v>16</v>
      </c>
      <c r="G634" s="52" t="s">
        <v>78</v>
      </c>
      <c r="H634" s="53">
        <v>2</v>
      </c>
      <c r="I634" s="54">
        <v>59</v>
      </c>
      <c r="J634" s="54">
        <v>0.15</v>
      </c>
      <c r="K634" s="54">
        <v>117.85</v>
      </c>
      <c r="L634" s="56" t="s">
        <v>69</v>
      </c>
    </row>
    <row r="635" spans="2:12" x14ac:dyDescent="0.25">
      <c r="B635" s="42" t="s">
        <v>1002</v>
      </c>
      <c r="C635" s="42" t="s">
        <v>13</v>
      </c>
      <c r="D635" s="57">
        <v>45777</v>
      </c>
      <c r="E635" s="44" t="s">
        <v>29</v>
      </c>
      <c r="F635" s="43" t="s">
        <v>23</v>
      </c>
      <c r="G635" s="42" t="s">
        <v>48</v>
      </c>
      <c r="H635" s="45">
        <v>2</v>
      </c>
      <c r="I635" s="46">
        <v>450</v>
      </c>
      <c r="J635" s="46">
        <v>0</v>
      </c>
      <c r="K635" s="46">
        <v>900</v>
      </c>
      <c r="L635" s="48" t="s">
        <v>89</v>
      </c>
    </row>
    <row r="636" spans="2:12" x14ac:dyDescent="0.25">
      <c r="B636" s="49" t="s">
        <v>1003</v>
      </c>
      <c r="C636" s="49" t="s">
        <v>101</v>
      </c>
      <c r="D636" s="58">
        <v>45725</v>
      </c>
      <c r="E636" s="51" t="s">
        <v>39</v>
      </c>
      <c r="F636" s="50" t="s">
        <v>52</v>
      </c>
      <c r="G636" s="52" t="s">
        <v>99</v>
      </c>
      <c r="H636" s="53">
        <v>1</v>
      </c>
      <c r="I636" s="54">
        <v>79</v>
      </c>
      <c r="J636" s="54">
        <v>11.01</v>
      </c>
      <c r="K636" s="54">
        <v>67.989999999999995</v>
      </c>
      <c r="L636" s="56" t="s">
        <v>49</v>
      </c>
    </row>
    <row r="637" spans="2:12" x14ac:dyDescent="0.25">
      <c r="B637" s="42" t="s">
        <v>1005</v>
      </c>
      <c r="C637" s="42" t="s">
        <v>34</v>
      </c>
      <c r="D637" s="57">
        <v>45831</v>
      </c>
      <c r="E637" s="44" t="s">
        <v>22</v>
      </c>
      <c r="F637" s="43" t="s">
        <v>30</v>
      </c>
      <c r="G637" s="42" t="s">
        <v>152</v>
      </c>
      <c r="H637" s="45">
        <v>2</v>
      </c>
      <c r="I637" s="46">
        <v>4500</v>
      </c>
      <c r="J637" s="46">
        <v>0</v>
      </c>
      <c r="K637" s="46">
        <v>9000</v>
      </c>
      <c r="L637" s="48" t="s">
        <v>18</v>
      </c>
    </row>
    <row r="638" spans="2:12" x14ac:dyDescent="0.25">
      <c r="B638" s="49" t="s">
        <v>1006</v>
      </c>
      <c r="C638" s="49" t="s">
        <v>34</v>
      </c>
      <c r="D638" s="58">
        <v>45785</v>
      </c>
      <c r="E638" s="51" t="s">
        <v>47</v>
      </c>
      <c r="F638" s="50" t="s">
        <v>30</v>
      </c>
      <c r="G638" s="52" t="s">
        <v>31</v>
      </c>
      <c r="H638" s="53">
        <v>5</v>
      </c>
      <c r="I638" s="54">
        <v>2500</v>
      </c>
      <c r="J638" s="54">
        <v>0</v>
      </c>
      <c r="K638" s="54">
        <v>12500</v>
      </c>
      <c r="L638" s="56" t="s">
        <v>69</v>
      </c>
    </row>
    <row r="639" spans="2:12" x14ac:dyDescent="0.25">
      <c r="B639" s="42" t="s">
        <v>1007</v>
      </c>
      <c r="C639" s="42" t="s">
        <v>41</v>
      </c>
      <c r="D639" s="57">
        <v>45704</v>
      </c>
      <c r="E639" s="44" t="s">
        <v>15</v>
      </c>
      <c r="F639" s="43" t="s">
        <v>16</v>
      </c>
      <c r="G639" s="42" t="s">
        <v>78</v>
      </c>
      <c r="H639" s="45">
        <v>5</v>
      </c>
      <c r="I639" s="46">
        <v>59</v>
      </c>
      <c r="J639" s="46">
        <v>25.77</v>
      </c>
      <c r="K639" s="46">
        <v>269.23</v>
      </c>
      <c r="L639" s="48" t="s">
        <v>32</v>
      </c>
    </row>
    <row r="640" spans="2:12" x14ac:dyDescent="0.25">
      <c r="B640" s="49" t="s">
        <v>1009</v>
      </c>
      <c r="C640" s="49" t="s">
        <v>101</v>
      </c>
      <c r="D640" s="58">
        <v>45766</v>
      </c>
      <c r="E640" s="51" t="s">
        <v>39</v>
      </c>
      <c r="F640" s="50" t="s">
        <v>52</v>
      </c>
      <c r="G640" s="52" t="s">
        <v>99</v>
      </c>
      <c r="H640" s="53">
        <v>5</v>
      </c>
      <c r="I640" s="54">
        <v>79</v>
      </c>
      <c r="J640" s="54">
        <v>0</v>
      </c>
      <c r="K640" s="54">
        <v>395</v>
      </c>
      <c r="L640" s="56" t="s">
        <v>89</v>
      </c>
    </row>
    <row r="641" spans="2:12" x14ac:dyDescent="0.25">
      <c r="B641" s="42" t="s">
        <v>1011</v>
      </c>
      <c r="C641" s="42" t="s">
        <v>55</v>
      </c>
      <c r="D641" s="57">
        <v>45968</v>
      </c>
      <c r="E641" s="44" t="s">
        <v>39</v>
      </c>
      <c r="F641" s="43" t="s">
        <v>23</v>
      </c>
      <c r="G641" s="42" t="s">
        <v>88</v>
      </c>
      <c r="H641" s="45">
        <v>5</v>
      </c>
      <c r="I641" s="46">
        <v>650</v>
      </c>
      <c r="J641" s="46">
        <v>426.42</v>
      </c>
      <c r="K641" s="46">
        <v>2823.58</v>
      </c>
      <c r="L641" s="48" t="s">
        <v>65</v>
      </c>
    </row>
    <row r="642" spans="2:12" x14ac:dyDescent="0.25">
      <c r="B642" s="49" t="s">
        <v>1012</v>
      </c>
      <c r="C642" s="49" t="s">
        <v>20</v>
      </c>
      <c r="D642" s="58">
        <v>45925</v>
      </c>
      <c r="E642" s="51" t="s">
        <v>15</v>
      </c>
      <c r="F642" s="50" t="s">
        <v>30</v>
      </c>
      <c r="G642" s="52" t="s">
        <v>31</v>
      </c>
      <c r="H642" s="53">
        <v>1</v>
      </c>
      <c r="I642" s="54">
        <v>2500</v>
      </c>
      <c r="J642" s="54">
        <v>0</v>
      </c>
      <c r="K642" s="54">
        <v>2500</v>
      </c>
      <c r="L642" s="56" t="s">
        <v>89</v>
      </c>
    </row>
    <row r="643" spans="2:12" x14ac:dyDescent="0.25">
      <c r="B643" s="42" t="s">
        <v>1014</v>
      </c>
      <c r="C643" s="42" t="s">
        <v>20</v>
      </c>
      <c r="D643" s="57">
        <v>45717</v>
      </c>
      <c r="E643" s="44" t="s">
        <v>47</v>
      </c>
      <c r="F643" s="43" t="s">
        <v>16</v>
      </c>
      <c r="G643" s="42" t="s">
        <v>116</v>
      </c>
      <c r="H643" s="45">
        <v>4</v>
      </c>
      <c r="I643" s="46">
        <v>45</v>
      </c>
      <c r="J643" s="46">
        <v>0</v>
      </c>
      <c r="K643" s="46">
        <v>180</v>
      </c>
      <c r="L643" s="48" t="s">
        <v>49</v>
      </c>
    </row>
    <row r="644" spans="2:12" x14ac:dyDescent="0.25">
      <c r="B644" s="49" t="s">
        <v>1015</v>
      </c>
      <c r="C644" s="49" t="s">
        <v>110</v>
      </c>
      <c r="D644" s="58">
        <v>46023</v>
      </c>
      <c r="E644" s="51" t="s">
        <v>15</v>
      </c>
      <c r="F644" s="50" t="s">
        <v>30</v>
      </c>
      <c r="G644" s="52" t="s">
        <v>31</v>
      </c>
      <c r="H644" s="53">
        <v>2</v>
      </c>
      <c r="I644" s="54">
        <v>2500</v>
      </c>
      <c r="J644" s="54">
        <v>0</v>
      </c>
      <c r="K644" s="54">
        <v>5000</v>
      </c>
      <c r="L644" s="56" t="s">
        <v>65</v>
      </c>
    </row>
    <row r="645" spans="2:12" x14ac:dyDescent="0.25">
      <c r="B645" s="42" t="s">
        <v>1016</v>
      </c>
      <c r="C645" s="42" t="s">
        <v>13</v>
      </c>
      <c r="D645" s="57">
        <v>45800</v>
      </c>
      <c r="E645" s="44" t="s">
        <v>22</v>
      </c>
      <c r="F645" s="43" t="s">
        <v>16</v>
      </c>
      <c r="G645" s="42" t="s">
        <v>103</v>
      </c>
      <c r="H645" s="45">
        <v>5</v>
      </c>
      <c r="I645" s="46">
        <v>89</v>
      </c>
      <c r="J645" s="46">
        <v>0</v>
      </c>
      <c r="K645" s="46">
        <v>445</v>
      </c>
      <c r="L645" s="48" t="s">
        <v>69</v>
      </c>
    </row>
    <row r="646" spans="2:12" x14ac:dyDescent="0.25">
      <c r="B646" s="49" t="s">
        <v>1017</v>
      </c>
      <c r="C646" s="49" t="s">
        <v>63</v>
      </c>
      <c r="D646" s="58">
        <v>45836</v>
      </c>
      <c r="E646" s="51" t="s">
        <v>29</v>
      </c>
      <c r="F646" s="50" t="s">
        <v>16</v>
      </c>
      <c r="G646" s="52" t="s">
        <v>116</v>
      </c>
      <c r="H646" s="53">
        <v>5</v>
      </c>
      <c r="I646" s="54">
        <v>45</v>
      </c>
      <c r="J646" s="54">
        <v>1.81</v>
      </c>
      <c r="K646" s="54">
        <v>223.19</v>
      </c>
      <c r="L646" s="56" t="s">
        <v>69</v>
      </c>
    </row>
    <row r="647" spans="2:12" x14ac:dyDescent="0.25">
      <c r="B647" s="42" t="s">
        <v>1019</v>
      </c>
      <c r="C647" s="42" t="s">
        <v>20</v>
      </c>
      <c r="D647" s="57">
        <v>45892</v>
      </c>
      <c r="E647" s="44" t="s">
        <v>15</v>
      </c>
      <c r="F647" s="43" t="s">
        <v>16</v>
      </c>
      <c r="G647" s="42" t="s">
        <v>17</v>
      </c>
      <c r="H647" s="45">
        <v>4</v>
      </c>
      <c r="I647" s="46">
        <v>39</v>
      </c>
      <c r="J647" s="46">
        <v>15.21</v>
      </c>
      <c r="K647" s="46">
        <v>140.79</v>
      </c>
      <c r="L647" s="48" t="s">
        <v>49</v>
      </c>
    </row>
    <row r="648" spans="2:12" x14ac:dyDescent="0.25">
      <c r="B648" s="49" t="s">
        <v>1020</v>
      </c>
      <c r="C648" s="49" t="s">
        <v>20</v>
      </c>
      <c r="D648" s="58">
        <v>45998</v>
      </c>
      <c r="E648" s="51" t="s">
        <v>15</v>
      </c>
      <c r="F648" s="50" t="s">
        <v>23</v>
      </c>
      <c r="G648" s="52" t="s">
        <v>24</v>
      </c>
      <c r="H648" s="53">
        <v>5</v>
      </c>
      <c r="I648" s="54">
        <v>180</v>
      </c>
      <c r="J648" s="54">
        <v>0</v>
      </c>
      <c r="K648" s="54">
        <v>900</v>
      </c>
      <c r="L648" s="56" t="s">
        <v>32</v>
      </c>
    </row>
    <row r="649" spans="2:12" x14ac:dyDescent="0.25">
      <c r="B649" s="42" t="s">
        <v>1022</v>
      </c>
      <c r="C649" s="42" t="s">
        <v>41</v>
      </c>
      <c r="D649" s="57">
        <v>45725</v>
      </c>
      <c r="E649" s="44" t="s">
        <v>39</v>
      </c>
      <c r="F649" s="43" t="s">
        <v>30</v>
      </c>
      <c r="G649" s="42" t="s">
        <v>152</v>
      </c>
      <c r="H649" s="45">
        <v>5</v>
      </c>
      <c r="I649" s="46">
        <v>4500</v>
      </c>
      <c r="J649" s="46">
        <v>747.75</v>
      </c>
      <c r="K649" s="46">
        <v>21752.25</v>
      </c>
      <c r="L649" s="48" t="s">
        <v>69</v>
      </c>
    </row>
    <row r="650" spans="2:12" x14ac:dyDescent="0.25">
      <c r="B650" s="49" t="s">
        <v>1023</v>
      </c>
      <c r="C650" s="49" t="s">
        <v>41</v>
      </c>
      <c r="D650" s="58">
        <v>45850</v>
      </c>
      <c r="E650" s="51" t="s">
        <v>15</v>
      </c>
      <c r="F650" s="50" t="s">
        <v>16</v>
      </c>
      <c r="G650" s="52" t="s">
        <v>103</v>
      </c>
      <c r="H650" s="53">
        <v>1</v>
      </c>
      <c r="I650" s="54">
        <v>89</v>
      </c>
      <c r="J650" s="54">
        <v>0</v>
      </c>
      <c r="K650" s="54">
        <v>89</v>
      </c>
      <c r="L650" s="56" t="s">
        <v>25</v>
      </c>
    </row>
    <row r="651" spans="2:12" x14ac:dyDescent="0.25">
      <c r="B651" s="42" t="s">
        <v>1024</v>
      </c>
      <c r="C651" s="42" t="s">
        <v>27</v>
      </c>
      <c r="D651" s="57">
        <v>45998</v>
      </c>
      <c r="E651" s="44" t="s">
        <v>29</v>
      </c>
      <c r="F651" s="43" t="s">
        <v>52</v>
      </c>
      <c r="G651" s="42" t="s">
        <v>75</v>
      </c>
      <c r="H651" s="45">
        <v>4</v>
      </c>
      <c r="I651" s="46">
        <v>249</v>
      </c>
      <c r="J651" s="46">
        <v>108.02</v>
      </c>
      <c r="K651" s="46">
        <v>887.98</v>
      </c>
      <c r="L651" s="48" t="s">
        <v>25</v>
      </c>
    </row>
    <row r="652" spans="2:12" x14ac:dyDescent="0.25">
      <c r="B652" s="49" t="s">
        <v>1025</v>
      </c>
      <c r="C652" s="49" t="s">
        <v>63</v>
      </c>
      <c r="D652" s="58">
        <v>45831</v>
      </c>
      <c r="E652" s="51" t="s">
        <v>22</v>
      </c>
      <c r="F652" s="50" t="s">
        <v>16</v>
      </c>
      <c r="G652" s="52" t="s">
        <v>116</v>
      </c>
      <c r="H652" s="53">
        <v>2</v>
      </c>
      <c r="I652" s="54">
        <v>45</v>
      </c>
      <c r="J652" s="54">
        <v>0</v>
      </c>
      <c r="K652" s="54">
        <v>90</v>
      </c>
      <c r="L652" s="56" t="s">
        <v>18</v>
      </c>
    </row>
    <row r="653" spans="2:12" x14ac:dyDescent="0.25">
      <c r="B653" s="42" t="s">
        <v>1026</v>
      </c>
      <c r="C653" s="42" t="s">
        <v>13</v>
      </c>
      <c r="D653" s="57">
        <v>45808</v>
      </c>
      <c r="E653" s="44" t="s">
        <v>47</v>
      </c>
      <c r="F653" s="43" t="s">
        <v>16</v>
      </c>
      <c r="G653" s="42" t="s">
        <v>116</v>
      </c>
      <c r="H653" s="45">
        <v>1</v>
      </c>
      <c r="I653" s="46">
        <v>45</v>
      </c>
      <c r="J653" s="46">
        <v>1.99</v>
      </c>
      <c r="K653" s="46">
        <v>43.01</v>
      </c>
      <c r="L653" s="48" t="s">
        <v>18</v>
      </c>
    </row>
    <row r="654" spans="2:12" x14ac:dyDescent="0.25">
      <c r="B654" s="49" t="s">
        <v>1028</v>
      </c>
      <c r="C654" s="49" t="s">
        <v>13</v>
      </c>
      <c r="D654" s="58">
        <v>46006</v>
      </c>
      <c r="E654" s="51" t="s">
        <v>22</v>
      </c>
      <c r="F654" s="50" t="s">
        <v>23</v>
      </c>
      <c r="G654" s="52" t="s">
        <v>48</v>
      </c>
      <c r="H654" s="53">
        <v>4</v>
      </c>
      <c r="I654" s="54">
        <v>450</v>
      </c>
      <c r="J654" s="54">
        <v>0</v>
      </c>
      <c r="K654" s="54">
        <v>1800</v>
      </c>
      <c r="L654" s="56" t="s">
        <v>32</v>
      </c>
    </row>
    <row r="655" spans="2:12" x14ac:dyDescent="0.25">
      <c r="B655" s="42" t="s">
        <v>1030</v>
      </c>
      <c r="C655" s="42" t="s">
        <v>34</v>
      </c>
      <c r="D655" s="57">
        <v>45700</v>
      </c>
      <c r="E655" s="44" t="s">
        <v>15</v>
      </c>
      <c r="F655" s="43" t="s">
        <v>30</v>
      </c>
      <c r="G655" s="42" t="s">
        <v>68</v>
      </c>
      <c r="H655" s="45">
        <v>5</v>
      </c>
      <c r="I655" s="46">
        <v>799</v>
      </c>
      <c r="J655" s="46">
        <v>306.52999999999997</v>
      </c>
      <c r="K655" s="46">
        <v>3688.4700000000003</v>
      </c>
      <c r="L655" s="48" t="s">
        <v>32</v>
      </c>
    </row>
    <row r="656" spans="2:12" x14ac:dyDescent="0.25">
      <c r="B656" s="49" t="s">
        <v>1031</v>
      </c>
      <c r="C656" s="49" t="s">
        <v>95</v>
      </c>
      <c r="D656" s="58">
        <v>45846</v>
      </c>
      <c r="E656" s="51" t="s">
        <v>39</v>
      </c>
      <c r="F656" s="50" t="s">
        <v>52</v>
      </c>
      <c r="G656" s="52" t="s">
        <v>99</v>
      </c>
      <c r="H656" s="53">
        <v>5</v>
      </c>
      <c r="I656" s="54">
        <v>79</v>
      </c>
      <c r="J656" s="54">
        <v>37.299999999999997</v>
      </c>
      <c r="K656" s="54">
        <v>357.7</v>
      </c>
      <c r="L656" s="56" t="s">
        <v>89</v>
      </c>
    </row>
    <row r="657" spans="2:12" x14ac:dyDescent="0.25">
      <c r="B657" s="42" t="s">
        <v>1032</v>
      </c>
      <c r="C657" s="42" t="s">
        <v>13</v>
      </c>
      <c r="D657" s="57">
        <v>45864</v>
      </c>
      <c r="E657" s="44" t="s">
        <v>22</v>
      </c>
      <c r="F657" s="43" t="s">
        <v>52</v>
      </c>
      <c r="G657" s="42" t="s">
        <v>53</v>
      </c>
      <c r="H657" s="45">
        <v>2</v>
      </c>
      <c r="I657" s="46">
        <v>149</v>
      </c>
      <c r="J657" s="46">
        <v>42.01</v>
      </c>
      <c r="K657" s="46">
        <v>255.99</v>
      </c>
      <c r="L657" s="48" t="s">
        <v>44</v>
      </c>
    </row>
    <row r="658" spans="2:12" x14ac:dyDescent="0.25">
      <c r="B658" s="49" t="s">
        <v>1033</v>
      </c>
      <c r="C658" s="49" t="s">
        <v>101</v>
      </c>
      <c r="D658" s="58">
        <v>45799</v>
      </c>
      <c r="E658" s="51" t="s">
        <v>22</v>
      </c>
      <c r="F658" s="50" t="s">
        <v>23</v>
      </c>
      <c r="G658" s="52" t="s">
        <v>43</v>
      </c>
      <c r="H658" s="53">
        <v>3</v>
      </c>
      <c r="I658" s="54">
        <v>350</v>
      </c>
      <c r="J658" s="54">
        <v>0</v>
      </c>
      <c r="K658" s="54">
        <v>1050</v>
      </c>
      <c r="L658" s="56" t="s">
        <v>44</v>
      </c>
    </row>
    <row r="659" spans="2:12" x14ac:dyDescent="0.25">
      <c r="B659" s="42" t="s">
        <v>1035</v>
      </c>
      <c r="C659" s="42" t="s">
        <v>55</v>
      </c>
      <c r="D659" s="57">
        <v>46008</v>
      </c>
      <c r="E659" s="44" t="s">
        <v>15</v>
      </c>
      <c r="F659" s="43" t="s">
        <v>52</v>
      </c>
      <c r="G659" s="42" t="s">
        <v>75</v>
      </c>
      <c r="H659" s="45">
        <v>1</v>
      </c>
      <c r="I659" s="46">
        <v>249</v>
      </c>
      <c r="J659" s="46">
        <v>26.36</v>
      </c>
      <c r="K659" s="46">
        <v>222.64</v>
      </c>
      <c r="L659" s="48" t="s">
        <v>18</v>
      </c>
    </row>
    <row r="660" spans="2:12" x14ac:dyDescent="0.25">
      <c r="B660" s="49" t="s">
        <v>1036</v>
      </c>
      <c r="C660" s="49" t="s">
        <v>34</v>
      </c>
      <c r="D660" s="58">
        <v>45940</v>
      </c>
      <c r="E660" s="51" t="s">
        <v>29</v>
      </c>
      <c r="F660" s="50" t="s">
        <v>30</v>
      </c>
      <c r="G660" s="52" t="s">
        <v>106</v>
      </c>
      <c r="H660" s="53">
        <v>1</v>
      </c>
      <c r="I660" s="54">
        <v>299</v>
      </c>
      <c r="J660" s="54">
        <v>19.649999999999999</v>
      </c>
      <c r="K660" s="54">
        <v>279.35000000000002</v>
      </c>
      <c r="L660" s="56" t="s">
        <v>18</v>
      </c>
    </row>
    <row r="661" spans="2:12" x14ac:dyDescent="0.25">
      <c r="B661" s="42" t="s">
        <v>1038</v>
      </c>
      <c r="C661" s="42" t="s">
        <v>34</v>
      </c>
      <c r="D661" s="57">
        <v>46013</v>
      </c>
      <c r="E661" s="44" t="s">
        <v>47</v>
      </c>
      <c r="F661" s="43" t="s">
        <v>30</v>
      </c>
      <c r="G661" s="42" t="s">
        <v>152</v>
      </c>
      <c r="H661" s="45">
        <v>3</v>
      </c>
      <c r="I661" s="46">
        <v>4500</v>
      </c>
      <c r="J661" s="46">
        <v>570.78</v>
      </c>
      <c r="K661" s="46">
        <v>12929.22</v>
      </c>
      <c r="L661" s="48" t="s">
        <v>18</v>
      </c>
    </row>
    <row r="662" spans="2:12" x14ac:dyDescent="0.25">
      <c r="B662" s="49" t="s">
        <v>1039</v>
      </c>
      <c r="C662" s="49" t="s">
        <v>34</v>
      </c>
      <c r="D662" s="58">
        <v>45792</v>
      </c>
      <c r="E662" s="51" t="s">
        <v>15</v>
      </c>
      <c r="F662" s="50" t="s">
        <v>16</v>
      </c>
      <c r="G662" s="52" t="s">
        <v>78</v>
      </c>
      <c r="H662" s="53">
        <v>2</v>
      </c>
      <c r="I662" s="54">
        <v>59</v>
      </c>
      <c r="J662" s="54">
        <v>16.559999999999999</v>
      </c>
      <c r="K662" s="54">
        <v>101.44</v>
      </c>
      <c r="L662" s="56" t="s">
        <v>18</v>
      </c>
    </row>
    <row r="663" spans="2:12" x14ac:dyDescent="0.25">
      <c r="B663" s="42" t="s">
        <v>1040</v>
      </c>
      <c r="C663" s="42" t="s">
        <v>13</v>
      </c>
      <c r="D663" s="57">
        <v>45854</v>
      </c>
      <c r="E663" s="44" t="s">
        <v>29</v>
      </c>
      <c r="F663" s="43" t="s">
        <v>30</v>
      </c>
      <c r="G663" s="42" t="s">
        <v>68</v>
      </c>
      <c r="H663" s="45">
        <v>3</v>
      </c>
      <c r="I663" s="46">
        <v>799</v>
      </c>
      <c r="J663" s="46">
        <v>28.41</v>
      </c>
      <c r="K663" s="46">
        <v>2368.59</v>
      </c>
      <c r="L663" s="48" t="s">
        <v>18</v>
      </c>
    </row>
    <row r="664" spans="2:12" x14ac:dyDescent="0.25">
      <c r="B664" s="49" t="s">
        <v>1041</v>
      </c>
      <c r="C664" s="49" t="s">
        <v>20</v>
      </c>
      <c r="D664" s="58">
        <v>45900</v>
      </c>
      <c r="E664" s="51" t="s">
        <v>39</v>
      </c>
      <c r="F664" s="50" t="s">
        <v>52</v>
      </c>
      <c r="G664" s="52" t="s">
        <v>99</v>
      </c>
      <c r="H664" s="53">
        <v>1</v>
      </c>
      <c r="I664" s="54">
        <v>79</v>
      </c>
      <c r="J664" s="54">
        <v>0.65</v>
      </c>
      <c r="K664" s="54">
        <v>78.349999999999994</v>
      </c>
      <c r="L664" s="56" t="s">
        <v>25</v>
      </c>
    </row>
    <row r="665" spans="2:12" x14ac:dyDescent="0.25">
      <c r="B665" s="42" t="s">
        <v>1042</v>
      </c>
      <c r="C665" s="42" t="s">
        <v>101</v>
      </c>
      <c r="D665" s="57">
        <v>45755</v>
      </c>
      <c r="E665" s="44" t="s">
        <v>22</v>
      </c>
      <c r="F665" s="43" t="s">
        <v>52</v>
      </c>
      <c r="G665" s="42" t="s">
        <v>53</v>
      </c>
      <c r="H665" s="45">
        <v>5</v>
      </c>
      <c r="I665" s="46">
        <v>149</v>
      </c>
      <c r="J665" s="46">
        <v>0</v>
      </c>
      <c r="K665" s="46">
        <v>745</v>
      </c>
      <c r="L665" s="48" t="s">
        <v>69</v>
      </c>
    </row>
    <row r="666" spans="2:12" x14ac:dyDescent="0.25">
      <c r="B666" s="49" t="s">
        <v>1043</v>
      </c>
      <c r="C666" s="49" t="s">
        <v>101</v>
      </c>
      <c r="D666" s="58">
        <v>45834</v>
      </c>
      <c r="E666" s="51" t="s">
        <v>29</v>
      </c>
      <c r="F666" s="50" t="s">
        <v>52</v>
      </c>
      <c r="G666" s="52" t="s">
        <v>75</v>
      </c>
      <c r="H666" s="53">
        <v>3</v>
      </c>
      <c r="I666" s="54">
        <v>249</v>
      </c>
      <c r="J666" s="54">
        <v>0</v>
      </c>
      <c r="K666" s="54">
        <v>747</v>
      </c>
      <c r="L666" s="56" t="s">
        <v>18</v>
      </c>
    </row>
    <row r="667" spans="2:12" x14ac:dyDescent="0.25">
      <c r="B667" s="42" t="s">
        <v>1044</v>
      </c>
      <c r="C667" s="42" t="s">
        <v>41</v>
      </c>
      <c r="D667" s="57">
        <v>45855</v>
      </c>
      <c r="E667" s="44" t="s">
        <v>15</v>
      </c>
      <c r="F667" s="43" t="s">
        <v>30</v>
      </c>
      <c r="G667" s="42" t="s">
        <v>31</v>
      </c>
      <c r="H667" s="45">
        <v>4</v>
      </c>
      <c r="I667" s="46">
        <v>2500</v>
      </c>
      <c r="J667" s="46">
        <v>1148.6300000000001</v>
      </c>
      <c r="K667" s="46">
        <v>8851.369999999999</v>
      </c>
      <c r="L667" s="48" t="s">
        <v>25</v>
      </c>
    </row>
    <row r="668" spans="2:12" x14ac:dyDescent="0.25">
      <c r="B668" s="49" t="s">
        <v>1045</v>
      </c>
      <c r="C668" s="49" t="s">
        <v>13</v>
      </c>
      <c r="D668" s="58">
        <v>45672</v>
      </c>
      <c r="E668" s="51" t="s">
        <v>39</v>
      </c>
      <c r="F668" s="50" t="s">
        <v>16</v>
      </c>
      <c r="G668" s="52" t="s">
        <v>17</v>
      </c>
      <c r="H668" s="53">
        <v>3</v>
      </c>
      <c r="I668" s="54">
        <v>39</v>
      </c>
      <c r="J668" s="54">
        <v>0.95</v>
      </c>
      <c r="K668" s="54">
        <v>116.05</v>
      </c>
      <c r="L668" s="56" t="s">
        <v>44</v>
      </c>
    </row>
    <row r="669" spans="2:12" x14ac:dyDescent="0.25">
      <c r="B669" s="42" t="s">
        <v>1046</v>
      </c>
      <c r="C669" s="42" t="s">
        <v>110</v>
      </c>
      <c r="D669" s="57">
        <v>45868</v>
      </c>
      <c r="E669" s="44" t="s">
        <v>47</v>
      </c>
      <c r="F669" s="43" t="s">
        <v>23</v>
      </c>
      <c r="G669" s="42" t="s">
        <v>24</v>
      </c>
      <c r="H669" s="45">
        <v>1</v>
      </c>
      <c r="I669" s="46">
        <v>180</v>
      </c>
      <c r="J669" s="46">
        <v>0</v>
      </c>
      <c r="K669" s="46">
        <v>180</v>
      </c>
      <c r="L669" s="48" t="s">
        <v>18</v>
      </c>
    </row>
    <row r="670" spans="2:12" x14ac:dyDescent="0.25">
      <c r="B670" s="49" t="s">
        <v>1047</v>
      </c>
      <c r="C670" s="49" t="s">
        <v>71</v>
      </c>
      <c r="D670" s="58">
        <v>45940</v>
      </c>
      <c r="E670" s="51" t="s">
        <v>22</v>
      </c>
      <c r="F670" s="50" t="s">
        <v>16</v>
      </c>
      <c r="G670" s="52" t="s">
        <v>17</v>
      </c>
      <c r="H670" s="53">
        <v>4</v>
      </c>
      <c r="I670" s="54">
        <v>39</v>
      </c>
      <c r="J670" s="54">
        <v>0</v>
      </c>
      <c r="K670" s="54">
        <v>156</v>
      </c>
      <c r="L670" s="56" t="s">
        <v>44</v>
      </c>
    </row>
    <row r="671" spans="2:12" x14ac:dyDescent="0.25">
      <c r="B671" s="42" t="s">
        <v>1048</v>
      </c>
      <c r="C671" s="42" t="s">
        <v>34</v>
      </c>
      <c r="D671" s="57">
        <v>45919</v>
      </c>
      <c r="E671" s="44" t="s">
        <v>15</v>
      </c>
      <c r="F671" s="43" t="s">
        <v>52</v>
      </c>
      <c r="G671" s="42" t="s">
        <v>75</v>
      </c>
      <c r="H671" s="45">
        <v>5</v>
      </c>
      <c r="I671" s="46">
        <v>249</v>
      </c>
      <c r="J671" s="46">
        <v>0</v>
      </c>
      <c r="K671" s="46">
        <v>1245</v>
      </c>
      <c r="L671" s="48" t="s">
        <v>65</v>
      </c>
    </row>
    <row r="672" spans="2:12" x14ac:dyDescent="0.25">
      <c r="B672" s="49" t="s">
        <v>1049</v>
      </c>
      <c r="C672" s="49" t="s">
        <v>71</v>
      </c>
      <c r="D672" s="58">
        <v>45681</v>
      </c>
      <c r="E672" s="51" t="s">
        <v>29</v>
      </c>
      <c r="F672" s="50" t="s">
        <v>52</v>
      </c>
      <c r="G672" s="52" t="s">
        <v>75</v>
      </c>
      <c r="H672" s="53">
        <v>3</v>
      </c>
      <c r="I672" s="54">
        <v>249</v>
      </c>
      <c r="J672" s="54">
        <v>52.26</v>
      </c>
      <c r="K672" s="54">
        <v>694.74</v>
      </c>
      <c r="L672" s="56" t="s">
        <v>18</v>
      </c>
    </row>
    <row r="673" spans="2:12" x14ac:dyDescent="0.25">
      <c r="B673" s="42" t="s">
        <v>1051</v>
      </c>
      <c r="C673" s="42" t="s">
        <v>37</v>
      </c>
      <c r="D673" s="57">
        <v>45670</v>
      </c>
      <c r="E673" s="44" t="s">
        <v>22</v>
      </c>
      <c r="F673" s="43" t="s">
        <v>30</v>
      </c>
      <c r="G673" s="42" t="s">
        <v>152</v>
      </c>
      <c r="H673" s="45">
        <v>3</v>
      </c>
      <c r="I673" s="46">
        <v>4500</v>
      </c>
      <c r="J673" s="46">
        <v>0</v>
      </c>
      <c r="K673" s="46">
        <v>13500</v>
      </c>
      <c r="L673" s="48" t="s">
        <v>89</v>
      </c>
    </row>
    <row r="674" spans="2:12" x14ac:dyDescent="0.25">
      <c r="B674" s="49" t="s">
        <v>1052</v>
      </c>
      <c r="C674" s="49" t="s">
        <v>27</v>
      </c>
      <c r="D674" s="58">
        <v>45801</v>
      </c>
      <c r="E674" s="51" t="s">
        <v>22</v>
      </c>
      <c r="F674" s="50" t="s">
        <v>52</v>
      </c>
      <c r="G674" s="52" t="s">
        <v>61</v>
      </c>
      <c r="H674" s="53">
        <v>5</v>
      </c>
      <c r="I674" s="54">
        <v>199</v>
      </c>
      <c r="J674" s="54">
        <v>68.03</v>
      </c>
      <c r="K674" s="54">
        <v>926.97</v>
      </c>
      <c r="L674" s="56" t="s">
        <v>25</v>
      </c>
    </row>
    <row r="675" spans="2:12" x14ac:dyDescent="0.25">
      <c r="B675" s="42" t="s">
        <v>1053</v>
      </c>
      <c r="C675" s="42" t="s">
        <v>41</v>
      </c>
      <c r="D675" s="57">
        <v>46040</v>
      </c>
      <c r="E675" s="44" t="s">
        <v>22</v>
      </c>
      <c r="F675" s="43" t="s">
        <v>16</v>
      </c>
      <c r="G675" s="42" t="s">
        <v>103</v>
      </c>
      <c r="H675" s="45">
        <v>4</v>
      </c>
      <c r="I675" s="46">
        <v>89</v>
      </c>
      <c r="J675" s="46">
        <v>3.15</v>
      </c>
      <c r="K675" s="46">
        <v>352.85</v>
      </c>
      <c r="L675" s="48" t="s">
        <v>25</v>
      </c>
    </row>
    <row r="676" spans="2:12" x14ac:dyDescent="0.25">
      <c r="B676" s="49" t="s">
        <v>1055</v>
      </c>
      <c r="C676" s="49" t="s">
        <v>110</v>
      </c>
      <c r="D676" s="58">
        <v>45970</v>
      </c>
      <c r="E676" s="51" t="s">
        <v>15</v>
      </c>
      <c r="F676" s="50" t="s">
        <v>30</v>
      </c>
      <c r="G676" s="52" t="s">
        <v>31</v>
      </c>
      <c r="H676" s="53">
        <v>4</v>
      </c>
      <c r="I676" s="54">
        <v>2500</v>
      </c>
      <c r="J676" s="54">
        <v>0</v>
      </c>
      <c r="K676" s="54">
        <v>10000</v>
      </c>
      <c r="L676" s="56" t="s">
        <v>89</v>
      </c>
    </row>
    <row r="677" spans="2:12" x14ac:dyDescent="0.25">
      <c r="B677" s="42" t="s">
        <v>1057</v>
      </c>
      <c r="C677" s="42" t="s">
        <v>63</v>
      </c>
      <c r="D677" s="57">
        <v>45824</v>
      </c>
      <c r="E677" s="44" t="s">
        <v>22</v>
      </c>
      <c r="F677" s="43" t="s">
        <v>30</v>
      </c>
      <c r="G677" s="42" t="s">
        <v>106</v>
      </c>
      <c r="H677" s="45">
        <v>5</v>
      </c>
      <c r="I677" s="46">
        <v>299</v>
      </c>
      <c r="J677" s="46">
        <v>0</v>
      </c>
      <c r="K677" s="46">
        <v>1495</v>
      </c>
      <c r="L677" s="48" t="s">
        <v>32</v>
      </c>
    </row>
    <row r="678" spans="2:12" x14ac:dyDescent="0.25">
      <c r="B678" s="49" t="s">
        <v>1059</v>
      </c>
      <c r="C678" s="49" t="s">
        <v>13</v>
      </c>
      <c r="D678" s="58">
        <v>45889</v>
      </c>
      <c r="E678" s="51" t="s">
        <v>29</v>
      </c>
      <c r="F678" s="50" t="s">
        <v>52</v>
      </c>
      <c r="G678" s="52" t="s">
        <v>99</v>
      </c>
      <c r="H678" s="53">
        <v>2</v>
      </c>
      <c r="I678" s="54">
        <v>79</v>
      </c>
      <c r="J678" s="54">
        <v>0</v>
      </c>
      <c r="K678" s="54">
        <v>158</v>
      </c>
      <c r="L678" s="56" t="s">
        <v>25</v>
      </c>
    </row>
    <row r="679" spans="2:12" x14ac:dyDescent="0.25">
      <c r="B679" s="42" t="s">
        <v>1061</v>
      </c>
      <c r="C679" s="42" t="s">
        <v>20</v>
      </c>
      <c r="D679" s="57">
        <v>45771</v>
      </c>
      <c r="E679" s="44" t="s">
        <v>15</v>
      </c>
      <c r="F679" s="43" t="s">
        <v>52</v>
      </c>
      <c r="G679" s="42" t="s">
        <v>99</v>
      </c>
      <c r="H679" s="45">
        <v>3</v>
      </c>
      <c r="I679" s="46">
        <v>79</v>
      </c>
      <c r="J679" s="46">
        <v>18.45</v>
      </c>
      <c r="K679" s="46">
        <v>218.55</v>
      </c>
      <c r="L679" s="48" t="s">
        <v>69</v>
      </c>
    </row>
    <row r="680" spans="2:12" x14ac:dyDescent="0.25">
      <c r="B680" s="49" t="s">
        <v>1062</v>
      </c>
      <c r="C680" s="49" t="s">
        <v>20</v>
      </c>
      <c r="D680" s="58">
        <v>45924</v>
      </c>
      <c r="E680" s="51" t="s">
        <v>22</v>
      </c>
      <c r="F680" s="50" t="s">
        <v>30</v>
      </c>
      <c r="G680" s="52" t="s">
        <v>106</v>
      </c>
      <c r="H680" s="53">
        <v>1</v>
      </c>
      <c r="I680" s="54">
        <v>299</v>
      </c>
      <c r="J680" s="54">
        <v>2.25</v>
      </c>
      <c r="K680" s="54">
        <v>296.75</v>
      </c>
      <c r="L680" s="56" t="s">
        <v>32</v>
      </c>
    </row>
    <row r="681" spans="2:12" x14ac:dyDescent="0.25">
      <c r="B681" s="42" t="s">
        <v>1063</v>
      </c>
      <c r="C681" s="42" t="s">
        <v>55</v>
      </c>
      <c r="D681" s="57">
        <v>46022</v>
      </c>
      <c r="E681" s="44" t="s">
        <v>15</v>
      </c>
      <c r="F681" s="43" t="s">
        <v>52</v>
      </c>
      <c r="G681" s="42" t="s">
        <v>99</v>
      </c>
      <c r="H681" s="45">
        <v>2</v>
      </c>
      <c r="I681" s="46">
        <v>79</v>
      </c>
      <c r="J681" s="46">
        <v>0</v>
      </c>
      <c r="K681" s="46">
        <v>158</v>
      </c>
      <c r="L681" s="48" t="s">
        <v>49</v>
      </c>
    </row>
    <row r="682" spans="2:12" x14ac:dyDescent="0.25">
      <c r="B682" s="49" t="s">
        <v>1064</v>
      </c>
      <c r="C682" s="49" t="s">
        <v>13</v>
      </c>
      <c r="D682" s="58">
        <v>45940</v>
      </c>
      <c r="E682" s="51" t="s">
        <v>39</v>
      </c>
      <c r="F682" s="50" t="s">
        <v>16</v>
      </c>
      <c r="G682" s="52" t="s">
        <v>17</v>
      </c>
      <c r="H682" s="53">
        <v>2</v>
      </c>
      <c r="I682" s="54">
        <v>39</v>
      </c>
      <c r="J682" s="54">
        <v>2.83</v>
      </c>
      <c r="K682" s="54">
        <v>75.17</v>
      </c>
      <c r="L682" s="56" t="s">
        <v>89</v>
      </c>
    </row>
    <row r="683" spans="2:12" x14ac:dyDescent="0.25">
      <c r="B683" s="42" t="s">
        <v>1065</v>
      </c>
      <c r="C683" s="42" t="s">
        <v>13</v>
      </c>
      <c r="D683" s="57">
        <v>45687</v>
      </c>
      <c r="E683" s="44" t="s">
        <v>39</v>
      </c>
      <c r="F683" s="43" t="s">
        <v>16</v>
      </c>
      <c r="G683" s="42" t="s">
        <v>116</v>
      </c>
      <c r="H683" s="45">
        <v>3</v>
      </c>
      <c r="I683" s="46">
        <v>45</v>
      </c>
      <c r="J683" s="46">
        <v>4.5599999999999996</v>
      </c>
      <c r="K683" s="46">
        <v>130.44</v>
      </c>
      <c r="L683" s="48" t="s">
        <v>44</v>
      </c>
    </row>
    <row r="684" spans="2:12" x14ac:dyDescent="0.25">
      <c r="B684" s="49" t="s">
        <v>1067</v>
      </c>
      <c r="C684" s="49" t="s">
        <v>110</v>
      </c>
      <c r="D684" s="58">
        <v>46005</v>
      </c>
      <c r="E684" s="51" t="s">
        <v>29</v>
      </c>
      <c r="F684" s="50" t="s">
        <v>16</v>
      </c>
      <c r="G684" s="52" t="s">
        <v>17</v>
      </c>
      <c r="H684" s="53">
        <v>2</v>
      </c>
      <c r="I684" s="54">
        <v>39</v>
      </c>
      <c r="J684" s="54">
        <v>9.0299999999999994</v>
      </c>
      <c r="K684" s="54">
        <v>68.97</v>
      </c>
      <c r="L684" s="56" t="s">
        <v>32</v>
      </c>
    </row>
    <row r="685" spans="2:12" x14ac:dyDescent="0.25">
      <c r="B685" s="42" t="s">
        <v>1068</v>
      </c>
      <c r="C685" s="42" t="s">
        <v>63</v>
      </c>
      <c r="D685" s="57">
        <v>45725</v>
      </c>
      <c r="E685" s="44" t="s">
        <v>15</v>
      </c>
      <c r="F685" s="43" t="s">
        <v>30</v>
      </c>
      <c r="G685" s="42" t="s">
        <v>68</v>
      </c>
      <c r="H685" s="45">
        <v>2</v>
      </c>
      <c r="I685" s="46">
        <v>799</v>
      </c>
      <c r="J685" s="46">
        <v>0</v>
      </c>
      <c r="K685" s="46">
        <v>1598</v>
      </c>
      <c r="L685" s="48" t="s">
        <v>18</v>
      </c>
    </row>
    <row r="686" spans="2:12" x14ac:dyDescent="0.25">
      <c r="B686" s="49" t="s">
        <v>1069</v>
      </c>
      <c r="C686" s="49" t="s">
        <v>55</v>
      </c>
      <c r="D686" s="58">
        <v>45939</v>
      </c>
      <c r="E686" s="51" t="s">
        <v>39</v>
      </c>
      <c r="F686" s="50" t="s">
        <v>52</v>
      </c>
      <c r="G686" s="52" t="s">
        <v>61</v>
      </c>
      <c r="H686" s="53">
        <v>3</v>
      </c>
      <c r="I686" s="54">
        <v>199</v>
      </c>
      <c r="J686" s="54">
        <v>71.75</v>
      </c>
      <c r="K686" s="54">
        <v>525.25</v>
      </c>
      <c r="L686" s="56" t="s">
        <v>89</v>
      </c>
    </row>
    <row r="687" spans="2:12" x14ac:dyDescent="0.25">
      <c r="B687" s="42" t="s">
        <v>1070</v>
      </c>
      <c r="C687" s="42" t="s">
        <v>95</v>
      </c>
      <c r="D687" s="57">
        <v>45743</v>
      </c>
      <c r="E687" s="44" t="s">
        <v>15</v>
      </c>
      <c r="F687" s="43" t="s">
        <v>16</v>
      </c>
      <c r="G687" s="42" t="s">
        <v>116</v>
      </c>
      <c r="H687" s="45">
        <v>3</v>
      </c>
      <c r="I687" s="46">
        <v>45</v>
      </c>
      <c r="J687" s="46">
        <v>0</v>
      </c>
      <c r="K687" s="46">
        <v>135</v>
      </c>
      <c r="L687" s="48" t="s">
        <v>69</v>
      </c>
    </row>
    <row r="688" spans="2:12" x14ac:dyDescent="0.25">
      <c r="B688" s="49" t="s">
        <v>1071</v>
      </c>
      <c r="C688" s="49" t="s">
        <v>71</v>
      </c>
      <c r="D688" s="58">
        <v>45733</v>
      </c>
      <c r="E688" s="51" t="s">
        <v>47</v>
      </c>
      <c r="F688" s="50" t="s">
        <v>52</v>
      </c>
      <c r="G688" s="52" t="s">
        <v>75</v>
      </c>
      <c r="H688" s="53">
        <v>5</v>
      </c>
      <c r="I688" s="54">
        <v>249</v>
      </c>
      <c r="J688" s="54">
        <v>0</v>
      </c>
      <c r="K688" s="54">
        <v>1245</v>
      </c>
      <c r="L688" s="56" t="s">
        <v>49</v>
      </c>
    </row>
    <row r="689" spans="2:12" x14ac:dyDescent="0.25">
      <c r="B689" s="42" t="s">
        <v>1073</v>
      </c>
      <c r="C689" s="42" t="s">
        <v>63</v>
      </c>
      <c r="D689" s="57">
        <v>45978</v>
      </c>
      <c r="E689" s="44" t="s">
        <v>29</v>
      </c>
      <c r="F689" s="43" t="s">
        <v>52</v>
      </c>
      <c r="G689" s="42" t="s">
        <v>75</v>
      </c>
      <c r="H689" s="45">
        <v>2</v>
      </c>
      <c r="I689" s="46">
        <v>249</v>
      </c>
      <c r="J689" s="46">
        <v>64.17</v>
      </c>
      <c r="K689" s="46">
        <v>433.83</v>
      </c>
      <c r="L689" s="48" t="s">
        <v>89</v>
      </c>
    </row>
    <row r="690" spans="2:12" x14ac:dyDescent="0.25">
      <c r="B690" s="49" t="s">
        <v>1075</v>
      </c>
      <c r="C690" s="49" t="s">
        <v>71</v>
      </c>
      <c r="D690" s="58">
        <v>45929</v>
      </c>
      <c r="E690" s="51" t="s">
        <v>22</v>
      </c>
      <c r="F690" s="50" t="s">
        <v>23</v>
      </c>
      <c r="G690" s="52" t="s">
        <v>24</v>
      </c>
      <c r="H690" s="53">
        <v>5</v>
      </c>
      <c r="I690" s="54">
        <v>180</v>
      </c>
      <c r="J690" s="54">
        <v>0</v>
      </c>
      <c r="K690" s="54">
        <v>900</v>
      </c>
      <c r="L690" s="56" t="s">
        <v>69</v>
      </c>
    </row>
    <row r="691" spans="2:12" x14ac:dyDescent="0.25">
      <c r="B691" s="42" t="s">
        <v>1077</v>
      </c>
      <c r="C691" s="42" t="s">
        <v>95</v>
      </c>
      <c r="D691" s="57">
        <v>46022</v>
      </c>
      <c r="E691" s="44" t="s">
        <v>15</v>
      </c>
      <c r="F691" s="43" t="s">
        <v>16</v>
      </c>
      <c r="G691" s="42" t="s">
        <v>103</v>
      </c>
      <c r="H691" s="45">
        <v>3</v>
      </c>
      <c r="I691" s="46">
        <v>89</v>
      </c>
      <c r="J691" s="46">
        <v>0</v>
      </c>
      <c r="K691" s="46">
        <v>267</v>
      </c>
      <c r="L691" s="48" t="s">
        <v>65</v>
      </c>
    </row>
    <row r="692" spans="2:12" x14ac:dyDescent="0.25">
      <c r="B692" s="49" t="s">
        <v>1078</v>
      </c>
      <c r="C692" s="49" t="s">
        <v>27</v>
      </c>
      <c r="D692" s="58">
        <v>45659</v>
      </c>
      <c r="E692" s="51" t="s">
        <v>22</v>
      </c>
      <c r="F692" s="50" t="s">
        <v>30</v>
      </c>
      <c r="G692" s="52" t="s">
        <v>106</v>
      </c>
      <c r="H692" s="53">
        <v>2</v>
      </c>
      <c r="I692" s="54">
        <v>299</v>
      </c>
      <c r="J692" s="54">
        <v>0</v>
      </c>
      <c r="K692" s="54">
        <v>598</v>
      </c>
      <c r="L692" s="56" t="s">
        <v>32</v>
      </c>
    </row>
    <row r="693" spans="2:12" x14ac:dyDescent="0.25">
      <c r="B693" s="42" t="s">
        <v>1079</v>
      </c>
      <c r="C693" s="42" t="s">
        <v>37</v>
      </c>
      <c r="D693" s="57">
        <v>45976</v>
      </c>
      <c r="E693" s="44" t="s">
        <v>15</v>
      </c>
      <c r="F693" s="43" t="s">
        <v>23</v>
      </c>
      <c r="G693" s="42" t="s">
        <v>43</v>
      </c>
      <c r="H693" s="45">
        <v>2</v>
      </c>
      <c r="I693" s="46">
        <v>350</v>
      </c>
      <c r="J693" s="46">
        <v>0</v>
      </c>
      <c r="K693" s="46">
        <v>700</v>
      </c>
      <c r="L693" s="48" t="s">
        <v>25</v>
      </c>
    </row>
    <row r="694" spans="2:12" x14ac:dyDescent="0.25">
      <c r="B694" s="49" t="s">
        <v>1080</v>
      </c>
      <c r="C694" s="49" t="s">
        <v>55</v>
      </c>
      <c r="D694" s="58">
        <v>45789</v>
      </c>
      <c r="E694" s="51" t="s">
        <v>39</v>
      </c>
      <c r="F694" s="50" t="s">
        <v>23</v>
      </c>
      <c r="G694" s="52" t="s">
        <v>88</v>
      </c>
      <c r="H694" s="53">
        <v>1</v>
      </c>
      <c r="I694" s="54">
        <v>650</v>
      </c>
      <c r="J694" s="54">
        <v>85.71</v>
      </c>
      <c r="K694" s="54">
        <v>564.29</v>
      </c>
      <c r="L694" s="56" t="s">
        <v>25</v>
      </c>
    </row>
    <row r="695" spans="2:12" x14ac:dyDescent="0.25">
      <c r="B695" s="42" t="s">
        <v>1082</v>
      </c>
      <c r="C695" s="42" t="s">
        <v>13</v>
      </c>
      <c r="D695" s="57">
        <v>45818</v>
      </c>
      <c r="E695" s="44" t="s">
        <v>22</v>
      </c>
      <c r="F695" s="43" t="s">
        <v>30</v>
      </c>
      <c r="G695" s="42" t="s">
        <v>106</v>
      </c>
      <c r="H695" s="45">
        <v>5</v>
      </c>
      <c r="I695" s="46">
        <v>299</v>
      </c>
      <c r="J695" s="46">
        <v>40.08</v>
      </c>
      <c r="K695" s="46">
        <v>1454.92</v>
      </c>
      <c r="L695" s="48" t="s">
        <v>18</v>
      </c>
    </row>
    <row r="696" spans="2:12" x14ac:dyDescent="0.25">
      <c r="B696" s="49" t="s">
        <v>1083</v>
      </c>
      <c r="C696" s="49" t="s">
        <v>34</v>
      </c>
      <c r="D696" s="58">
        <v>45988</v>
      </c>
      <c r="E696" s="51" t="s">
        <v>29</v>
      </c>
      <c r="F696" s="50" t="s">
        <v>16</v>
      </c>
      <c r="G696" s="52" t="s">
        <v>78</v>
      </c>
      <c r="H696" s="53">
        <v>2</v>
      </c>
      <c r="I696" s="54">
        <v>59</v>
      </c>
      <c r="J696" s="54">
        <v>0</v>
      </c>
      <c r="K696" s="54">
        <v>118</v>
      </c>
      <c r="L696" s="56" t="s">
        <v>49</v>
      </c>
    </row>
    <row r="697" spans="2:12" x14ac:dyDescent="0.25">
      <c r="B697" s="42" t="s">
        <v>1085</v>
      </c>
      <c r="C697" s="42" t="s">
        <v>37</v>
      </c>
      <c r="D697" s="57">
        <v>45912</v>
      </c>
      <c r="E697" s="44" t="s">
        <v>29</v>
      </c>
      <c r="F697" s="43" t="s">
        <v>52</v>
      </c>
      <c r="G697" s="42" t="s">
        <v>99</v>
      </c>
      <c r="H697" s="45">
        <v>5</v>
      </c>
      <c r="I697" s="46">
        <v>79</v>
      </c>
      <c r="J697" s="46">
        <v>49.37</v>
      </c>
      <c r="K697" s="46">
        <v>345.63</v>
      </c>
      <c r="L697" s="48" t="s">
        <v>25</v>
      </c>
    </row>
    <row r="698" spans="2:12" x14ac:dyDescent="0.25">
      <c r="B698" s="49" t="s">
        <v>1086</v>
      </c>
      <c r="C698" s="49" t="s">
        <v>95</v>
      </c>
      <c r="D698" s="58">
        <v>45850</v>
      </c>
      <c r="E698" s="51" t="s">
        <v>39</v>
      </c>
      <c r="F698" s="50" t="s">
        <v>30</v>
      </c>
      <c r="G698" s="52" t="s">
        <v>106</v>
      </c>
      <c r="H698" s="53">
        <v>3</v>
      </c>
      <c r="I698" s="54">
        <v>299</v>
      </c>
      <c r="J698" s="54">
        <v>0</v>
      </c>
      <c r="K698" s="54">
        <v>897</v>
      </c>
      <c r="L698" s="56" t="s">
        <v>25</v>
      </c>
    </row>
    <row r="699" spans="2:12" x14ac:dyDescent="0.25">
      <c r="B699" s="42" t="s">
        <v>1087</v>
      </c>
      <c r="C699" s="42" t="s">
        <v>41</v>
      </c>
      <c r="D699" s="57">
        <v>45962</v>
      </c>
      <c r="E699" s="44" t="s">
        <v>22</v>
      </c>
      <c r="F699" s="43" t="s">
        <v>52</v>
      </c>
      <c r="G699" s="42" t="s">
        <v>99</v>
      </c>
      <c r="H699" s="45">
        <v>3</v>
      </c>
      <c r="I699" s="46">
        <v>79</v>
      </c>
      <c r="J699" s="46">
        <v>0</v>
      </c>
      <c r="K699" s="46">
        <v>237</v>
      </c>
      <c r="L699" s="48" t="s">
        <v>49</v>
      </c>
    </row>
    <row r="700" spans="2:12" x14ac:dyDescent="0.25">
      <c r="B700" s="49" t="s">
        <v>1088</v>
      </c>
      <c r="C700" s="49" t="s">
        <v>55</v>
      </c>
      <c r="D700" s="58">
        <v>45824</v>
      </c>
      <c r="E700" s="51" t="s">
        <v>39</v>
      </c>
      <c r="F700" s="50" t="s">
        <v>52</v>
      </c>
      <c r="G700" s="52" t="s">
        <v>75</v>
      </c>
      <c r="H700" s="53">
        <v>5</v>
      </c>
      <c r="I700" s="54">
        <v>249</v>
      </c>
      <c r="J700" s="54">
        <v>0</v>
      </c>
      <c r="K700" s="54">
        <v>1245</v>
      </c>
      <c r="L700" s="56" t="s">
        <v>69</v>
      </c>
    </row>
    <row r="701" spans="2:12" x14ac:dyDescent="0.25">
      <c r="B701" s="42" t="s">
        <v>1089</v>
      </c>
      <c r="C701" s="42" t="s">
        <v>27</v>
      </c>
      <c r="D701" s="57">
        <v>45866</v>
      </c>
      <c r="E701" s="44" t="s">
        <v>29</v>
      </c>
      <c r="F701" s="43" t="s">
        <v>16</v>
      </c>
      <c r="G701" s="42" t="s">
        <v>103</v>
      </c>
      <c r="H701" s="45">
        <v>5</v>
      </c>
      <c r="I701" s="46">
        <v>89</v>
      </c>
      <c r="J701" s="46">
        <v>60.73</v>
      </c>
      <c r="K701" s="46">
        <v>384.27</v>
      </c>
      <c r="L701" s="48" t="s">
        <v>65</v>
      </c>
    </row>
    <row r="702" spans="2:12" x14ac:dyDescent="0.25">
      <c r="B702" s="49" t="s">
        <v>1091</v>
      </c>
      <c r="C702" s="49" t="s">
        <v>95</v>
      </c>
      <c r="D702" s="58">
        <v>45707</v>
      </c>
      <c r="E702" s="51" t="s">
        <v>39</v>
      </c>
      <c r="F702" s="50" t="s">
        <v>23</v>
      </c>
      <c r="G702" s="52" t="s">
        <v>48</v>
      </c>
      <c r="H702" s="53">
        <v>4</v>
      </c>
      <c r="I702" s="54">
        <v>450</v>
      </c>
      <c r="J702" s="54">
        <v>0</v>
      </c>
      <c r="K702" s="54">
        <v>1800</v>
      </c>
      <c r="L702" s="56" t="s">
        <v>25</v>
      </c>
    </row>
    <row r="703" spans="2:12" x14ac:dyDescent="0.25">
      <c r="B703" s="42" t="s">
        <v>1092</v>
      </c>
      <c r="C703" s="42" t="s">
        <v>20</v>
      </c>
      <c r="D703" s="57">
        <v>45894</v>
      </c>
      <c r="E703" s="44" t="s">
        <v>39</v>
      </c>
      <c r="F703" s="43" t="s">
        <v>23</v>
      </c>
      <c r="G703" s="42" t="s">
        <v>88</v>
      </c>
      <c r="H703" s="45">
        <v>2</v>
      </c>
      <c r="I703" s="46">
        <v>650</v>
      </c>
      <c r="J703" s="46">
        <v>135.86000000000001</v>
      </c>
      <c r="K703" s="46">
        <v>1164.1399999999999</v>
      </c>
      <c r="L703" s="48" t="s">
        <v>89</v>
      </c>
    </row>
    <row r="704" spans="2:12" x14ac:dyDescent="0.25">
      <c r="B704" s="49" t="s">
        <v>1093</v>
      </c>
      <c r="C704" s="49" t="s">
        <v>110</v>
      </c>
      <c r="D704" s="58">
        <v>45958</v>
      </c>
      <c r="E704" s="51" t="s">
        <v>39</v>
      </c>
      <c r="F704" s="50" t="s">
        <v>30</v>
      </c>
      <c r="G704" s="52" t="s">
        <v>106</v>
      </c>
      <c r="H704" s="53">
        <v>2</v>
      </c>
      <c r="I704" s="54">
        <v>299</v>
      </c>
      <c r="J704" s="54">
        <v>0</v>
      </c>
      <c r="K704" s="54">
        <v>598</v>
      </c>
      <c r="L704" s="56" t="s">
        <v>49</v>
      </c>
    </row>
    <row r="705" spans="2:12" x14ac:dyDescent="0.25">
      <c r="B705" s="42" t="s">
        <v>1095</v>
      </c>
      <c r="C705" s="42" t="s">
        <v>27</v>
      </c>
      <c r="D705" s="57">
        <v>46006</v>
      </c>
      <c r="E705" s="44" t="s">
        <v>22</v>
      </c>
      <c r="F705" s="43" t="s">
        <v>52</v>
      </c>
      <c r="G705" s="42" t="s">
        <v>75</v>
      </c>
      <c r="H705" s="45">
        <v>1</v>
      </c>
      <c r="I705" s="46">
        <v>249</v>
      </c>
      <c r="J705" s="46">
        <v>26.23</v>
      </c>
      <c r="K705" s="46">
        <v>222.77</v>
      </c>
      <c r="L705" s="48" t="s">
        <v>32</v>
      </c>
    </row>
    <row r="706" spans="2:12" x14ac:dyDescent="0.25">
      <c r="B706" s="49" t="s">
        <v>1096</v>
      </c>
      <c r="C706" s="49" t="s">
        <v>34</v>
      </c>
      <c r="D706" s="58">
        <v>45730</v>
      </c>
      <c r="E706" s="51" t="s">
        <v>22</v>
      </c>
      <c r="F706" s="50" t="s">
        <v>23</v>
      </c>
      <c r="G706" s="52" t="s">
        <v>43</v>
      </c>
      <c r="H706" s="53">
        <v>5</v>
      </c>
      <c r="I706" s="54">
        <v>350</v>
      </c>
      <c r="J706" s="54">
        <v>195.27</v>
      </c>
      <c r="K706" s="54">
        <v>1554.73</v>
      </c>
      <c r="L706" s="56" t="s">
        <v>49</v>
      </c>
    </row>
    <row r="707" spans="2:12" x14ac:dyDescent="0.25">
      <c r="B707" s="42" t="s">
        <v>1097</v>
      </c>
      <c r="C707" s="42" t="s">
        <v>110</v>
      </c>
      <c r="D707" s="57">
        <v>46016</v>
      </c>
      <c r="E707" s="44" t="s">
        <v>29</v>
      </c>
      <c r="F707" s="43" t="s">
        <v>30</v>
      </c>
      <c r="G707" s="42" t="s">
        <v>31</v>
      </c>
      <c r="H707" s="45">
        <v>1</v>
      </c>
      <c r="I707" s="46">
        <v>2500</v>
      </c>
      <c r="J707" s="46">
        <v>0</v>
      </c>
      <c r="K707" s="46">
        <v>2500</v>
      </c>
      <c r="L707" s="48" t="s">
        <v>32</v>
      </c>
    </row>
    <row r="708" spans="2:12" x14ac:dyDescent="0.25">
      <c r="B708" s="49" t="s">
        <v>1098</v>
      </c>
      <c r="C708" s="49" t="s">
        <v>27</v>
      </c>
      <c r="D708" s="58">
        <v>45773</v>
      </c>
      <c r="E708" s="51" t="s">
        <v>15</v>
      </c>
      <c r="F708" s="50" t="s">
        <v>23</v>
      </c>
      <c r="G708" s="52" t="s">
        <v>43</v>
      </c>
      <c r="H708" s="53">
        <v>4</v>
      </c>
      <c r="I708" s="54">
        <v>350</v>
      </c>
      <c r="J708" s="54">
        <v>54.94</v>
      </c>
      <c r="K708" s="54">
        <v>1345.06</v>
      </c>
      <c r="L708" s="56" t="s">
        <v>89</v>
      </c>
    </row>
    <row r="709" spans="2:12" x14ac:dyDescent="0.25">
      <c r="B709" s="42" t="s">
        <v>1099</v>
      </c>
      <c r="C709" s="42" t="s">
        <v>41</v>
      </c>
      <c r="D709" s="57">
        <v>45760</v>
      </c>
      <c r="E709" s="44" t="s">
        <v>15</v>
      </c>
      <c r="F709" s="43" t="s">
        <v>23</v>
      </c>
      <c r="G709" s="42" t="s">
        <v>43</v>
      </c>
      <c r="H709" s="45">
        <v>2</v>
      </c>
      <c r="I709" s="46">
        <v>350</v>
      </c>
      <c r="J709" s="46">
        <v>13.93</v>
      </c>
      <c r="K709" s="46">
        <v>686.07</v>
      </c>
      <c r="L709" s="48" t="s">
        <v>25</v>
      </c>
    </row>
    <row r="710" spans="2:12" x14ac:dyDescent="0.25">
      <c r="B710" s="49" t="s">
        <v>1100</v>
      </c>
      <c r="C710" s="49" t="s">
        <v>34</v>
      </c>
      <c r="D710" s="58">
        <v>45711</v>
      </c>
      <c r="E710" s="51" t="s">
        <v>15</v>
      </c>
      <c r="F710" s="50" t="s">
        <v>30</v>
      </c>
      <c r="G710" s="52" t="s">
        <v>68</v>
      </c>
      <c r="H710" s="53">
        <v>3</v>
      </c>
      <c r="I710" s="54">
        <v>799</v>
      </c>
      <c r="J710" s="54">
        <v>0</v>
      </c>
      <c r="K710" s="54">
        <v>2397</v>
      </c>
      <c r="L710" s="56" t="s">
        <v>65</v>
      </c>
    </row>
    <row r="711" spans="2:12" x14ac:dyDescent="0.25">
      <c r="B711" s="42" t="s">
        <v>1102</v>
      </c>
      <c r="C711" s="42" t="s">
        <v>34</v>
      </c>
      <c r="D711" s="57">
        <v>45908</v>
      </c>
      <c r="E711" s="44" t="s">
        <v>15</v>
      </c>
      <c r="F711" s="43" t="s">
        <v>30</v>
      </c>
      <c r="G711" s="42" t="s">
        <v>68</v>
      </c>
      <c r="H711" s="45">
        <v>1</v>
      </c>
      <c r="I711" s="46">
        <v>799</v>
      </c>
      <c r="J711" s="46">
        <v>50.98</v>
      </c>
      <c r="K711" s="46">
        <v>748.02</v>
      </c>
      <c r="L711" s="48" t="s">
        <v>69</v>
      </c>
    </row>
    <row r="712" spans="2:12" x14ac:dyDescent="0.25">
      <c r="B712" s="49" t="s">
        <v>1103</v>
      </c>
      <c r="C712" s="49" t="s">
        <v>110</v>
      </c>
      <c r="D712" s="58">
        <v>46038</v>
      </c>
      <c r="E712" s="51" t="s">
        <v>15</v>
      </c>
      <c r="F712" s="50" t="s">
        <v>30</v>
      </c>
      <c r="G712" s="52" t="s">
        <v>106</v>
      </c>
      <c r="H712" s="53">
        <v>4</v>
      </c>
      <c r="I712" s="54">
        <v>299</v>
      </c>
      <c r="J712" s="54">
        <v>0</v>
      </c>
      <c r="K712" s="54">
        <v>1196</v>
      </c>
      <c r="L712" s="56" t="s">
        <v>32</v>
      </c>
    </row>
    <row r="713" spans="2:12" x14ac:dyDescent="0.25">
      <c r="B713" s="42" t="s">
        <v>1104</v>
      </c>
      <c r="C713" s="42" t="s">
        <v>63</v>
      </c>
      <c r="D713" s="57">
        <v>45902</v>
      </c>
      <c r="E713" s="44" t="s">
        <v>22</v>
      </c>
      <c r="F713" s="43" t="s">
        <v>23</v>
      </c>
      <c r="G713" s="42" t="s">
        <v>43</v>
      </c>
      <c r="H713" s="45">
        <v>2</v>
      </c>
      <c r="I713" s="46">
        <v>350</v>
      </c>
      <c r="J713" s="46">
        <v>37.89</v>
      </c>
      <c r="K713" s="46">
        <v>662.11</v>
      </c>
      <c r="L713" s="48" t="s">
        <v>25</v>
      </c>
    </row>
    <row r="714" spans="2:12" x14ac:dyDescent="0.25">
      <c r="B714" s="49" t="s">
        <v>1105</v>
      </c>
      <c r="C714" s="49" t="s">
        <v>101</v>
      </c>
      <c r="D714" s="58">
        <v>45912</v>
      </c>
      <c r="E714" s="51" t="s">
        <v>29</v>
      </c>
      <c r="F714" s="50" t="s">
        <v>23</v>
      </c>
      <c r="G714" s="52" t="s">
        <v>48</v>
      </c>
      <c r="H714" s="53">
        <v>1</v>
      </c>
      <c r="I714" s="54">
        <v>450</v>
      </c>
      <c r="J714" s="54">
        <v>9.99</v>
      </c>
      <c r="K714" s="54">
        <v>440.01</v>
      </c>
      <c r="L714" s="56" t="s">
        <v>25</v>
      </c>
    </row>
    <row r="715" spans="2:12" x14ac:dyDescent="0.25">
      <c r="B715" s="42" t="s">
        <v>1106</v>
      </c>
      <c r="C715" s="42" t="s">
        <v>37</v>
      </c>
      <c r="D715" s="57">
        <v>45946</v>
      </c>
      <c r="E715" s="44" t="s">
        <v>22</v>
      </c>
      <c r="F715" s="43" t="s">
        <v>23</v>
      </c>
      <c r="G715" s="42" t="s">
        <v>88</v>
      </c>
      <c r="H715" s="45">
        <v>3</v>
      </c>
      <c r="I715" s="46">
        <v>650</v>
      </c>
      <c r="J715" s="46">
        <v>177.09</v>
      </c>
      <c r="K715" s="46">
        <v>1772.91</v>
      </c>
      <c r="L715" s="48" t="s">
        <v>89</v>
      </c>
    </row>
    <row r="716" spans="2:12" x14ac:dyDescent="0.25">
      <c r="B716" s="49" t="s">
        <v>1107</v>
      </c>
      <c r="C716" s="49" t="s">
        <v>34</v>
      </c>
      <c r="D716" s="58">
        <v>45974</v>
      </c>
      <c r="E716" s="51" t="s">
        <v>22</v>
      </c>
      <c r="F716" s="50" t="s">
        <v>23</v>
      </c>
      <c r="G716" s="52" t="s">
        <v>48</v>
      </c>
      <c r="H716" s="53">
        <v>5</v>
      </c>
      <c r="I716" s="54">
        <v>450</v>
      </c>
      <c r="J716" s="54">
        <v>190.48</v>
      </c>
      <c r="K716" s="54">
        <v>2059.52</v>
      </c>
      <c r="L716" s="56" t="s">
        <v>18</v>
      </c>
    </row>
    <row r="717" spans="2:12" x14ac:dyDescent="0.25">
      <c r="B717" s="42" t="s">
        <v>1108</v>
      </c>
      <c r="C717" s="42" t="s">
        <v>27</v>
      </c>
      <c r="D717" s="57">
        <v>45893</v>
      </c>
      <c r="E717" s="44" t="s">
        <v>29</v>
      </c>
      <c r="F717" s="43" t="s">
        <v>52</v>
      </c>
      <c r="G717" s="42" t="s">
        <v>53</v>
      </c>
      <c r="H717" s="45">
        <v>1</v>
      </c>
      <c r="I717" s="46">
        <v>149</v>
      </c>
      <c r="J717" s="46">
        <v>0</v>
      </c>
      <c r="K717" s="46">
        <v>149</v>
      </c>
      <c r="L717" s="48" t="s">
        <v>18</v>
      </c>
    </row>
    <row r="718" spans="2:12" x14ac:dyDescent="0.25">
      <c r="B718" s="49" t="s">
        <v>1109</v>
      </c>
      <c r="C718" s="49" t="s">
        <v>55</v>
      </c>
      <c r="D718" s="58">
        <v>46058</v>
      </c>
      <c r="E718" s="51" t="s">
        <v>29</v>
      </c>
      <c r="F718" s="50" t="s">
        <v>52</v>
      </c>
      <c r="G718" s="52" t="s">
        <v>53</v>
      </c>
      <c r="H718" s="53">
        <v>2</v>
      </c>
      <c r="I718" s="54">
        <v>149</v>
      </c>
      <c r="J718" s="54">
        <v>0.89</v>
      </c>
      <c r="K718" s="54">
        <v>297.11</v>
      </c>
      <c r="L718" s="56" t="s">
        <v>25</v>
      </c>
    </row>
    <row r="719" spans="2:12" x14ac:dyDescent="0.25">
      <c r="B719" s="42" t="s">
        <v>1110</v>
      </c>
      <c r="C719" s="42" t="s">
        <v>71</v>
      </c>
      <c r="D719" s="57">
        <v>45922</v>
      </c>
      <c r="E719" s="44" t="s">
        <v>15</v>
      </c>
      <c r="F719" s="43" t="s">
        <v>16</v>
      </c>
      <c r="G719" s="42" t="s">
        <v>116</v>
      </c>
      <c r="H719" s="45">
        <v>3</v>
      </c>
      <c r="I719" s="46">
        <v>45</v>
      </c>
      <c r="J719" s="46">
        <v>20.02</v>
      </c>
      <c r="K719" s="46">
        <v>114.98</v>
      </c>
      <c r="L719" s="48" t="s">
        <v>18</v>
      </c>
    </row>
    <row r="720" spans="2:12" x14ac:dyDescent="0.25">
      <c r="B720" s="49" t="s">
        <v>1111</v>
      </c>
      <c r="C720" s="49" t="s">
        <v>37</v>
      </c>
      <c r="D720" s="58">
        <v>46015</v>
      </c>
      <c r="E720" s="51" t="s">
        <v>47</v>
      </c>
      <c r="F720" s="50" t="s">
        <v>30</v>
      </c>
      <c r="G720" s="52" t="s">
        <v>152</v>
      </c>
      <c r="H720" s="53">
        <v>2</v>
      </c>
      <c r="I720" s="54">
        <v>4500</v>
      </c>
      <c r="J720" s="54">
        <v>1208.1099999999999</v>
      </c>
      <c r="K720" s="54">
        <v>7791.89</v>
      </c>
      <c r="L720" s="56" t="s">
        <v>18</v>
      </c>
    </row>
    <row r="721" spans="2:12" x14ac:dyDescent="0.25">
      <c r="B721" s="42" t="s">
        <v>1113</v>
      </c>
      <c r="C721" s="42" t="s">
        <v>27</v>
      </c>
      <c r="D721" s="57">
        <v>45954</v>
      </c>
      <c r="E721" s="44" t="s">
        <v>15</v>
      </c>
      <c r="F721" s="43" t="s">
        <v>30</v>
      </c>
      <c r="G721" s="42" t="s">
        <v>31</v>
      </c>
      <c r="H721" s="45">
        <v>1</v>
      </c>
      <c r="I721" s="46">
        <v>2500</v>
      </c>
      <c r="J721" s="46">
        <v>0</v>
      </c>
      <c r="K721" s="46">
        <v>2500</v>
      </c>
      <c r="L721" s="48" t="s">
        <v>25</v>
      </c>
    </row>
    <row r="722" spans="2:12" x14ac:dyDescent="0.25">
      <c r="B722" s="49" t="s">
        <v>1114</v>
      </c>
      <c r="C722" s="49" t="s">
        <v>1689</v>
      </c>
      <c r="D722" s="58">
        <v>46007</v>
      </c>
      <c r="E722" s="51" t="s">
        <v>39</v>
      </c>
      <c r="F722" s="50" t="s">
        <v>52</v>
      </c>
      <c r="G722" s="52" t="s">
        <v>61</v>
      </c>
      <c r="H722" s="53">
        <v>1</v>
      </c>
      <c r="I722" s="54">
        <v>199</v>
      </c>
      <c r="J722" s="54">
        <v>0</v>
      </c>
      <c r="K722" s="54">
        <v>199</v>
      </c>
      <c r="L722" s="56" t="s">
        <v>32</v>
      </c>
    </row>
    <row r="723" spans="2:12" x14ac:dyDescent="0.25">
      <c r="B723" s="42" t="s">
        <v>1115</v>
      </c>
      <c r="C723" s="42" t="s">
        <v>37</v>
      </c>
      <c r="D723" s="57">
        <v>46020</v>
      </c>
      <c r="E723" s="44" t="s">
        <v>29</v>
      </c>
      <c r="F723" s="43" t="s">
        <v>23</v>
      </c>
      <c r="G723" s="42" t="s">
        <v>43</v>
      </c>
      <c r="H723" s="45">
        <v>2</v>
      </c>
      <c r="I723" s="46">
        <v>350</v>
      </c>
      <c r="J723" s="46">
        <v>94.2</v>
      </c>
      <c r="K723" s="46">
        <v>605.79999999999995</v>
      </c>
      <c r="L723" s="48" t="s">
        <v>69</v>
      </c>
    </row>
    <row r="724" spans="2:12" x14ac:dyDescent="0.25">
      <c r="B724" s="49" t="s">
        <v>1117</v>
      </c>
      <c r="C724" s="49" t="s">
        <v>55</v>
      </c>
      <c r="D724" s="58">
        <v>45778</v>
      </c>
      <c r="E724" s="51" t="s">
        <v>22</v>
      </c>
      <c r="F724" s="50" t="s">
        <v>52</v>
      </c>
      <c r="G724" s="52" t="s">
        <v>75</v>
      </c>
      <c r="H724" s="53">
        <v>2</v>
      </c>
      <c r="I724" s="54">
        <v>249</v>
      </c>
      <c r="J724" s="54">
        <v>0</v>
      </c>
      <c r="K724" s="54">
        <v>498</v>
      </c>
      <c r="L724" s="56" t="s">
        <v>18</v>
      </c>
    </row>
    <row r="725" spans="2:12" x14ac:dyDescent="0.25">
      <c r="B725" s="42" t="s">
        <v>1118</v>
      </c>
      <c r="C725" s="42" t="s">
        <v>13</v>
      </c>
      <c r="D725" s="57">
        <v>45780</v>
      </c>
      <c r="E725" s="44" t="s">
        <v>47</v>
      </c>
      <c r="F725" s="43" t="s">
        <v>52</v>
      </c>
      <c r="G725" s="42" t="s">
        <v>99</v>
      </c>
      <c r="H725" s="45">
        <v>3</v>
      </c>
      <c r="I725" s="46">
        <v>79</v>
      </c>
      <c r="J725" s="46">
        <v>19.510000000000002</v>
      </c>
      <c r="K725" s="46">
        <v>217.49</v>
      </c>
      <c r="L725" s="48" t="s">
        <v>18</v>
      </c>
    </row>
    <row r="726" spans="2:12" x14ac:dyDescent="0.25">
      <c r="B726" s="49" t="s">
        <v>1120</v>
      </c>
      <c r="C726" s="49" t="s">
        <v>63</v>
      </c>
      <c r="D726" s="58">
        <v>45820</v>
      </c>
      <c r="E726" s="51" t="s">
        <v>47</v>
      </c>
      <c r="F726" s="50" t="s">
        <v>16</v>
      </c>
      <c r="G726" s="52" t="s">
        <v>78</v>
      </c>
      <c r="H726" s="53">
        <v>2</v>
      </c>
      <c r="I726" s="54">
        <v>59</v>
      </c>
      <c r="J726" s="54">
        <v>8.92</v>
      </c>
      <c r="K726" s="54">
        <v>109.08</v>
      </c>
      <c r="L726" s="56" t="s">
        <v>89</v>
      </c>
    </row>
    <row r="727" spans="2:12" x14ac:dyDescent="0.25">
      <c r="B727" s="42" t="s">
        <v>1121</v>
      </c>
      <c r="C727" s="42" t="s">
        <v>71</v>
      </c>
      <c r="D727" s="57">
        <v>45758</v>
      </c>
      <c r="E727" s="44" t="s">
        <v>47</v>
      </c>
      <c r="F727" s="43" t="s">
        <v>30</v>
      </c>
      <c r="G727" s="42" t="s">
        <v>68</v>
      </c>
      <c r="H727" s="45">
        <v>4</v>
      </c>
      <c r="I727" s="46">
        <v>799</v>
      </c>
      <c r="J727" s="46">
        <v>0</v>
      </c>
      <c r="K727" s="46">
        <v>3196</v>
      </c>
      <c r="L727" s="48" t="s">
        <v>25</v>
      </c>
    </row>
    <row r="728" spans="2:12" x14ac:dyDescent="0.25">
      <c r="B728" s="49" t="s">
        <v>1123</v>
      </c>
      <c r="C728" s="49" t="s">
        <v>110</v>
      </c>
      <c r="D728" s="58">
        <v>45671</v>
      </c>
      <c r="E728" s="51" t="s">
        <v>29</v>
      </c>
      <c r="F728" s="50" t="s">
        <v>16</v>
      </c>
      <c r="G728" s="52" t="s">
        <v>103</v>
      </c>
      <c r="H728" s="53">
        <v>1</v>
      </c>
      <c r="I728" s="54">
        <v>89</v>
      </c>
      <c r="J728" s="54">
        <v>4.71</v>
      </c>
      <c r="K728" s="54">
        <v>84.29</v>
      </c>
      <c r="L728" s="56" t="s">
        <v>44</v>
      </c>
    </row>
    <row r="729" spans="2:12" x14ac:dyDescent="0.25">
      <c r="B729" s="42" t="s">
        <v>1124</v>
      </c>
      <c r="C729" s="42" t="s">
        <v>101</v>
      </c>
      <c r="D729" s="57">
        <v>45839</v>
      </c>
      <c r="E729" s="44" t="s">
        <v>15</v>
      </c>
      <c r="F729" s="43" t="s">
        <v>23</v>
      </c>
      <c r="G729" s="42" t="s">
        <v>88</v>
      </c>
      <c r="H729" s="45">
        <v>3</v>
      </c>
      <c r="I729" s="46">
        <v>650</v>
      </c>
      <c r="J729" s="46">
        <v>52.82</v>
      </c>
      <c r="K729" s="46">
        <v>1897.18</v>
      </c>
      <c r="L729" s="48" t="s">
        <v>25</v>
      </c>
    </row>
    <row r="730" spans="2:12" x14ac:dyDescent="0.25">
      <c r="B730" s="49" t="s">
        <v>1125</v>
      </c>
      <c r="C730" s="49" t="s">
        <v>71</v>
      </c>
      <c r="D730" s="58">
        <v>46048</v>
      </c>
      <c r="E730" s="51" t="s">
        <v>47</v>
      </c>
      <c r="F730" s="50" t="s">
        <v>52</v>
      </c>
      <c r="G730" s="52" t="s">
        <v>99</v>
      </c>
      <c r="H730" s="53">
        <v>5</v>
      </c>
      <c r="I730" s="54">
        <v>79</v>
      </c>
      <c r="J730" s="54">
        <v>0</v>
      </c>
      <c r="K730" s="54">
        <v>395</v>
      </c>
      <c r="L730" s="56" t="s">
        <v>65</v>
      </c>
    </row>
    <row r="731" spans="2:12" x14ac:dyDescent="0.25">
      <c r="B731" s="42" t="s">
        <v>1126</v>
      </c>
      <c r="C731" s="42" t="s">
        <v>55</v>
      </c>
      <c r="D731" s="57">
        <v>45679</v>
      </c>
      <c r="E731" s="44" t="s">
        <v>39</v>
      </c>
      <c r="F731" s="43" t="s">
        <v>23</v>
      </c>
      <c r="G731" s="42" t="s">
        <v>43</v>
      </c>
      <c r="H731" s="45">
        <v>5</v>
      </c>
      <c r="I731" s="46">
        <v>350</v>
      </c>
      <c r="J731" s="46">
        <v>0</v>
      </c>
      <c r="K731" s="46">
        <v>1750</v>
      </c>
      <c r="L731" s="48" t="s">
        <v>69</v>
      </c>
    </row>
    <row r="732" spans="2:12" x14ac:dyDescent="0.25">
      <c r="B732" s="49" t="s">
        <v>1127</v>
      </c>
      <c r="C732" s="49" t="s">
        <v>110</v>
      </c>
      <c r="D732" s="58">
        <v>46016</v>
      </c>
      <c r="E732" s="51" t="s">
        <v>29</v>
      </c>
      <c r="F732" s="50" t="s">
        <v>16</v>
      </c>
      <c r="G732" s="52" t="s">
        <v>17</v>
      </c>
      <c r="H732" s="53">
        <v>1</v>
      </c>
      <c r="I732" s="54">
        <v>39</v>
      </c>
      <c r="J732" s="54">
        <v>0</v>
      </c>
      <c r="K732" s="54">
        <v>39</v>
      </c>
      <c r="L732" s="56" t="s">
        <v>32</v>
      </c>
    </row>
    <row r="733" spans="2:12" x14ac:dyDescent="0.25">
      <c r="B733" s="42" t="s">
        <v>1128</v>
      </c>
      <c r="C733" s="42" t="s">
        <v>41</v>
      </c>
      <c r="D733" s="57">
        <v>45934</v>
      </c>
      <c r="E733" s="44" t="s">
        <v>39</v>
      </c>
      <c r="F733" s="43" t="s">
        <v>30</v>
      </c>
      <c r="G733" s="42" t="s">
        <v>31</v>
      </c>
      <c r="H733" s="45">
        <v>4</v>
      </c>
      <c r="I733" s="46">
        <v>2500</v>
      </c>
      <c r="J733" s="46">
        <v>1114.42</v>
      </c>
      <c r="K733" s="46">
        <v>8885.58</v>
      </c>
      <c r="L733" s="48" t="s">
        <v>44</v>
      </c>
    </row>
    <row r="734" spans="2:12" x14ac:dyDescent="0.25">
      <c r="B734" s="49" t="s">
        <v>1129</v>
      </c>
      <c r="C734" s="49" t="s">
        <v>101</v>
      </c>
      <c r="D734" s="58">
        <v>46029</v>
      </c>
      <c r="E734" s="51" t="s">
        <v>15</v>
      </c>
      <c r="F734" s="50" t="s">
        <v>52</v>
      </c>
      <c r="G734" s="52" t="s">
        <v>53</v>
      </c>
      <c r="H734" s="53">
        <v>1</v>
      </c>
      <c r="I734" s="54">
        <v>149</v>
      </c>
      <c r="J734" s="54">
        <v>0</v>
      </c>
      <c r="K734" s="54">
        <v>149</v>
      </c>
      <c r="L734" s="56" t="s">
        <v>65</v>
      </c>
    </row>
    <row r="735" spans="2:12" x14ac:dyDescent="0.25">
      <c r="B735" s="42" t="s">
        <v>1130</v>
      </c>
      <c r="C735" s="42" t="s">
        <v>34</v>
      </c>
      <c r="D735" s="57">
        <v>45836</v>
      </c>
      <c r="E735" s="44" t="s">
        <v>39</v>
      </c>
      <c r="F735" s="43" t="s">
        <v>23</v>
      </c>
      <c r="G735" s="42" t="s">
        <v>24</v>
      </c>
      <c r="H735" s="45">
        <v>4</v>
      </c>
      <c r="I735" s="46">
        <v>180</v>
      </c>
      <c r="J735" s="46">
        <v>40.5</v>
      </c>
      <c r="K735" s="46">
        <v>679.5</v>
      </c>
      <c r="L735" s="48" t="s">
        <v>69</v>
      </c>
    </row>
    <row r="736" spans="2:12" x14ac:dyDescent="0.25">
      <c r="B736" s="49" t="s">
        <v>1131</v>
      </c>
      <c r="C736" s="49" t="s">
        <v>63</v>
      </c>
      <c r="D736" s="58">
        <v>45933</v>
      </c>
      <c r="E736" s="51" t="s">
        <v>15</v>
      </c>
      <c r="F736" s="50" t="s">
        <v>52</v>
      </c>
      <c r="G736" s="52" t="s">
        <v>75</v>
      </c>
      <c r="H736" s="53">
        <v>4</v>
      </c>
      <c r="I736" s="54">
        <v>249</v>
      </c>
      <c r="J736" s="54">
        <v>0</v>
      </c>
      <c r="K736" s="54">
        <v>996</v>
      </c>
      <c r="L736" s="56" t="s">
        <v>89</v>
      </c>
    </row>
    <row r="737" spans="2:12" x14ac:dyDescent="0.25">
      <c r="B737" s="42" t="s">
        <v>1133</v>
      </c>
      <c r="C737" s="42" t="s">
        <v>110</v>
      </c>
      <c r="D737" s="57">
        <v>45873</v>
      </c>
      <c r="E737" s="44" t="s">
        <v>29</v>
      </c>
      <c r="F737" s="43" t="s">
        <v>30</v>
      </c>
      <c r="G737" s="42" t="s">
        <v>68</v>
      </c>
      <c r="H737" s="45">
        <v>4</v>
      </c>
      <c r="I737" s="46">
        <v>799</v>
      </c>
      <c r="J737" s="46">
        <v>181.27</v>
      </c>
      <c r="K737" s="46">
        <v>3014.73</v>
      </c>
      <c r="L737" s="48" t="s">
        <v>44</v>
      </c>
    </row>
    <row r="738" spans="2:12" x14ac:dyDescent="0.25">
      <c r="B738" s="49" t="s">
        <v>1134</v>
      </c>
      <c r="C738" s="49" t="s">
        <v>27</v>
      </c>
      <c r="D738" s="58">
        <v>45809</v>
      </c>
      <c r="E738" s="51" t="s">
        <v>39</v>
      </c>
      <c r="F738" s="50" t="s">
        <v>30</v>
      </c>
      <c r="G738" s="52" t="s">
        <v>68</v>
      </c>
      <c r="H738" s="53">
        <v>2</v>
      </c>
      <c r="I738" s="54">
        <v>799</v>
      </c>
      <c r="J738" s="54">
        <v>0</v>
      </c>
      <c r="K738" s="54">
        <v>1598</v>
      </c>
      <c r="L738" s="56" t="s">
        <v>32</v>
      </c>
    </row>
    <row r="739" spans="2:12" x14ac:dyDescent="0.25">
      <c r="B739" s="42" t="s">
        <v>1135</v>
      </c>
      <c r="C739" s="42" t="s">
        <v>63</v>
      </c>
      <c r="D739" s="57">
        <v>45787</v>
      </c>
      <c r="E739" s="44" t="s">
        <v>47</v>
      </c>
      <c r="F739" s="43" t="s">
        <v>23</v>
      </c>
      <c r="G739" s="42" t="s">
        <v>43</v>
      </c>
      <c r="H739" s="45">
        <v>2</v>
      </c>
      <c r="I739" s="46">
        <v>350</v>
      </c>
      <c r="J739" s="46">
        <v>0</v>
      </c>
      <c r="K739" s="46">
        <v>700</v>
      </c>
      <c r="L739" s="48" t="s">
        <v>32</v>
      </c>
    </row>
    <row r="740" spans="2:12" x14ac:dyDescent="0.25">
      <c r="B740" s="49" t="s">
        <v>1136</v>
      </c>
      <c r="C740" s="49" t="s">
        <v>27</v>
      </c>
      <c r="D740" s="58">
        <v>46021</v>
      </c>
      <c r="E740" s="51" t="s">
        <v>39</v>
      </c>
      <c r="F740" s="50" t="s">
        <v>52</v>
      </c>
      <c r="G740" s="52" t="s">
        <v>61</v>
      </c>
      <c r="H740" s="53">
        <v>1</v>
      </c>
      <c r="I740" s="54">
        <v>199</v>
      </c>
      <c r="J740" s="54">
        <v>0</v>
      </c>
      <c r="K740" s="54">
        <v>199</v>
      </c>
      <c r="L740" s="56" t="s">
        <v>18</v>
      </c>
    </row>
    <row r="741" spans="2:12" x14ac:dyDescent="0.25">
      <c r="B741" s="42" t="s">
        <v>1137</v>
      </c>
      <c r="C741" s="42" t="s">
        <v>55</v>
      </c>
      <c r="D741" s="57">
        <v>45789</v>
      </c>
      <c r="E741" s="44" t="s">
        <v>29</v>
      </c>
      <c r="F741" s="43" t="s">
        <v>52</v>
      </c>
      <c r="G741" s="42" t="s">
        <v>75</v>
      </c>
      <c r="H741" s="45">
        <v>5</v>
      </c>
      <c r="I741" s="46">
        <v>249</v>
      </c>
      <c r="J741" s="46">
        <v>84.31</v>
      </c>
      <c r="K741" s="46">
        <v>1160.69</v>
      </c>
      <c r="L741" s="48" t="s">
        <v>25</v>
      </c>
    </row>
    <row r="742" spans="2:12" x14ac:dyDescent="0.25">
      <c r="B742" s="49" t="s">
        <v>1138</v>
      </c>
      <c r="C742" s="49" t="s">
        <v>27</v>
      </c>
      <c r="D742" s="58">
        <v>45713</v>
      </c>
      <c r="E742" s="51" t="s">
        <v>29</v>
      </c>
      <c r="F742" s="50" t="s">
        <v>16</v>
      </c>
      <c r="G742" s="52" t="s">
        <v>103</v>
      </c>
      <c r="H742" s="53">
        <v>1</v>
      </c>
      <c r="I742" s="54">
        <v>89</v>
      </c>
      <c r="J742" s="54">
        <v>12.9</v>
      </c>
      <c r="K742" s="54">
        <v>76.099999999999994</v>
      </c>
      <c r="L742" s="56" t="s">
        <v>65</v>
      </c>
    </row>
    <row r="743" spans="2:12" x14ac:dyDescent="0.25">
      <c r="B743" s="42" t="s">
        <v>1140</v>
      </c>
      <c r="C743" s="42" t="s">
        <v>13</v>
      </c>
      <c r="D743" s="57">
        <v>46045</v>
      </c>
      <c r="E743" s="44" t="s">
        <v>39</v>
      </c>
      <c r="F743" s="43" t="s">
        <v>16</v>
      </c>
      <c r="G743" s="42" t="s">
        <v>116</v>
      </c>
      <c r="H743" s="45">
        <v>4</v>
      </c>
      <c r="I743" s="46">
        <v>45</v>
      </c>
      <c r="J743" s="46">
        <v>0</v>
      </c>
      <c r="K743" s="46">
        <v>180</v>
      </c>
      <c r="L743" s="48" t="s">
        <v>18</v>
      </c>
    </row>
    <row r="744" spans="2:12" x14ac:dyDescent="0.25">
      <c r="B744" s="49" t="s">
        <v>1142</v>
      </c>
      <c r="C744" s="49" t="s">
        <v>71</v>
      </c>
      <c r="D744" s="58">
        <v>45875</v>
      </c>
      <c r="E744" s="51" t="s">
        <v>15</v>
      </c>
      <c r="F744" s="50" t="s">
        <v>52</v>
      </c>
      <c r="G744" s="52" t="s">
        <v>61</v>
      </c>
      <c r="H744" s="53">
        <v>1</v>
      </c>
      <c r="I744" s="54">
        <v>199</v>
      </c>
      <c r="J744" s="54">
        <v>0</v>
      </c>
      <c r="K744" s="54">
        <v>199</v>
      </c>
      <c r="L744" s="56" t="s">
        <v>69</v>
      </c>
    </row>
    <row r="745" spans="2:12" x14ac:dyDescent="0.25">
      <c r="B745" s="42" t="s">
        <v>1143</v>
      </c>
      <c r="C745" s="42" t="s">
        <v>71</v>
      </c>
      <c r="D745" s="57">
        <v>45729</v>
      </c>
      <c r="E745" s="44" t="s">
        <v>47</v>
      </c>
      <c r="F745" s="43" t="s">
        <v>23</v>
      </c>
      <c r="G745" s="42" t="s">
        <v>43</v>
      </c>
      <c r="H745" s="45">
        <v>3</v>
      </c>
      <c r="I745" s="46">
        <v>350</v>
      </c>
      <c r="J745" s="46">
        <v>0</v>
      </c>
      <c r="K745" s="46">
        <v>1050</v>
      </c>
      <c r="L745" s="48" t="s">
        <v>69</v>
      </c>
    </row>
    <row r="746" spans="2:12" x14ac:dyDescent="0.25">
      <c r="B746" s="49" t="s">
        <v>1145</v>
      </c>
      <c r="C746" s="49" t="s">
        <v>20</v>
      </c>
      <c r="D746" s="58">
        <v>45671</v>
      </c>
      <c r="E746" s="51" t="s">
        <v>47</v>
      </c>
      <c r="F746" s="50" t="s">
        <v>16</v>
      </c>
      <c r="G746" s="52" t="s">
        <v>17</v>
      </c>
      <c r="H746" s="53">
        <v>5</v>
      </c>
      <c r="I746" s="54">
        <v>39</v>
      </c>
      <c r="J746" s="54">
        <v>22.45</v>
      </c>
      <c r="K746" s="54">
        <v>172.55</v>
      </c>
      <c r="L746" s="56" t="s">
        <v>25</v>
      </c>
    </row>
    <row r="747" spans="2:12" x14ac:dyDescent="0.25">
      <c r="B747" s="42" t="s">
        <v>1146</v>
      </c>
      <c r="C747" s="42" t="s">
        <v>95</v>
      </c>
      <c r="D747" s="57">
        <v>45788</v>
      </c>
      <c r="E747" s="44" t="s">
        <v>47</v>
      </c>
      <c r="F747" s="43" t="s">
        <v>52</v>
      </c>
      <c r="G747" s="42" t="s">
        <v>53</v>
      </c>
      <c r="H747" s="45">
        <v>2</v>
      </c>
      <c r="I747" s="46">
        <v>149</v>
      </c>
      <c r="J747" s="46">
        <v>9.01</v>
      </c>
      <c r="K747" s="46">
        <v>288.99</v>
      </c>
      <c r="L747" s="48" t="s">
        <v>18</v>
      </c>
    </row>
    <row r="748" spans="2:12" x14ac:dyDescent="0.25">
      <c r="B748" s="49" t="s">
        <v>1148</v>
      </c>
      <c r="C748" s="49" t="s">
        <v>13</v>
      </c>
      <c r="D748" s="58">
        <v>45867</v>
      </c>
      <c r="E748" s="51" t="s">
        <v>22</v>
      </c>
      <c r="F748" s="50" t="s">
        <v>16</v>
      </c>
      <c r="G748" s="52" t="s">
        <v>116</v>
      </c>
      <c r="H748" s="53">
        <v>4</v>
      </c>
      <c r="I748" s="54">
        <v>45</v>
      </c>
      <c r="J748" s="54">
        <v>0</v>
      </c>
      <c r="K748" s="54">
        <v>180</v>
      </c>
      <c r="L748" s="56" t="s">
        <v>49</v>
      </c>
    </row>
    <row r="749" spans="2:12" x14ac:dyDescent="0.25">
      <c r="B749" s="42" t="s">
        <v>1149</v>
      </c>
      <c r="C749" s="42" t="s">
        <v>95</v>
      </c>
      <c r="D749" s="57">
        <v>45873</v>
      </c>
      <c r="E749" s="44" t="s">
        <v>22</v>
      </c>
      <c r="F749" s="43" t="s">
        <v>30</v>
      </c>
      <c r="G749" s="42" t="s">
        <v>68</v>
      </c>
      <c r="H749" s="45">
        <v>2</v>
      </c>
      <c r="I749" s="46">
        <v>799</v>
      </c>
      <c r="J749" s="46">
        <v>0</v>
      </c>
      <c r="K749" s="46">
        <v>1598</v>
      </c>
      <c r="L749" s="48" t="s">
        <v>44</v>
      </c>
    </row>
    <row r="750" spans="2:12" x14ac:dyDescent="0.25">
      <c r="B750" s="49" t="s">
        <v>1150</v>
      </c>
      <c r="C750" s="49" t="s">
        <v>20</v>
      </c>
      <c r="D750" s="58">
        <v>46050</v>
      </c>
      <c r="E750" s="51" t="s">
        <v>47</v>
      </c>
      <c r="F750" s="50" t="s">
        <v>52</v>
      </c>
      <c r="G750" s="52" t="s">
        <v>75</v>
      </c>
      <c r="H750" s="53">
        <v>5</v>
      </c>
      <c r="I750" s="54">
        <v>249</v>
      </c>
      <c r="J750" s="54">
        <v>45.43</v>
      </c>
      <c r="K750" s="54">
        <v>1199.57</v>
      </c>
      <c r="L750" s="56" t="s">
        <v>69</v>
      </c>
    </row>
    <row r="751" spans="2:12" x14ac:dyDescent="0.25">
      <c r="B751" s="42" t="s">
        <v>1152</v>
      </c>
      <c r="C751" s="42" t="s">
        <v>13</v>
      </c>
      <c r="D751" s="57">
        <v>46012</v>
      </c>
      <c r="E751" s="44" t="s">
        <v>15</v>
      </c>
      <c r="F751" s="43" t="s">
        <v>16</v>
      </c>
      <c r="G751" s="42" t="s">
        <v>103</v>
      </c>
      <c r="H751" s="45">
        <v>5</v>
      </c>
      <c r="I751" s="46">
        <v>89</v>
      </c>
      <c r="J751" s="46">
        <v>0</v>
      </c>
      <c r="K751" s="46">
        <v>445</v>
      </c>
      <c r="L751" s="48" t="s">
        <v>69</v>
      </c>
    </row>
    <row r="752" spans="2:12" x14ac:dyDescent="0.25">
      <c r="B752" s="49" t="s">
        <v>1154</v>
      </c>
      <c r="C752" s="49" t="s">
        <v>41</v>
      </c>
      <c r="D752" s="58">
        <v>46029</v>
      </c>
      <c r="E752" s="51" t="s">
        <v>47</v>
      </c>
      <c r="F752" s="50" t="s">
        <v>23</v>
      </c>
      <c r="G752" s="52" t="s">
        <v>48</v>
      </c>
      <c r="H752" s="53">
        <v>1</v>
      </c>
      <c r="I752" s="54">
        <v>450</v>
      </c>
      <c r="J752" s="54">
        <v>0</v>
      </c>
      <c r="K752" s="54">
        <v>450</v>
      </c>
      <c r="L752" s="56" t="s">
        <v>25</v>
      </c>
    </row>
    <row r="753" spans="2:12" x14ac:dyDescent="0.25">
      <c r="B753" s="42" t="s">
        <v>1155</v>
      </c>
      <c r="C753" s="42" t="s">
        <v>55</v>
      </c>
      <c r="D753" s="57">
        <v>46055</v>
      </c>
      <c r="E753" s="44" t="s">
        <v>47</v>
      </c>
      <c r="F753" s="43" t="s">
        <v>30</v>
      </c>
      <c r="G753" s="42" t="s">
        <v>106</v>
      </c>
      <c r="H753" s="45">
        <v>4</v>
      </c>
      <c r="I753" s="46">
        <v>299</v>
      </c>
      <c r="J753" s="46">
        <v>0</v>
      </c>
      <c r="K753" s="46">
        <v>1196</v>
      </c>
      <c r="L753" s="48" t="s">
        <v>18</v>
      </c>
    </row>
    <row r="754" spans="2:12" x14ac:dyDescent="0.25">
      <c r="B754" s="49" t="s">
        <v>1156</v>
      </c>
      <c r="C754" s="49" t="s">
        <v>71</v>
      </c>
      <c r="D754" s="58">
        <v>45906</v>
      </c>
      <c r="E754" s="51" t="s">
        <v>22</v>
      </c>
      <c r="F754" s="50" t="s">
        <v>30</v>
      </c>
      <c r="G754" s="52" t="s">
        <v>106</v>
      </c>
      <c r="H754" s="53">
        <v>3</v>
      </c>
      <c r="I754" s="54">
        <v>299</v>
      </c>
      <c r="J754" s="54">
        <v>18.7</v>
      </c>
      <c r="K754" s="54">
        <v>878.3</v>
      </c>
      <c r="L754" s="56" t="s">
        <v>69</v>
      </c>
    </row>
    <row r="755" spans="2:12" x14ac:dyDescent="0.25">
      <c r="B755" s="42" t="s">
        <v>1157</v>
      </c>
      <c r="C755" s="42" t="s">
        <v>13</v>
      </c>
      <c r="D755" s="57">
        <v>45908</v>
      </c>
      <c r="E755" s="44" t="s">
        <v>39</v>
      </c>
      <c r="F755" s="43" t="s">
        <v>16</v>
      </c>
      <c r="G755" s="42" t="s">
        <v>17</v>
      </c>
      <c r="H755" s="45">
        <v>3</v>
      </c>
      <c r="I755" s="46">
        <v>39</v>
      </c>
      <c r="J755" s="46">
        <v>3.65</v>
      </c>
      <c r="K755" s="46">
        <v>113.35</v>
      </c>
      <c r="L755" s="48" t="s">
        <v>65</v>
      </c>
    </row>
    <row r="756" spans="2:12" x14ac:dyDescent="0.25">
      <c r="B756" s="49" t="s">
        <v>1158</v>
      </c>
      <c r="C756" s="49" t="s">
        <v>27</v>
      </c>
      <c r="D756" s="58">
        <v>45940</v>
      </c>
      <c r="E756" s="51" t="s">
        <v>29</v>
      </c>
      <c r="F756" s="50" t="s">
        <v>23</v>
      </c>
      <c r="G756" s="52" t="s">
        <v>24</v>
      </c>
      <c r="H756" s="53">
        <v>1</v>
      </c>
      <c r="I756" s="54">
        <v>180</v>
      </c>
      <c r="J756" s="54">
        <v>0</v>
      </c>
      <c r="K756" s="54">
        <v>180</v>
      </c>
      <c r="L756" s="56" t="s">
        <v>18</v>
      </c>
    </row>
    <row r="757" spans="2:12" x14ac:dyDescent="0.25">
      <c r="B757" s="42" t="s">
        <v>1159</v>
      </c>
      <c r="C757" s="42" t="s">
        <v>34</v>
      </c>
      <c r="D757" s="57">
        <v>45757</v>
      </c>
      <c r="E757" s="44" t="s">
        <v>47</v>
      </c>
      <c r="F757" s="43" t="s">
        <v>16</v>
      </c>
      <c r="G757" s="42" t="s">
        <v>103</v>
      </c>
      <c r="H757" s="45">
        <v>3</v>
      </c>
      <c r="I757" s="46">
        <v>89</v>
      </c>
      <c r="J757" s="46">
        <v>6.23</v>
      </c>
      <c r="K757" s="46">
        <v>260.77</v>
      </c>
      <c r="L757" s="48" t="s">
        <v>49</v>
      </c>
    </row>
    <row r="758" spans="2:12" x14ac:dyDescent="0.25">
      <c r="B758" s="49" t="s">
        <v>1160</v>
      </c>
      <c r="C758" s="49" t="s">
        <v>71</v>
      </c>
      <c r="D758" s="58">
        <v>45862</v>
      </c>
      <c r="E758" s="51" t="s">
        <v>15</v>
      </c>
      <c r="F758" s="50" t="s">
        <v>30</v>
      </c>
      <c r="G758" s="52" t="s">
        <v>68</v>
      </c>
      <c r="H758" s="53">
        <v>1</v>
      </c>
      <c r="I758" s="54">
        <v>799</v>
      </c>
      <c r="J758" s="54">
        <v>0</v>
      </c>
      <c r="K758" s="54">
        <v>799</v>
      </c>
      <c r="L758" s="56" t="s">
        <v>69</v>
      </c>
    </row>
    <row r="759" spans="2:12" x14ac:dyDescent="0.25">
      <c r="B759" s="42" t="s">
        <v>1161</v>
      </c>
      <c r="C759" s="42" t="s">
        <v>110</v>
      </c>
      <c r="D759" s="57">
        <v>46023</v>
      </c>
      <c r="E759" s="44" t="s">
        <v>39</v>
      </c>
      <c r="F759" s="43" t="s">
        <v>23</v>
      </c>
      <c r="G759" s="42" t="s">
        <v>88</v>
      </c>
      <c r="H759" s="45">
        <v>4</v>
      </c>
      <c r="I759" s="46">
        <v>650</v>
      </c>
      <c r="J759" s="46">
        <v>0</v>
      </c>
      <c r="K759" s="46">
        <v>2600</v>
      </c>
      <c r="L759" s="48" t="s">
        <v>44</v>
      </c>
    </row>
    <row r="760" spans="2:12" x14ac:dyDescent="0.25">
      <c r="B760" s="49" t="s">
        <v>1162</v>
      </c>
      <c r="C760" s="49" t="s">
        <v>37</v>
      </c>
      <c r="D760" s="58">
        <v>45970</v>
      </c>
      <c r="E760" s="51" t="s">
        <v>15</v>
      </c>
      <c r="F760" s="50" t="s">
        <v>30</v>
      </c>
      <c r="G760" s="52" t="s">
        <v>152</v>
      </c>
      <c r="H760" s="53">
        <v>5</v>
      </c>
      <c r="I760" s="54">
        <v>4500</v>
      </c>
      <c r="J760" s="54">
        <v>2490</v>
      </c>
      <c r="K760" s="54">
        <v>20010</v>
      </c>
      <c r="L760" s="56" t="s">
        <v>25</v>
      </c>
    </row>
    <row r="761" spans="2:12" x14ac:dyDescent="0.25">
      <c r="B761" s="42" t="s">
        <v>1163</v>
      </c>
      <c r="C761" s="42" t="s">
        <v>34</v>
      </c>
      <c r="D761" s="57">
        <v>45975</v>
      </c>
      <c r="E761" s="44" t="s">
        <v>22</v>
      </c>
      <c r="F761" s="43" t="s">
        <v>16</v>
      </c>
      <c r="G761" s="42" t="s">
        <v>116</v>
      </c>
      <c r="H761" s="45">
        <v>3</v>
      </c>
      <c r="I761" s="46">
        <v>45</v>
      </c>
      <c r="J761" s="46">
        <v>11.56</v>
      </c>
      <c r="K761" s="46">
        <v>123.44</v>
      </c>
      <c r="L761" s="48" t="s">
        <v>89</v>
      </c>
    </row>
    <row r="762" spans="2:12" x14ac:dyDescent="0.25">
      <c r="B762" s="49" t="s">
        <v>1164</v>
      </c>
      <c r="C762" s="49" t="s">
        <v>34</v>
      </c>
      <c r="D762" s="58">
        <v>45720</v>
      </c>
      <c r="E762" s="51" t="s">
        <v>22</v>
      </c>
      <c r="F762" s="50" t="s">
        <v>52</v>
      </c>
      <c r="G762" s="52" t="s">
        <v>99</v>
      </c>
      <c r="H762" s="53">
        <v>3</v>
      </c>
      <c r="I762" s="54">
        <v>79</v>
      </c>
      <c r="J762" s="54">
        <v>0</v>
      </c>
      <c r="K762" s="54">
        <v>237</v>
      </c>
      <c r="L762" s="56" t="s">
        <v>65</v>
      </c>
    </row>
    <row r="763" spans="2:12" x14ac:dyDescent="0.25">
      <c r="B763" s="42" t="s">
        <v>1165</v>
      </c>
      <c r="C763" s="42" t="s">
        <v>34</v>
      </c>
      <c r="D763" s="57">
        <v>45795</v>
      </c>
      <c r="E763" s="44" t="s">
        <v>22</v>
      </c>
      <c r="F763" s="43" t="s">
        <v>23</v>
      </c>
      <c r="G763" s="42" t="s">
        <v>24</v>
      </c>
      <c r="H763" s="45">
        <v>4</v>
      </c>
      <c r="I763" s="46">
        <v>180</v>
      </c>
      <c r="J763" s="46">
        <v>0</v>
      </c>
      <c r="K763" s="46">
        <v>720</v>
      </c>
      <c r="L763" s="48" t="s">
        <v>69</v>
      </c>
    </row>
    <row r="764" spans="2:12" x14ac:dyDescent="0.25">
      <c r="B764" s="49" t="s">
        <v>1166</v>
      </c>
      <c r="C764" s="49" t="s">
        <v>55</v>
      </c>
      <c r="D764" s="58">
        <v>46041</v>
      </c>
      <c r="E764" s="51" t="s">
        <v>47</v>
      </c>
      <c r="F764" s="50" t="s">
        <v>52</v>
      </c>
      <c r="G764" s="52" t="s">
        <v>99</v>
      </c>
      <c r="H764" s="53">
        <v>5</v>
      </c>
      <c r="I764" s="54">
        <v>79</v>
      </c>
      <c r="J764" s="54">
        <v>48.3</v>
      </c>
      <c r="K764" s="54">
        <v>346.7</v>
      </c>
      <c r="L764" s="56" t="s">
        <v>44</v>
      </c>
    </row>
    <row r="765" spans="2:12" x14ac:dyDescent="0.25">
      <c r="B765" s="42" t="s">
        <v>1167</v>
      </c>
      <c r="C765" s="42" t="s">
        <v>41</v>
      </c>
      <c r="D765" s="57">
        <v>46023</v>
      </c>
      <c r="E765" s="44" t="s">
        <v>15</v>
      </c>
      <c r="F765" s="43" t="s">
        <v>16</v>
      </c>
      <c r="G765" s="42" t="s">
        <v>116</v>
      </c>
      <c r="H765" s="45">
        <v>2</v>
      </c>
      <c r="I765" s="46">
        <v>45</v>
      </c>
      <c r="J765" s="46">
        <v>7.38</v>
      </c>
      <c r="K765" s="46">
        <v>82.62</v>
      </c>
      <c r="L765" s="48" t="s">
        <v>25</v>
      </c>
    </row>
    <row r="766" spans="2:12" x14ac:dyDescent="0.25">
      <c r="B766" s="49" t="s">
        <v>1168</v>
      </c>
      <c r="C766" s="49" t="s">
        <v>34</v>
      </c>
      <c r="D766" s="58">
        <v>45717</v>
      </c>
      <c r="E766" s="51" t="s">
        <v>15</v>
      </c>
      <c r="F766" s="50" t="s">
        <v>52</v>
      </c>
      <c r="G766" s="52" t="s">
        <v>99</v>
      </c>
      <c r="H766" s="53">
        <v>3</v>
      </c>
      <c r="I766" s="54">
        <v>79</v>
      </c>
      <c r="J766" s="54">
        <v>0</v>
      </c>
      <c r="K766" s="54">
        <v>237</v>
      </c>
      <c r="L766" s="56" t="s">
        <v>25</v>
      </c>
    </row>
    <row r="767" spans="2:12" x14ac:dyDescent="0.25">
      <c r="B767" s="42" t="s">
        <v>1169</v>
      </c>
      <c r="C767" s="42" t="s">
        <v>55</v>
      </c>
      <c r="D767" s="57">
        <v>45833</v>
      </c>
      <c r="E767" s="44" t="s">
        <v>39</v>
      </c>
      <c r="F767" s="43" t="s">
        <v>30</v>
      </c>
      <c r="G767" s="42" t="s">
        <v>31</v>
      </c>
      <c r="H767" s="45">
        <v>1</v>
      </c>
      <c r="I767" s="46">
        <v>2500</v>
      </c>
      <c r="J767" s="46">
        <v>0</v>
      </c>
      <c r="K767" s="46">
        <v>2500</v>
      </c>
      <c r="L767" s="48" t="s">
        <v>32</v>
      </c>
    </row>
    <row r="768" spans="2:12" x14ac:dyDescent="0.25">
      <c r="B768" s="49" t="s">
        <v>1171</v>
      </c>
      <c r="C768" s="49" t="s">
        <v>101</v>
      </c>
      <c r="D768" s="58">
        <v>45702</v>
      </c>
      <c r="E768" s="51" t="s">
        <v>22</v>
      </c>
      <c r="F768" s="50" t="s">
        <v>30</v>
      </c>
      <c r="G768" s="52" t="s">
        <v>106</v>
      </c>
      <c r="H768" s="53">
        <v>1</v>
      </c>
      <c r="I768" s="54">
        <v>299</v>
      </c>
      <c r="J768" s="54">
        <v>22.48</v>
      </c>
      <c r="K768" s="54">
        <v>276.52</v>
      </c>
      <c r="L768" s="56" t="s">
        <v>44</v>
      </c>
    </row>
    <row r="769" spans="2:12" x14ac:dyDescent="0.25">
      <c r="B769" s="42" t="s">
        <v>1172</v>
      </c>
      <c r="C769" s="42" t="s">
        <v>20</v>
      </c>
      <c r="D769" s="57">
        <v>45968</v>
      </c>
      <c r="E769" s="44" t="s">
        <v>29</v>
      </c>
      <c r="F769" s="43" t="s">
        <v>16</v>
      </c>
      <c r="G769" s="42" t="s">
        <v>17</v>
      </c>
      <c r="H769" s="45">
        <v>2</v>
      </c>
      <c r="I769" s="46">
        <v>39</v>
      </c>
      <c r="J769" s="46">
        <v>0</v>
      </c>
      <c r="K769" s="46">
        <v>78</v>
      </c>
      <c r="L769" s="48" t="s">
        <v>25</v>
      </c>
    </row>
    <row r="770" spans="2:12" x14ac:dyDescent="0.25">
      <c r="B770" s="49" t="s">
        <v>1173</v>
      </c>
      <c r="C770" s="49" t="s">
        <v>27</v>
      </c>
      <c r="D770" s="58">
        <v>45725</v>
      </c>
      <c r="E770" s="51" t="s">
        <v>15</v>
      </c>
      <c r="F770" s="50" t="s">
        <v>30</v>
      </c>
      <c r="G770" s="52" t="s">
        <v>152</v>
      </c>
      <c r="H770" s="53">
        <v>4</v>
      </c>
      <c r="I770" s="54">
        <v>4500</v>
      </c>
      <c r="J770" s="54">
        <v>0</v>
      </c>
      <c r="K770" s="54">
        <v>18000</v>
      </c>
      <c r="L770" s="56" t="s">
        <v>65</v>
      </c>
    </row>
    <row r="771" spans="2:12" x14ac:dyDescent="0.25">
      <c r="B771" s="42" t="s">
        <v>1174</v>
      </c>
      <c r="C771" s="42" t="s">
        <v>34</v>
      </c>
      <c r="D771" s="57">
        <v>45772</v>
      </c>
      <c r="E771" s="44" t="s">
        <v>39</v>
      </c>
      <c r="F771" s="43" t="s">
        <v>30</v>
      </c>
      <c r="G771" s="42" t="s">
        <v>106</v>
      </c>
      <c r="H771" s="45">
        <v>4</v>
      </c>
      <c r="I771" s="46">
        <v>299</v>
      </c>
      <c r="J771" s="46">
        <v>0</v>
      </c>
      <c r="K771" s="46">
        <v>1196</v>
      </c>
      <c r="L771" s="48" t="s">
        <v>89</v>
      </c>
    </row>
    <row r="772" spans="2:12" x14ac:dyDescent="0.25">
      <c r="B772" s="49" t="s">
        <v>1175</v>
      </c>
      <c r="C772" s="49" t="s">
        <v>95</v>
      </c>
      <c r="D772" s="58">
        <v>45909</v>
      </c>
      <c r="E772" s="51" t="s">
        <v>15</v>
      </c>
      <c r="F772" s="50" t="s">
        <v>30</v>
      </c>
      <c r="G772" s="52" t="s">
        <v>106</v>
      </c>
      <c r="H772" s="53">
        <v>2</v>
      </c>
      <c r="I772" s="54">
        <v>299</v>
      </c>
      <c r="J772" s="54">
        <v>0</v>
      </c>
      <c r="K772" s="54">
        <v>598</v>
      </c>
      <c r="L772" s="56" t="s">
        <v>18</v>
      </c>
    </row>
    <row r="773" spans="2:12" x14ac:dyDescent="0.25">
      <c r="B773" s="42" t="s">
        <v>1176</v>
      </c>
      <c r="C773" s="42" t="s">
        <v>110</v>
      </c>
      <c r="D773" s="57">
        <v>45800</v>
      </c>
      <c r="E773" s="44" t="s">
        <v>39</v>
      </c>
      <c r="F773" s="43" t="s">
        <v>23</v>
      </c>
      <c r="G773" s="42" t="s">
        <v>48</v>
      </c>
      <c r="H773" s="45">
        <v>4</v>
      </c>
      <c r="I773" s="46">
        <v>450</v>
      </c>
      <c r="J773" s="46">
        <v>0</v>
      </c>
      <c r="K773" s="46">
        <v>1800</v>
      </c>
      <c r="L773" s="48" t="s">
        <v>32</v>
      </c>
    </row>
    <row r="774" spans="2:12" x14ac:dyDescent="0.25">
      <c r="B774" s="49" t="s">
        <v>1177</v>
      </c>
      <c r="C774" s="49" t="s">
        <v>27</v>
      </c>
      <c r="D774" s="58">
        <v>45831</v>
      </c>
      <c r="E774" s="51" t="s">
        <v>39</v>
      </c>
      <c r="F774" s="50" t="s">
        <v>23</v>
      </c>
      <c r="G774" s="52" t="s">
        <v>24</v>
      </c>
      <c r="H774" s="53">
        <v>1</v>
      </c>
      <c r="I774" s="54">
        <v>180</v>
      </c>
      <c r="J774" s="54">
        <v>14.85</v>
      </c>
      <c r="K774" s="54">
        <v>165.15</v>
      </c>
      <c r="L774" s="56" t="s">
        <v>44</v>
      </c>
    </row>
    <row r="775" spans="2:12" x14ac:dyDescent="0.25">
      <c r="B775" s="42" t="s">
        <v>1178</v>
      </c>
      <c r="C775" s="42" t="s">
        <v>41</v>
      </c>
      <c r="D775" s="57">
        <v>45995</v>
      </c>
      <c r="E775" s="44" t="s">
        <v>39</v>
      </c>
      <c r="F775" s="43" t="s">
        <v>23</v>
      </c>
      <c r="G775" s="42" t="s">
        <v>48</v>
      </c>
      <c r="H775" s="45">
        <v>5</v>
      </c>
      <c r="I775" s="46">
        <v>450</v>
      </c>
      <c r="J775" s="46">
        <v>0</v>
      </c>
      <c r="K775" s="46">
        <v>2250</v>
      </c>
      <c r="L775" s="48" t="s">
        <v>89</v>
      </c>
    </row>
    <row r="776" spans="2:12" x14ac:dyDescent="0.25">
      <c r="B776" s="49" t="s">
        <v>1179</v>
      </c>
      <c r="C776" s="49" t="s">
        <v>71</v>
      </c>
      <c r="D776" s="58">
        <v>45716</v>
      </c>
      <c r="E776" s="51" t="s">
        <v>47</v>
      </c>
      <c r="F776" s="50" t="s">
        <v>23</v>
      </c>
      <c r="G776" s="52" t="s">
        <v>24</v>
      </c>
      <c r="H776" s="53">
        <v>4</v>
      </c>
      <c r="I776" s="54">
        <v>180</v>
      </c>
      <c r="J776" s="54">
        <v>12.67</v>
      </c>
      <c r="K776" s="54">
        <v>707.33</v>
      </c>
      <c r="L776" s="56" t="s">
        <v>32</v>
      </c>
    </row>
    <row r="777" spans="2:12" x14ac:dyDescent="0.25">
      <c r="B777" s="42" t="s">
        <v>1180</v>
      </c>
      <c r="C777" s="42" t="s">
        <v>63</v>
      </c>
      <c r="D777" s="57">
        <v>45922</v>
      </c>
      <c r="E777" s="44" t="s">
        <v>29</v>
      </c>
      <c r="F777" s="43" t="s">
        <v>30</v>
      </c>
      <c r="G777" s="42" t="s">
        <v>68</v>
      </c>
      <c r="H777" s="45">
        <v>3</v>
      </c>
      <c r="I777" s="46">
        <v>799</v>
      </c>
      <c r="J777" s="46">
        <v>329.15</v>
      </c>
      <c r="K777" s="46">
        <v>2067.85</v>
      </c>
      <c r="L777" s="48" t="s">
        <v>25</v>
      </c>
    </row>
    <row r="778" spans="2:12" x14ac:dyDescent="0.25">
      <c r="B778" s="49" t="s">
        <v>1181</v>
      </c>
      <c r="C778" s="49" t="s">
        <v>71</v>
      </c>
      <c r="D778" s="58">
        <v>45727</v>
      </c>
      <c r="E778" s="51" t="s">
        <v>39</v>
      </c>
      <c r="F778" s="50" t="s">
        <v>16</v>
      </c>
      <c r="G778" s="52" t="s">
        <v>103</v>
      </c>
      <c r="H778" s="53">
        <v>3</v>
      </c>
      <c r="I778" s="54">
        <v>89</v>
      </c>
      <c r="J778" s="54">
        <v>0</v>
      </c>
      <c r="K778" s="54">
        <v>267</v>
      </c>
      <c r="L778" s="56" t="s">
        <v>32</v>
      </c>
    </row>
    <row r="779" spans="2:12" x14ac:dyDescent="0.25">
      <c r="B779" s="42" t="s">
        <v>1182</v>
      </c>
      <c r="C779" s="42" t="s">
        <v>63</v>
      </c>
      <c r="D779" s="57">
        <v>45679</v>
      </c>
      <c r="E779" s="44" t="s">
        <v>39</v>
      </c>
      <c r="F779" s="43" t="s">
        <v>16</v>
      </c>
      <c r="G779" s="42" t="s">
        <v>78</v>
      </c>
      <c r="H779" s="45">
        <v>1</v>
      </c>
      <c r="I779" s="46">
        <v>59</v>
      </c>
      <c r="J779" s="46">
        <v>2.57</v>
      </c>
      <c r="K779" s="46">
        <v>56.43</v>
      </c>
      <c r="L779" s="48" t="s">
        <v>69</v>
      </c>
    </row>
    <row r="780" spans="2:12" x14ac:dyDescent="0.25">
      <c r="B780" s="49" t="s">
        <v>1183</v>
      </c>
      <c r="C780" s="49" t="s">
        <v>13</v>
      </c>
      <c r="D780" s="58">
        <v>45870</v>
      </c>
      <c r="E780" s="51" t="s">
        <v>15</v>
      </c>
      <c r="F780" s="50" t="s">
        <v>52</v>
      </c>
      <c r="G780" s="52" t="s">
        <v>61</v>
      </c>
      <c r="H780" s="53">
        <v>1</v>
      </c>
      <c r="I780" s="54">
        <v>199</v>
      </c>
      <c r="J780" s="54">
        <v>2.97</v>
      </c>
      <c r="K780" s="54">
        <v>196.03</v>
      </c>
      <c r="L780" s="56" t="s">
        <v>18</v>
      </c>
    </row>
    <row r="781" spans="2:12" x14ac:dyDescent="0.25">
      <c r="B781" s="42" t="s">
        <v>1184</v>
      </c>
      <c r="C781" s="42" t="s">
        <v>55</v>
      </c>
      <c r="D781" s="57">
        <v>46019</v>
      </c>
      <c r="E781" s="44" t="s">
        <v>15</v>
      </c>
      <c r="F781" s="43" t="s">
        <v>16</v>
      </c>
      <c r="G781" s="42" t="s">
        <v>116</v>
      </c>
      <c r="H781" s="45">
        <v>2</v>
      </c>
      <c r="I781" s="46">
        <v>45</v>
      </c>
      <c r="J781" s="46">
        <v>0</v>
      </c>
      <c r="K781" s="46">
        <v>90</v>
      </c>
      <c r="L781" s="48" t="s">
        <v>18</v>
      </c>
    </row>
    <row r="782" spans="2:12" x14ac:dyDescent="0.25">
      <c r="B782" s="49" t="s">
        <v>1185</v>
      </c>
      <c r="C782" s="49" t="s">
        <v>101</v>
      </c>
      <c r="D782" s="58">
        <v>45902</v>
      </c>
      <c r="E782" s="51" t="s">
        <v>39</v>
      </c>
      <c r="F782" s="50" t="s">
        <v>16</v>
      </c>
      <c r="G782" s="52" t="s">
        <v>116</v>
      </c>
      <c r="H782" s="53">
        <v>4</v>
      </c>
      <c r="I782" s="54">
        <v>45</v>
      </c>
      <c r="J782" s="54">
        <v>0</v>
      </c>
      <c r="K782" s="54">
        <v>180</v>
      </c>
      <c r="L782" s="56" t="s">
        <v>49</v>
      </c>
    </row>
    <row r="783" spans="2:12" x14ac:dyDescent="0.25">
      <c r="B783" s="42" t="s">
        <v>1186</v>
      </c>
      <c r="C783" s="42" t="s">
        <v>101</v>
      </c>
      <c r="D783" s="57">
        <v>46047</v>
      </c>
      <c r="E783" s="44" t="s">
        <v>29</v>
      </c>
      <c r="F783" s="43" t="s">
        <v>52</v>
      </c>
      <c r="G783" s="42" t="s">
        <v>61</v>
      </c>
      <c r="H783" s="45">
        <v>2</v>
      </c>
      <c r="I783" s="46">
        <v>199</v>
      </c>
      <c r="J783" s="46">
        <v>0</v>
      </c>
      <c r="K783" s="46">
        <v>398</v>
      </c>
      <c r="L783" s="48" t="s">
        <v>18</v>
      </c>
    </row>
    <row r="784" spans="2:12" x14ac:dyDescent="0.25">
      <c r="B784" s="49" t="s">
        <v>1187</v>
      </c>
      <c r="C784" s="49" t="s">
        <v>27</v>
      </c>
      <c r="D784" s="58">
        <v>45739</v>
      </c>
      <c r="E784" s="51" t="s">
        <v>29</v>
      </c>
      <c r="F784" s="50" t="s">
        <v>16</v>
      </c>
      <c r="G784" s="52" t="s">
        <v>78</v>
      </c>
      <c r="H784" s="53">
        <v>5</v>
      </c>
      <c r="I784" s="54">
        <v>59</v>
      </c>
      <c r="J784" s="54">
        <v>0</v>
      </c>
      <c r="K784" s="54">
        <v>295</v>
      </c>
      <c r="L784" s="56" t="s">
        <v>44</v>
      </c>
    </row>
    <row r="785" spans="2:12" x14ac:dyDescent="0.25">
      <c r="B785" s="42" t="s">
        <v>1188</v>
      </c>
      <c r="C785" s="42" t="s">
        <v>63</v>
      </c>
      <c r="D785" s="57">
        <v>45684</v>
      </c>
      <c r="E785" s="44" t="s">
        <v>22</v>
      </c>
      <c r="F785" s="43" t="s">
        <v>16</v>
      </c>
      <c r="G785" s="42" t="s">
        <v>17</v>
      </c>
      <c r="H785" s="45">
        <v>3</v>
      </c>
      <c r="I785" s="46">
        <v>39</v>
      </c>
      <c r="J785" s="46">
        <v>3.54</v>
      </c>
      <c r="K785" s="46">
        <v>113.46</v>
      </c>
      <c r="L785" s="48" t="s">
        <v>69</v>
      </c>
    </row>
    <row r="786" spans="2:12" x14ac:dyDescent="0.25">
      <c r="B786" s="49" t="s">
        <v>1189</v>
      </c>
      <c r="C786" s="49" t="s">
        <v>110</v>
      </c>
      <c r="D786" s="58">
        <v>45938</v>
      </c>
      <c r="E786" s="51" t="s">
        <v>29</v>
      </c>
      <c r="F786" s="50" t="s">
        <v>52</v>
      </c>
      <c r="G786" s="52" t="s">
        <v>99</v>
      </c>
      <c r="H786" s="53">
        <v>4</v>
      </c>
      <c r="I786" s="54">
        <v>79</v>
      </c>
      <c r="J786" s="54">
        <v>0</v>
      </c>
      <c r="K786" s="54">
        <v>316</v>
      </c>
      <c r="L786" s="56" t="s">
        <v>32</v>
      </c>
    </row>
    <row r="787" spans="2:12" x14ac:dyDescent="0.25">
      <c r="B787" s="42" t="s">
        <v>1190</v>
      </c>
      <c r="C787" s="42" t="s">
        <v>13</v>
      </c>
      <c r="D787" s="57">
        <v>45743</v>
      </c>
      <c r="E787" s="44" t="s">
        <v>29</v>
      </c>
      <c r="F787" s="43" t="s">
        <v>23</v>
      </c>
      <c r="G787" s="42" t="s">
        <v>24</v>
      </c>
      <c r="H787" s="45">
        <v>3</v>
      </c>
      <c r="I787" s="46">
        <v>180</v>
      </c>
      <c r="J787" s="46">
        <v>0</v>
      </c>
      <c r="K787" s="46">
        <v>540</v>
      </c>
      <c r="L787" s="48" t="s">
        <v>18</v>
      </c>
    </row>
    <row r="788" spans="2:12" x14ac:dyDescent="0.25">
      <c r="B788" s="49" t="s">
        <v>1191</v>
      </c>
      <c r="C788" s="49" t="s">
        <v>63</v>
      </c>
      <c r="D788" s="58">
        <v>45843</v>
      </c>
      <c r="E788" s="51" t="s">
        <v>15</v>
      </c>
      <c r="F788" s="50" t="s">
        <v>52</v>
      </c>
      <c r="G788" s="52" t="s">
        <v>75</v>
      </c>
      <c r="H788" s="53">
        <v>3</v>
      </c>
      <c r="I788" s="54">
        <v>249</v>
      </c>
      <c r="J788" s="54">
        <v>89.25</v>
      </c>
      <c r="K788" s="54">
        <v>657.75</v>
      </c>
      <c r="L788" s="56" t="s">
        <v>49</v>
      </c>
    </row>
    <row r="789" spans="2:12" x14ac:dyDescent="0.25">
      <c r="B789" s="42" t="s">
        <v>1192</v>
      </c>
      <c r="C789" s="42" t="s">
        <v>71</v>
      </c>
      <c r="D789" s="57">
        <v>45939</v>
      </c>
      <c r="E789" s="44" t="s">
        <v>47</v>
      </c>
      <c r="F789" s="43" t="s">
        <v>23</v>
      </c>
      <c r="G789" s="42" t="s">
        <v>24</v>
      </c>
      <c r="H789" s="45">
        <v>1</v>
      </c>
      <c r="I789" s="46">
        <v>180</v>
      </c>
      <c r="J789" s="46">
        <v>0</v>
      </c>
      <c r="K789" s="46">
        <v>180</v>
      </c>
      <c r="L789" s="48" t="s">
        <v>18</v>
      </c>
    </row>
    <row r="790" spans="2:12" x14ac:dyDescent="0.25">
      <c r="B790" s="49" t="s">
        <v>1193</v>
      </c>
      <c r="C790" s="49" t="s">
        <v>110</v>
      </c>
      <c r="D790" s="58">
        <v>45884</v>
      </c>
      <c r="E790" s="51" t="s">
        <v>15</v>
      </c>
      <c r="F790" s="50" t="s">
        <v>52</v>
      </c>
      <c r="G790" s="52" t="s">
        <v>53</v>
      </c>
      <c r="H790" s="53">
        <v>2</v>
      </c>
      <c r="I790" s="54">
        <v>149</v>
      </c>
      <c r="J790" s="54">
        <v>28.32</v>
      </c>
      <c r="K790" s="54">
        <v>269.68</v>
      </c>
      <c r="L790" s="56" t="s">
        <v>18</v>
      </c>
    </row>
    <row r="791" spans="2:12" x14ac:dyDescent="0.25">
      <c r="B791" s="42" t="s">
        <v>1194</v>
      </c>
      <c r="C791" s="42" t="s">
        <v>37</v>
      </c>
      <c r="D791" s="57">
        <v>45788</v>
      </c>
      <c r="E791" s="44" t="s">
        <v>39</v>
      </c>
      <c r="F791" s="43" t="s">
        <v>30</v>
      </c>
      <c r="G791" s="42" t="s">
        <v>152</v>
      </c>
      <c r="H791" s="45">
        <v>3</v>
      </c>
      <c r="I791" s="46">
        <v>4500</v>
      </c>
      <c r="J791" s="46">
        <v>193.51</v>
      </c>
      <c r="K791" s="46">
        <v>13306.49</v>
      </c>
      <c r="L791" s="48" t="s">
        <v>44</v>
      </c>
    </row>
    <row r="792" spans="2:12" x14ac:dyDescent="0.25">
      <c r="B792" s="49" t="s">
        <v>1195</v>
      </c>
      <c r="C792" s="49" t="s">
        <v>101</v>
      </c>
      <c r="D792" s="58">
        <v>45892</v>
      </c>
      <c r="E792" s="51" t="s">
        <v>39</v>
      </c>
      <c r="F792" s="50" t="s">
        <v>23</v>
      </c>
      <c r="G792" s="52" t="s">
        <v>24</v>
      </c>
      <c r="H792" s="53">
        <v>3</v>
      </c>
      <c r="I792" s="54">
        <v>180</v>
      </c>
      <c r="J792" s="54">
        <v>0</v>
      </c>
      <c r="K792" s="54">
        <v>540</v>
      </c>
      <c r="L792" s="56" t="s">
        <v>18</v>
      </c>
    </row>
    <row r="793" spans="2:12" x14ac:dyDescent="0.25">
      <c r="B793" s="42" t="s">
        <v>1196</v>
      </c>
      <c r="C793" s="42" t="s">
        <v>71</v>
      </c>
      <c r="D793" s="57">
        <v>45884</v>
      </c>
      <c r="E793" s="44" t="s">
        <v>22</v>
      </c>
      <c r="F793" s="43" t="s">
        <v>23</v>
      </c>
      <c r="G793" s="42" t="s">
        <v>24</v>
      </c>
      <c r="H793" s="45">
        <v>3</v>
      </c>
      <c r="I793" s="46">
        <v>180</v>
      </c>
      <c r="J793" s="46">
        <v>67.87</v>
      </c>
      <c r="K793" s="46">
        <v>472.13</v>
      </c>
      <c r="L793" s="48" t="s">
        <v>69</v>
      </c>
    </row>
    <row r="794" spans="2:12" x14ac:dyDescent="0.25">
      <c r="B794" s="49" t="s">
        <v>1197</v>
      </c>
      <c r="C794" s="49" t="s">
        <v>63</v>
      </c>
      <c r="D794" s="58">
        <v>45846</v>
      </c>
      <c r="E794" s="51" t="s">
        <v>22</v>
      </c>
      <c r="F794" s="50" t="s">
        <v>30</v>
      </c>
      <c r="G794" s="52" t="s">
        <v>68</v>
      </c>
      <c r="H794" s="53">
        <v>3</v>
      </c>
      <c r="I794" s="54">
        <v>799</v>
      </c>
      <c r="J794" s="54">
        <v>0</v>
      </c>
      <c r="K794" s="54">
        <v>2397</v>
      </c>
      <c r="L794" s="56" t="s">
        <v>25</v>
      </c>
    </row>
    <row r="795" spans="2:12" x14ac:dyDescent="0.25">
      <c r="B795" s="42" t="s">
        <v>1198</v>
      </c>
      <c r="C795" s="42" t="s">
        <v>101</v>
      </c>
      <c r="D795" s="57">
        <v>45980</v>
      </c>
      <c r="E795" s="44" t="s">
        <v>22</v>
      </c>
      <c r="F795" s="43" t="s">
        <v>16</v>
      </c>
      <c r="G795" s="42" t="s">
        <v>17</v>
      </c>
      <c r="H795" s="45">
        <v>5</v>
      </c>
      <c r="I795" s="46">
        <v>39</v>
      </c>
      <c r="J795" s="46">
        <v>0</v>
      </c>
      <c r="K795" s="46">
        <v>195</v>
      </c>
      <c r="L795" s="48" t="s">
        <v>69</v>
      </c>
    </row>
    <row r="796" spans="2:12" x14ac:dyDescent="0.25">
      <c r="B796" s="49" t="s">
        <v>1199</v>
      </c>
      <c r="C796" s="49" t="s">
        <v>101</v>
      </c>
      <c r="D796" s="58">
        <v>45753</v>
      </c>
      <c r="E796" s="51" t="s">
        <v>39</v>
      </c>
      <c r="F796" s="50" t="s">
        <v>23</v>
      </c>
      <c r="G796" s="52" t="s">
        <v>48</v>
      </c>
      <c r="H796" s="53">
        <v>1</v>
      </c>
      <c r="I796" s="54">
        <v>450</v>
      </c>
      <c r="J796" s="54">
        <v>0</v>
      </c>
      <c r="K796" s="54">
        <v>450</v>
      </c>
      <c r="L796" s="56" t="s">
        <v>25</v>
      </c>
    </row>
    <row r="797" spans="2:12" x14ac:dyDescent="0.25">
      <c r="B797" s="42" t="s">
        <v>1200</v>
      </c>
      <c r="C797" s="42" t="s">
        <v>20</v>
      </c>
      <c r="D797" s="57">
        <v>45730</v>
      </c>
      <c r="E797" s="44" t="s">
        <v>29</v>
      </c>
      <c r="F797" s="43" t="s">
        <v>52</v>
      </c>
      <c r="G797" s="42" t="s">
        <v>61</v>
      </c>
      <c r="H797" s="45">
        <v>2</v>
      </c>
      <c r="I797" s="46">
        <v>199</v>
      </c>
      <c r="J797" s="46">
        <v>40.1</v>
      </c>
      <c r="K797" s="46">
        <v>357.9</v>
      </c>
      <c r="L797" s="48" t="s">
        <v>69</v>
      </c>
    </row>
    <row r="798" spans="2:12" x14ac:dyDescent="0.25">
      <c r="B798" s="49" t="s">
        <v>1201</v>
      </c>
      <c r="C798" s="49" t="s">
        <v>20</v>
      </c>
      <c r="D798" s="58">
        <v>45996</v>
      </c>
      <c r="E798" s="51" t="s">
        <v>39</v>
      </c>
      <c r="F798" s="50" t="s">
        <v>52</v>
      </c>
      <c r="G798" s="52" t="s">
        <v>75</v>
      </c>
      <c r="H798" s="53">
        <v>5</v>
      </c>
      <c r="I798" s="54">
        <v>249</v>
      </c>
      <c r="J798" s="54">
        <v>0</v>
      </c>
      <c r="K798" s="54">
        <v>1245</v>
      </c>
      <c r="L798" s="56" t="s">
        <v>65</v>
      </c>
    </row>
    <row r="799" spans="2:12" x14ac:dyDescent="0.25">
      <c r="B799" s="42" t="s">
        <v>1202</v>
      </c>
      <c r="C799" s="42" t="s">
        <v>34</v>
      </c>
      <c r="D799" s="57">
        <v>45996</v>
      </c>
      <c r="E799" s="44" t="s">
        <v>29</v>
      </c>
      <c r="F799" s="43" t="s">
        <v>30</v>
      </c>
      <c r="G799" s="42" t="s">
        <v>106</v>
      </c>
      <c r="H799" s="45">
        <v>4</v>
      </c>
      <c r="I799" s="46">
        <v>299</v>
      </c>
      <c r="J799" s="46">
        <v>0</v>
      </c>
      <c r="K799" s="46">
        <v>1196</v>
      </c>
      <c r="L799" s="48" t="s">
        <v>32</v>
      </c>
    </row>
    <row r="800" spans="2:12" x14ac:dyDescent="0.25">
      <c r="B800" s="49" t="s">
        <v>1203</v>
      </c>
      <c r="C800" s="49" t="s">
        <v>71</v>
      </c>
      <c r="D800" s="58">
        <v>45694</v>
      </c>
      <c r="E800" s="51" t="s">
        <v>29</v>
      </c>
      <c r="F800" s="50" t="s">
        <v>16</v>
      </c>
      <c r="G800" s="52" t="s">
        <v>116</v>
      </c>
      <c r="H800" s="53">
        <v>2</v>
      </c>
      <c r="I800" s="54">
        <v>45</v>
      </c>
      <c r="J800" s="54">
        <v>8.2899999999999991</v>
      </c>
      <c r="K800" s="54">
        <v>81.710000000000008</v>
      </c>
      <c r="L800" s="56" t="s">
        <v>65</v>
      </c>
    </row>
    <row r="801" spans="2:12" x14ac:dyDescent="0.25">
      <c r="B801" s="42" t="s">
        <v>1204</v>
      </c>
      <c r="C801" s="42" t="s">
        <v>71</v>
      </c>
      <c r="D801" s="57">
        <v>45755</v>
      </c>
      <c r="E801" s="44" t="s">
        <v>29</v>
      </c>
      <c r="F801" s="43" t="s">
        <v>30</v>
      </c>
      <c r="G801" s="42" t="s">
        <v>31</v>
      </c>
      <c r="H801" s="45">
        <v>5</v>
      </c>
      <c r="I801" s="46">
        <v>2500</v>
      </c>
      <c r="J801" s="46">
        <v>211.93</v>
      </c>
      <c r="K801" s="46">
        <v>12288.07</v>
      </c>
      <c r="L801" s="48" t="s">
        <v>18</v>
      </c>
    </row>
    <row r="802" spans="2:12" x14ac:dyDescent="0.25">
      <c r="B802" s="49" t="s">
        <v>1205</v>
      </c>
      <c r="C802" s="49" t="s">
        <v>101</v>
      </c>
      <c r="D802" s="58">
        <v>45765</v>
      </c>
      <c r="E802" s="51" t="s">
        <v>47</v>
      </c>
      <c r="F802" s="50" t="s">
        <v>52</v>
      </c>
      <c r="G802" s="52" t="s">
        <v>53</v>
      </c>
      <c r="H802" s="53">
        <v>5</v>
      </c>
      <c r="I802" s="54">
        <v>149</v>
      </c>
      <c r="J802" s="54">
        <v>40.950000000000003</v>
      </c>
      <c r="K802" s="54">
        <v>704.05</v>
      </c>
      <c r="L802" s="56" t="s">
        <v>44</v>
      </c>
    </row>
    <row r="803" spans="2:12" x14ac:dyDescent="0.25">
      <c r="B803" s="42" t="s">
        <v>1206</v>
      </c>
      <c r="C803" s="42" t="s">
        <v>41</v>
      </c>
      <c r="D803" s="57">
        <v>45981</v>
      </c>
      <c r="E803" s="44" t="s">
        <v>47</v>
      </c>
      <c r="F803" s="43" t="s">
        <v>52</v>
      </c>
      <c r="G803" s="42" t="s">
        <v>99</v>
      </c>
      <c r="H803" s="45">
        <v>2</v>
      </c>
      <c r="I803" s="46">
        <v>79</v>
      </c>
      <c r="J803" s="46">
        <v>4.4400000000000004</v>
      </c>
      <c r="K803" s="46">
        <v>153.56</v>
      </c>
      <c r="L803" s="48" t="s">
        <v>89</v>
      </c>
    </row>
    <row r="804" spans="2:12" x14ac:dyDescent="0.25">
      <c r="B804" s="49" t="s">
        <v>1207</v>
      </c>
      <c r="C804" s="49" t="s">
        <v>55</v>
      </c>
      <c r="D804" s="58">
        <v>46022</v>
      </c>
      <c r="E804" s="51" t="s">
        <v>47</v>
      </c>
      <c r="F804" s="50" t="s">
        <v>52</v>
      </c>
      <c r="G804" s="52" t="s">
        <v>75</v>
      </c>
      <c r="H804" s="53">
        <v>2</v>
      </c>
      <c r="I804" s="54">
        <v>249</v>
      </c>
      <c r="J804" s="54">
        <v>13.48</v>
      </c>
      <c r="K804" s="54">
        <v>484.52</v>
      </c>
      <c r="L804" s="56" t="s">
        <v>89</v>
      </c>
    </row>
    <row r="805" spans="2:12" x14ac:dyDescent="0.25">
      <c r="B805" s="42" t="s">
        <v>1208</v>
      </c>
      <c r="C805" s="42" t="s">
        <v>13</v>
      </c>
      <c r="D805" s="57">
        <v>45787</v>
      </c>
      <c r="E805" s="44" t="s">
        <v>39</v>
      </c>
      <c r="F805" s="43" t="s">
        <v>16</v>
      </c>
      <c r="G805" s="42" t="s">
        <v>116</v>
      </c>
      <c r="H805" s="45">
        <v>3</v>
      </c>
      <c r="I805" s="46">
        <v>45</v>
      </c>
      <c r="J805" s="46">
        <v>0</v>
      </c>
      <c r="K805" s="46">
        <v>135</v>
      </c>
      <c r="L805" s="48" t="s">
        <v>44</v>
      </c>
    </row>
    <row r="806" spans="2:12" x14ac:dyDescent="0.25">
      <c r="B806" s="49" t="s">
        <v>1209</v>
      </c>
      <c r="C806" s="49" t="s">
        <v>55</v>
      </c>
      <c r="D806" s="58">
        <v>45818</v>
      </c>
      <c r="E806" s="51" t="s">
        <v>22</v>
      </c>
      <c r="F806" s="50" t="s">
        <v>52</v>
      </c>
      <c r="G806" s="52" t="s">
        <v>99</v>
      </c>
      <c r="H806" s="53">
        <v>4</v>
      </c>
      <c r="I806" s="54">
        <v>79</v>
      </c>
      <c r="J806" s="54">
        <v>0</v>
      </c>
      <c r="K806" s="54">
        <v>316</v>
      </c>
      <c r="L806" s="56" t="s">
        <v>89</v>
      </c>
    </row>
    <row r="807" spans="2:12" x14ac:dyDescent="0.25">
      <c r="B807" s="42" t="s">
        <v>1210</v>
      </c>
      <c r="C807" s="42" t="s">
        <v>13</v>
      </c>
      <c r="D807" s="57">
        <v>46053</v>
      </c>
      <c r="E807" s="44" t="s">
        <v>47</v>
      </c>
      <c r="F807" s="43" t="s">
        <v>16</v>
      </c>
      <c r="G807" s="42" t="s">
        <v>116</v>
      </c>
      <c r="H807" s="45">
        <v>5</v>
      </c>
      <c r="I807" s="46">
        <v>45</v>
      </c>
      <c r="J807" s="46">
        <v>0</v>
      </c>
      <c r="K807" s="46">
        <v>225</v>
      </c>
      <c r="L807" s="48" t="s">
        <v>18</v>
      </c>
    </row>
    <row r="808" spans="2:12" x14ac:dyDescent="0.25">
      <c r="B808" s="49" t="s">
        <v>1211</v>
      </c>
      <c r="C808" s="49" t="s">
        <v>95</v>
      </c>
      <c r="D808" s="58">
        <v>45912</v>
      </c>
      <c r="E808" s="51" t="s">
        <v>39</v>
      </c>
      <c r="F808" s="50" t="s">
        <v>23</v>
      </c>
      <c r="G808" s="52" t="s">
        <v>24</v>
      </c>
      <c r="H808" s="53">
        <v>4</v>
      </c>
      <c r="I808" s="54">
        <v>180</v>
      </c>
      <c r="J808" s="54">
        <v>0</v>
      </c>
      <c r="K808" s="54">
        <v>720</v>
      </c>
      <c r="L808" s="56" t="s">
        <v>65</v>
      </c>
    </row>
    <row r="809" spans="2:12" x14ac:dyDescent="0.25">
      <c r="B809" s="42" t="s">
        <v>1212</v>
      </c>
      <c r="C809" s="42" t="s">
        <v>20</v>
      </c>
      <c r="D809" s="57">
        <v>45938</v>
      </c>
      <c r="E809" s="44" t="s">
        <v>22</v>
      </c>
      <c r="F809" s="43" t="s">
        <v>30</v>
      </c>
      <c r="G809" s="42" t="s">
        <v>68</v>
      </c>
      <c r="H809" s="45">
        <v>3</v>
      </c>
      <c r="I809" s="46">
        <v>799</v>
      </c>
      <c r="J809" s="46">
        <v>0</v>
      </c>
      <c r="K809" s="46">
        <v>2397</v>
      </c>
      <c r="L809" s="48" t="s">
        <v>25</v>
      </c>
    </row>
    <row r="810" spans="2:12" x14ac:dyDescent="0.25">
      <c r="B810" s="49" t="s">
        <v>1213</v>
      </c>
      <c r="C810" s="49" t="s">
        <v>71</v>
      </c>
      <c r="D810" s="58">
        <v>45854</v>
      </c>
      <c r="E810" s="51" t="s">
        <v>47</v>
      </c>
      <c r="F810" s="50" t="s">
        <v>16</v>
      </c>
      <c r="G810" s="52" t="s">
        <v>116</v>
      </c>
      <c r="H810" s="53">
        <v>5</v>
      </c>
      <c r="I810" s="54">
        <v>45</v>
      </c>
      <c r="J810" s="54">
        <v>0</v>
      </c>
      <c r="K810" s="54">
        <v>225</v>
      </c>
      <c r="L810" s="56" t="s">
        <v>18</v>
      </c>
    </row>
    <row r="811" spans="2:12" x14ac:dyDescent="0.25">
      <c r="B811" s="42" t="s">
        <v>1214</v>
      </c>
      <c r="C811" s="42" t="s">
        <v>95</v>
      </c>
      <c r="D811" s="57">
        <v>45670</v>
      </c>
      <c r="E811" s="44" t="s">
        <v>39</v>
      </c>
      <c r="F811" s="43" t="s">
        <v>23</v>
      </c>
      <c r="G811" s="42" t="s">
        <v>48</v>
      </c>
      <c r="H811" s="45">
        <v>1</v>
      </c>
      <c r="I811" s="46">
        <v>450</v>
      </c>
      <c r="J811" s="46">
        <v>0</v>
      </c>
      <c r="K811" s="46">
        <v>450</v>
      </c>
      <c r="L811" s="48" t="s">
        <v>69</v>
      </c>
    </row>
    <row r="812" spans="2:12" x14ac:dyDescent="0.25">
      <c r="B812" s="49" t="s">
        <v>1215</v>
      </c>
      <c r="C812" s="49" t="s">
        <v>27</v>
      </c>
      <c r="D812" s="58">
        <v>45893</v>
      </c>
      <c r="E812" s="51" t="s">
        <v>47</v>
      </c>
      <c r="F812" s="50" t="s">
        <v>30</v>
      </c>
      <c r="G812" s="52" t="s">
        <v>31</v>
      </c>
      <c r="H812" s="53">
        <v>3</v>
      </c>
      <c r="I812" s="54">
        <v>2500</v>
      </c>
      <c r="J812" s="54">
        <v>1105.25</v>
      </c>
      <c r="K812" s="54">
        <v>6394.75</v>
      </c>
      <c r="L812" s="56" t="s">
        <v>18</v>
      </c>
    </row>
    <row r="813" spans="2:12" x14ac:dyDescent="0.25">
      <c r="B813" s="42" t="s">
        <v>1216</v>
      </c>
      <c r="C813" s="42" t="s">
        <v>63</v>
      </c>
      <c r="D813" s="57">
        <v>45757</v>
      </c>
      <c r="E813" s="44" t="s">
        <v>39</v>
      </c>
      <c r="F813" s="43" t="s">
        <v>16</v>
      </c>
      <c r="G813" s="42" t="s">
        <v>103</v>
      </c>
      <c r="H813" s="45">
        <v>2</v>
      </c>
      <c r="I813" s="46">
        <v>89</v>
      </c>
      <c r="J813" s="46">
        <v>0</v>
      </c>
      <c r="K813" s="46">
        <v>178</v>
      </c>
      <c r="L813" s="48" t="s">
        <v>69</v>
      </c>
    </row>
    <row r="814" spans="2:12" x14ac:dyDescent="0.25">
      <c r="B814" s="49" t="s">
        <v>1217</v>
      </c>
      <c r="C814" s="49" t="s">
        <v>34</v>
      </c>
      <c r="D814" s="58">
        <v>46034</v>
      </c>
      <c r="E814" s="51" t="s">
        <v>15</v>
      </c>
      <c r="F814" s="50" t="s">
        <v>52</v>
      </c>
      <c r="G814" s="52" t="s">
        <v>53</v>
      </c>
      <c r="H814" s="53">
        <v>3</v>
      </c>
      <c r="I814" s="54">
        <v>149</v>
      </c>
      <c r="J814" s="54">
        <v>51.33</v>
      </c>
      <c r="K814" s="54">
        <v>395.67</v>
      </c>
      <c r="L814" s="56" t="s">
        <v>44</v>
      </c>
    </row>
    <row r="815" spans="2:12" x14ac:dyDescent="0.25">
      <c r="B815" s="42" t="s">
        <v>1218</v>
      </c>
      <c r="C815" s="42" t="s">
        <v>34</v>
      </c>
      <c r="D815" s="57">
        <v>45726</v>
      </c>
      <c r="E815" s="44" t="s">
        <v>15</v>
      </c>
      <c r="F815" s="43" t="s">
        <v>30</v>
      </c>
      <c r="G815" s="42" t="s">
        <v>152</v>
      </c>
      <c r="H815" s="45">
        <v>5</v>
      </c>
      <c r="I815" s="46">
        <v>4500</v>
      </c>
      <c r="J815" s="46">
        <v>200.47</v>
      </c>
      <c r="K815" s="46">
        <v>22299.53</v>
      </c>
      <c r="L815" s="48" t="s">
        <v>25</v>
      </c>
    </row>
    <row r="816" spans="2:12" x14ac:dyDescent="0.25">
      <c r="B816" s="49" t="s">
        <v>1219</v>
      </c>
      <c r="C816" s="49" t="s">
        <v>27</v>
      </c>
      <c r="D816" s="58">
        <v>45912</v>
      </c>
      <c r="E816" s="51" t="s">
        <v>47</v>
      </c>
      <c r="F816" s="50" t="s">
        <v>52</v>
      </c>
      <c r="G816" s="52" t="s">
        <v>53</v>
      </c>
      <c r="H816" s="53">
        <v>4</v>
      </c>
      <c r="I816" s="54">
        <v>149</v>
      </c>
      <c r="J816" s="54">
        <v>0</v>
      </c>
      <c r="K816" s="54">
        <v>596</v>
      </c>
      <c r="L816" s="56" t="s">
        <v>25</v>
      </c>
    </row>
    <row r="817" spans="2:12" x14ac:dyDescent="0.25">
      <c r="B817" s="42" t="s">
        <v>1220</v>
      </c>
      <c r="C817" s="42" t="s">
        <v>37</v>
      </c>
      <c r="D817" s="57">
        <v>45918</v>
      </c>
      <c r="E817" s="44" t="s">
        <v>15</v>
      </c>
      <c r="F817" s="43" t="s">
        <v>16</v>
      </c>
      <c r="G817" s="42" t="s">
        <v>17</v>
      </c>
      <c r="H817" s="45">
        <v>2</v>
      </c>
      <c r="I817" s="46">
        <v>39</v>
      </c>
      <c r="J817" s="46">
        <v>0</v>
      </c>
      <c r="K817" s="46">
        <v>78</v>
      </c>
      <c r="L817" s="48" t="s">
        <v>49</v>
      </c>
    </row>
    <row r="818" spans="2:12" x14ac:dyDescent="0.25">
      <c r="B818" s="49" t="s">
        <v>1221</v>
      </c>
      <c r="C818" s="49" t="s">
        <v>63</v>
      </c>
      <c r="D818" s="58">
        <v>45660</v>
      </c>
      <c r="E818" s="51" t="s">
        <v>15</v>
      </c>
      <c r="F818" s="50" t="s">
        <v>52</v>
      </c>
      <c r="G818" s="52" t="s">
        <v>75</v>
      </c>
      <c r="H818" s="53">
        <v>3</v>
      </c>
      <c r="I818" s="54">
        <v>249</v>
      </c>
      <c r="J818" s="54">
        <v>110.32</v>
      </c>
      <c r="K818" s="54">
        <v>636.68000000000006</v>
      </c>
      <c r="L818" s="56" t="s">
        <v>69</v>
      </c>
    </row>
    <row r="819" spans="2:12" x14ac:dyDescent="0.25">
      <c r="B819" s="42" t="s">
        <v>1222</v>
      </c>
      <c r="C819" s="42" t="s">
        <v>63</v>
      </c>
      <c r="D819" s="57">
        <v>46036</v>
      </c>
      <c r="E819" s="44" t="s">
        <v>15</v>
      </c>
      <c r="F819" s="43" t="s">
        <v>23</v>
      </c>
      <c r="G819" s="42" t="s">
        <v>48</v>
      </c>
      <c r="H819" s="45">
        <v>5</v>
      </c>
      <c r="I819" s="46">
        <v>450</v>
      </c>
      <c r="J819" s="46">
        <v>0</v>
      </c>
      <c r="K819" s="46">
        <v>2250</v>
      </c>
      <c r="L819" s="48" t="s">
        <v>89</v>
      </c>
    </row>
    <row r="820" spans="2:12" x14ac:dyDescent="0.25">
      <c r="B820" s="49" t="s">
        <v>1223</v>
      </c>
      <c r="C820" s="49" t="s">
        <v>34</v>
      </c>
      <c r="D820" s="58">
        <v>46057</v>
      </c>
      <c r="E820" s="51" t="s">
        <v>29</v>
      </c>
      <c r="F820" s="50" t="s">
        <v>52</v>
      </c>
      <c r="G820" s="52" t="s">
        <v>75</v>
      </c>
      <c r="H820" s="53">
        <v>1</v>
      </c>
      <c r="I820" s="54">
        <v>249</v>
      </c>
      <c r="J820" s="54">
        <v>0</v>
      </c>
      <c r="K820" s="54">
        <v>249</v>
      </c>
      <c r="L820" s="56" t="s">
        <v>49</v>
      </c>
    </row>
    <row r="821" spans="2:12" x14ac:dyDescent="0.25">
      <c r="B821" s="42" t="s">
        <v>1224</v>
      </c>
      <c r="C821" s="42" t="s">
        <v>55</v>
      </c>
      <c r="D821" s="57">
        <v>45788</v>
      </c>
      <c r="E821" s="44" t="s">
        <v>39</v>
      </c>
      <c r="F821" s="43" t="s">
        <v>30</v>
      </c>
      <c r="G821" s="42" t="s">
        <v>31</v>
      </c>
      <c r="H821" s="45">
        <v>3</v>
      </c>
      <c r="I821" s="46">
        <v>2500</v>
      </c>
      <c r="J821" s="46">
        <v>0</v>
      </c>
      <c r="K821" s="46">
        <v>7500</v>
      </c>
      <c r="L821" s="48" t="s">
        <v>25</v>
      </c>
    </row>
    <row r="822" spans="2:12" x14ac:dyDescent="0.25">
      <c r="B822" s="49" t="s">
        <v>1225</v>
      </c>
      <c r="C822" s="49" t="s">
        <v>110</v>
      </c>
      <c r="D822" s="58">
        <v>45993</v>
      </c>
      <c r="E822" s="51" t="s">
        <v>39</v>
      </c>
      <c r="F822" s="50" t="s">
        <v>23</v>
      </c>
      <c r="G822" s="52" t="s">
        <v>43</v>
      </c>
      <c r="H822" s="53">
        <v>1</v>
      </c>
      <c r="I822" s="54">
        <v>350</v>
      </c>
      <c r="J822" s="54">
        <v>0</v>
      </c>
      <c r="K822" s="54">
        <v>350</v>
      </c>
      <c r="L822" s="56" t="s">
        <v>44</v>
      </c>
    </row>
    <row r="823" spans="2:12" x14ac:dyDescent="0.25">
      <c r="B823" s="42" t="s">
        <v>1226</v>
      </c>
      <c r="C823" s="42" t="s">
        <v>37</v>
      </c>
      <c r="D823" s="57">
        <v>45780</v>
      </c>
      <c r="E823" s="44" t="s">
        <v>29</v>
      </c>
      <c r="F823" s="43" t="s">
        <v>16</v>
      </c>
      <c r="G823" s="42" t="s">
        <v>116</v>
      </c>
      <c r="H823" s="45">
        <v>4</v>
      </c>
      <c r="I823" s="46">
        <v>45</v>
      </c>
      <c r="J823" s="46">
        <v>0</v>
      </c>
      <c r="K823" s="46">
        <v>180</v>
      </c>
      <c r="L823" s="48" t="s">
        <v>89</v>
      </c>
    </row>
    <row r="824" spans="2:12" x14ac:dyDescent="0.25">
      <c r="B824" s="49" t="s">
        <v>1227</v>
      </c>
      <c r="C824" s="49" t="s">
        <v>95</v>
      </c>
      <c r="D824" s="58">
        <v>45722</v>
      </c>
      <c r="E824" s="51" t="s">
        <v>39</v>
      </c>
      <c r="F824" s="50" t="s">
        <v>52</v>
      </c>
      <c r="G824" s="52" t="s">
        <v>61</v>
      </c>
      <c r="H824" s="53">
        <v>5</v>
      </c>
      <c r="I824" s="54">
        <v>199</v>
      </c>
      <c r="J824" s="54">
        <v>0</v>
      </c>
      <c r="K824" s="54">
        <v>995</v>
      </c>
      <c r="L824" s="56" t="s">
        <v>65</v>
      </c>
    </row>
    <row r="825" spans="2:12" x14ac:dyDescent="0.25">
      <c r="B825" s="42" t="s">
        <v>1228</v>
      </c>
      <c r="C825" s="42" t="s">
        <v>13</v>
      </c>
      <c r="D825" s="57">
        <v>45997</v>
      </c>
      <c r="E825" s="44" t="s">
        <v>22</v>
      </c>
      <c r="F825" s="43" t="s">
        <v>23</v>
      </c>
      <c r="G825" s="42" t="s">
        <v>24</v>
      </c>
      <c r="H825" s="45">
        <v>5</v>
      </c>
      <c r="I825" s="46">
        <v>180</v>
      </c>
      <c r="J825" s="46">
        <v>0</v>
      </c>
      <c r="K825" s="46">
        <v>900</v>
      </c>
      <c r="L825" s="48" t="s">
        <v>49</v>
      </c>
    </row>
    <row r="826" spans="2:12" x14ac:dyDescent="0.25">
      <c r="B826" s="49" t="s">
        <v>1230</v>
      </c>
      <c r="C826" s="49" t="s">
        <v>13</v>
      </c>
      <c r="D826" s="58">
        <v>45668</v>
      </c>
      <c r="E826" s="51" t="s">
        <v>22</v>
      </c>
      <c r="F826" s="50" t="s">
        <v>52</v>
      </c>
      <c r="G826" s="52" t="s">
        <v>53</v>
      </c>
      <c r="H826" s="53">
        <v>3</v>
      </c>
      <c r="I826" s="54">
        <v>149</v>
      </c>
      <c r="J826" s="54">
        <v>6.05</v>
      </c>
      <c r="K826" s="54">
        <v>440.95</v>
      </c>
      <c r="L826" s="56" t="s">
        <v>18</v>
      </c>
    </row>
    <row r="827" spans="2:12" x14ac:dyDescent="0.25">
      <c r="B827" s="42" t="s">
        <v>1231</v>
      </c>
      <c r="C827" s="42" t="s">
        <v>27</v>
      </c>
      <c r="D827" s="57">
        <v>46015</v>
      </c>
      <c r="E827" s="44" t="s">
        <v>29</v>
      </c>
      <c r="F827" s="43" t="s">
        <v>16</v>
      </c>
      <c r="G827" s="42" t="s">
        <v>78</v>
      </c>
      <c r="H827" s="45">
        <v>2</v>
      </c>
      <c r="I827" s="46">
        <v>59</v>
      </c>
      <c r="J827" s="46">
        <v>13.12</v>
      </c>
      <c r="K827" s="46">
        <v>104.88</v>
      </c>
      <c r="L827" s="48" t="s">
        <v>69</v>
      </c>
    </row>
    <row r="828" spans="2:12" x14ac:dyDescent="0.25">
      <c r="B828" s="49" t="s">
        <v>1232</v>
      </c>
      <c r="C828" s="49" t="s">
        <v>27</v>
      </c>
      <c r="D828" s="58">
        <v>45729</v>
      </c>
      <c r="E828" s="51" t="s">
        <v>15</v>
      </c>
      <c r="F828" s="50" t="s">
        <v>30</v>
      </c>
      <c r="G828" s="52" t="s">
        <v>152</v>
      </c>
      <c r="H828" s="53">
        <v>2</v>
      </c>
      <c r="I828" s="54">
        <v>4500</v>
      </c>
      <c r="J828" s="54">
        <v>1297.98</v>
      </c>
      <c r="K828" s="54">
        <v>7702.02</v>
      </c>
      <c r="L828" s="56" t="s">
        <v>18</v>
      </c>
    </row>
    <row r="829" spans="2:12" x14ac:dyDescent="0.25">
      <c r="B829" s="42" t="s">
        <v>1233</v>
      </c>
      <c r="C829" s="42" t="s">
        <v>37</v>
      </c>
      <c r="D829" s="57">
        <v>45792</v>
      </c>
      <c r="E829" s="44" t="s">
        <v>29</v>
      </c>
      <c r="F829" s="43" t="s">
        <v>16</v>
      </c>
      <c r="G829" s="42" t="s">
        <v>17</v>
      </c>
      <c r="H829" s="45">
        <v>1</v>
      </c>
      <c r="I829" s="46">
        <v>39</v>
      </c>
      <c r="J829" s="46">
        <v>3.82</v>
      </c>
      <c r="K829" s="46">
        <v>35.18</v>
      </c>
      <c r="L829" s="48" t="s">
        <v>18</v>
      </c>
    </row>
    <row r="830" spans="2:12" x14ac:dyDescent="0.25">
      <c r="B830" s="49" t="s">
        <v>1234</v>
      </c>
      <c r="C830" s="49" t="s">
        <v>20</v>
      </c>
      <c r="D830" s="58">
        <v>45944</v>
      </c>
      <c r="E830" s="51" t="s">
        <v>29</v>
      </c>
      <c r="F830" s="50" t="s">
        <v>16</v>
      </c>
      <c r="G830" s="52" t="s">
        <v>116</v>
      </c>
      <c r="H830" s="53">
        <v>3</v>
      </c>
      <c r="I830" s="54">
        <v>45</v>
      </c>
      <c r="J830" s="54">
        <v>10.220000000000001</v>
      </c>
      <c r="K830" s="54">
        <v>124.78</v>
      </c>
      <c r="L830" s="56" t="s">
        <v>25</v>
      </c>
    </row>
    <row r="831" spans="2:12" x14ac:dyDescent="0.25">
      <c r="B831" s="42" t="s">
        <v>1235</v>
      </c>
      <c r="C831" s="42" t="s">
        <v>71</v>
      </c>
      <c r="D831" s="57">
        <v>46024</v>
      </c>
      <c r="E831" s="44" t="s">
        <v>47</v>
      </c>
      <c r="F831" s="43" t="s">
        <v>23</v>
      </c>
      <c r="G831" s="42" t="s">
        <v>43</v>
      </c>
      <c r="H831" s="45">
        <v>2</v>
      </c>
      <c r="I831" s="46">
        <v>350</v>
      </c>
      <c r="J831" s="46">
        <v>81.5</v>
      </c>
      <c r="K831" s="46">
        <v>618.5</v>
      </c>
      <c r="L831" s="48" t="s">
        <v>18</v>
      </c>
    </row>
    <row r="832" spans="2:12" x14ac:dyDescent="0.25">
      <c r="B832" s="49" t="s">
        <v>1236</v>
      </c>
      <c r="C832" s="49" t="s">
        <v>71</v>
      </c>
      <c r="D832" s="58">
        <v>45695</v>
      </c>
      <c r="E832" s="51" t="s">
        <v>22</v>
      </c>
      <c r="F832" s="50" t="s">
        <v>52</v>
      </c>
      <c r="G832" s="52" t="s">
        <v>75</v>
      </c>
      <c r="H832" s="53">
        <v>4</v>
      </c>
      <c r="I832" s="54">
        <v>249</v>
      </c>
      <c r="J832" s="54">
        <v>85.77</v>
      </c>
      <c r="K832" s="54">
        <v>910.23</v>
      </c>
      <c r="L832" s="56" t="s">
        <v>44</v>
      </c>
    </row>
    <row r="833" spans="2:12" x14ac:dyDescent="0.25">
      <c r="B833" s="42" t="s">
        <v>1237</v>
      </c>
      <c r="C833" s="42" t="s">
        <v>101</v>
      </c>
      <c r="D833" s="57">
        <v>45667</v>
      </c>
      <c r="E833" s="44" t="s">
        <v>29</v>
      </c>
      <c r="F833" s="43" t="s">
        <v>16</v>
      </c>
      <c r="G833" s="42" t="s">
        <v>116</v>
      </c>
      <c r="H833" s="45">
        <v>1</v>
      </c>
      <c r="I833" s="46">
        <v>45</v>
      </c>
      <c r="J833" s="46">
        <v>3.01</v>
      </c>
      <c r="K833" s="46">
        <v>41.99</v>
      </c>
      <c r="L833" s="48" t="s">
        <v>65</v>
      </c>
    </row>
    <row r="834" spans="2:12" x14ac:dyDescent="0.25">
      <c r="B834" s="49" t="s">
        <v>1239</v>
      </c>
      <c r="C834" s="49" t="s">
        <v>41</v>
      </c>
      <c r="D834" s="58">
        <v>45781</v>
      </c>
      <c r="E834" s="51" t="s">
        <v>39</v>
      </c>
      <c r="F834" s="50" t="s">
        <v>16</v>
      </c>
      <c r="G834" s="52" t="s">
        <v>17</v>
      </c>
      <c r="H834" s="53">
        <v>4</v>
      </c>
      <c r="I834" s="54">
        <v>39</v>
      </c>
      <c r="J834" s="54">
        <v>2.85</v>
      </c>
      <c r="K834" s="54">
        <v>153.15</v>
      </c>
      <c r="L834" s="56" t="s">
        <v>44</v>
      </c>
    </row>
    <row r="835" spans="2:12" x14ac:dyDescent="0.25">
      <c r="B835" s="42" t="s">
        <v>1240</v>
      </c>
      <c r="C835" s="42" t="s">
        <v>13</v>
      </c>
      <c r="D835" s="57">
        <v>45671</v>
      </c>
      <c r="E835" s="44" t="s">
        <v>29</v>
      </c>
      <c r="F835" s="43" t="s">
        <v>16</v>
      </c>
      <c r="G835" s="42" t="s">
        <v>103</v>
      </c>
      <c r="H835" s="45">
        <v>3</v>
      </c>
      <c r="I835" s="46">
        <v>89</v>
      </c>
      <c r="J835" s="46">
        <v>30.63</v>
      </c>
      <c r="K835" s="46">
        <v>236.37</v>
      </c>
      <c r="L835" s="48" t="s">
        <v>32</v>
      </c>
    </row>
    <row r="836" spans="2:12" x14ac:dyDescent="0.25">
      <c r="B836" s="49" t="s">
        <v>1241</v>
      </c>
      <c r="C836" s="49" t="s">
        <v>95</v>
      </c>
      <c r="D836" s="58">
        <v>45855</v>
      </c>
      <c r="E836" s="51" t="s">
        <v>29</v>
      </c>
      <c r="F836" s="50" t="s">
        <v>16</v>
      </c>
      <c r="G836" s="52" t="s">
        <v>17</v>
      </c>
      <c r="H836" s="53">
        <v>3</v>
      </c>
      <c r="I836" s="54">
        <v>39</v>
      </c>
      <c r="J836" s="54">
        <v>13.54</v>
      </c>
      <c r="K836" s="54">
        <v>103.46000000000001</v>
      </c>
      <c r="L836" s="56" t="s">
        <v>49</v>
      </c>
    </row>
    <row r="837" spans="2:12" x14ac:dyDescent="0.25">
      <c r="B837" s="42" t="s">
        <v>1242</v>
      </c>
      <c r="C837" s="42" t="s">
        <v>63</v>
      </c>
      <c r="D837" s="57">
        <v>45767</v>
      </c>
      <c r="E837" s="44" t="s">
        <v>15</v>
      </c>
      <c r="F837" s="43" t="s">
        <v>16</v>
      </c>
      <c r="G837" s="42" t="s">
        <v>78</v>
      </c>
      <c r="H837" s="45">
        <v>2</v>
      </c>
      <c r="I837" s="46">
        <v>59</v>
      </c>
      <c r="J837" s="46">
        <v>0</v>
      </c>
      <c r="K837" s="46">
        <v>118</v>
      </c>
      <c r="L837" s="48" t="s">
        <v>65</v>
      </c>
    </row>
    <row r="838" spans="2:12" x14ac:dyDescent="0.25">
      <c r="B838" s="49" t="s">
        <v>1243</v>
      </c>
      <c r="C838" s="49" t="s">
        <v>27</v>
      </c>
      <c r="D838" s="58">
        <v>45883</v>
      </c>
      <c r="E838" s="51" t="s">
        <v>15</v>
      </c>
      <c r="F838" s="50" t="s">
        <v>30</v>
      </c>
      <c r="G838" s="52" t="s">
        <v>68</v>
      </c>
      <c r="H838" s="53">
        <v>4</v>
      </c>
      <c r="I838" s="54">
        <v>799</v>
      </c>
      <c r="J838" s="54">
        <v>0</v>
      </c>
      <c r="K838" s="54">
        <v>3196</v>
      </c>
      <c r="L838" s="56" t="s">
        <v>49</v>
      </c>
    </row>
    <row r="839" spans="2:12" x14ac:dyDescent="0.25">
      <c r="B839" s="42" t="s">
        <v>1244</v>
      </c>
      <c r="C839" s="42" t="s">
        <v>55</v>
      </c>
      <c r="D839" s="57">
        <v>46058</v>
      </c>
      <c r="E839" s="44" t="s">
        <v>47</v>
      </c>
      <c r="F839" s="43" t="s">
        <v>52</v>
      </c>
      <c r="G839" s="42" t="s">
        <v>61</v>
      </c>
      <c r="H839" s="45">
        <v>1</v>
      </c>
      <c r="I839" s="46">
        <v>199</v>
      </c>
      <c r="J839" s="46">
        <v>8.4700000000000006</v>
      </c>
      <c r="K839" s="46">
        <v>190.53</v>
      </c>
      <c r="L839" s="48" t="s">
        <v>32</v>
      </c>
    </row>
    <row r="840" spans="2:12" x14ac:dyDescent="0.25">
      <c r="B840" s="49" t="s">
        <v>1245</v>
      </c>
      <c r="C840" s="49" t="s">
        <v>13</v>
      </c>
      <c r="D840" s="58">
        <v>45927</v>
      </c>
      <c r="E840" s="51" t="s">
        <v>39</v>
      </c>
      <c r="F840" s="50" t="s">
        <v>16</v>
      </c>
      <c r="G840" s="52" t="s">
        <v>17</v>
      </c>
      <c r="H840" s="53">
        <v>1</v>
      </c>
      <c r="I840" s="54">
        <v>39</v>
      </c>
      <c r="J840" s="54">
        <v>2.54</v>
      </c>
      <c r="K840" s="54">
        <v>36.46</v>
      </c>
      <c r="L840" s="56" t="s">
        <v>25</v>
      </c>
    </row>
    <row r="841" spans="2:12" x14ac:dyDescent="0.25">
      <c r="B841" s="42" t="s">
        <v>1246</v>
      </c>
      <c r="C841" s="42" t="s">
        <v>27</v>
      </c>
      <c r="D841" s="57">
        <v>45769</v>
      </c>
      <c r="E841" s="44" t="s">
        <v>29</v>
      </c>
      <c r="F841" s="43" t="s">
        <v>52</v>
      </c>
      <c r="G841" s="42" t="s">
        <v>61</v>
      </c>
      <c r="H841" s="45">
        <v>4</v>
      </c>
      <c r="I841" s="46">
        <v>199</v>
      </c>
      <c r="J841" s="46">
        <v>85.71</v>
      </c>
      <c r="K841" s="46">
        <v>710.29</v>
      </c>
      <c r="L841" s="48" t="s">
        <v>32</v>
      </c>
    </row>
    <row r="842" spans="2:12" x14ac:dyDescent="0.25">
      <c r="B842" s="49" t="s">
        <v>1247</v>
      </c>
      <c r="C842" s="49" t="s">
        <v>71</v>
      </c>
      <c r="D842" s="58">
        <v>45837</v>
      </c>
      <c r="E842" s="51" t="s">
        <v>47</v>
      </c>
      <c r="F842" s="50" t="s">
        <v>52</v>
      </c>
      <c r="G842" s="52" t="s">
        <v>61</v>
      </c>
      <c r="H842" s="53">
        <v>3</v>
      </c>
      <c r="I842" s="54">
        <v>199</v>
      </c>
      <c r="J842" s="54">
        <v>0</v>
      </c>
      <c r="K842" s="54">
        <v>597</v>
      </c>
      <c r="L842" s="56" t="s">
        <v>49</v>
      </c>
    </row>
    <row r="843" spans="2:12" x14ac:dyDescent="0.25">
      <c r="B843" s="42" t="s">
        <v>1248</v>
      </c>
      <c r="C843" s="42" t="s">
        <v>63</v>
      </c>
      <c r="D843" s="57">
        <v>45721</v>
      </c>
      <c r="E843" s="44" t="s">
        <v>15</v>
      </c>
      <c r="F843" s="43" t="s">
        <v>30</v>
      </c>
      <c r="G843" s="42" t="s">
        <v>31</v>
      </c>
      <c r="H843" s="45">
        <v>5</v>
      </c>
      <c r="I843" s="46">
        <v>2500</v>
      </c>
      <c r="J843" s="46">
        <v>1266.4000000000001</v>
      </c>
      <c r="K843" s="46">
        <v>11233.6</v>
      </c>
      <c r="L843" s="48" t="s">
        <v>89</v>
      </c>
    </row>
    <row r="844" spans="2:12" x14ac:dyDescent="0.25">
      <c r="B844" s="49" t="s">
        <v>1249</v>
      </c>
      <c r="C844" s="49" t="s">
        <v>55</v>
      </c>
      <c r="D844" s="58">
        <v>45674</v>
      </c>
      <c r="E844" s="51" t="s">
        <v>39</v>
      </c>
      <c r="F844" s="50" t="s">
        <v>52</v>
      </c>
      <c r="G844" s="52" t="s">
        <v>61</v>
      </c>
      <c r="H844" s="53">
        <v>3</v>
      </c>
      <c r="I844" s="54">
        <v>199</v>
      </c>
      <c r="J844" s="54">
        <v>53.51</v>
      </c>
      <c r="K844" s="54">
        <v>543.49</v>
      </c>
      <c r="L844" s="56" t="s">
        <v>69</v>
      </c>
    </row>
    <row r="845" spans="2:12" x14ac:dyDescent="0.25">
      <c r="B845" s="42" t="s">
        <v>1250</v>
      </c>
      <c r="C845" s="42" t="s">
        <v>71</v>
      </c>
      <c r="D845" s="57">
        <v>45784</v>
      </c>
      <c r="E845" s="44" t="s">
        <v>29</v>
      </c>
      <c r="F845" s="43" t="s">
        <v>23</v>
      </c>
      <c r="G845" s="42" t="s">
        <v>48</v>
      </c>
      <c r="H845" s="45">
        <v>5</v>
      </c>
      <c r="I845" s="46">
        <v>450</v>
      </c>
      <c r="J845" s="46">
        <v>0</v>
      </c>
      <c r="K845" s="46">
        <v>2250</v>
      </c>
      <c r="L845" s="48" t="s">
        <v>65</v>
      </c>
    </row>
    <row r="846" spans="2:12" x14ac:dyDescent="0.25">
      <c r="B846" s="49" t="s">
        <v>1251</v>
      </c>
      <c r="C846" s="49" t="s">
        <v>13</v>
      </c>
      <c r="D846" s="58">
        <v>45909</v>
      </c>
      <c r="E846" s="51" t="s">
        <v>47</v>
      </c>
      <c r="F846" s="50" t="s">
        <v>16</v>
      </c>
      <c r="G846" s="52" t="s">
        <v>78</v>
      </c>
      <c r="H846" s="53">
        <v>2</v>
      </c>
      <c r="I846" s="54">
        <v>59</v>
      </c>
      <c r="J846" s="54">
        <v>0</v>
      </c>
      <c r="K846" s="54">
        <v>118</v>
      </c>
      <c r="L846" s="56" t="s">
        <v>18</v>
      </c>
    </row>
    <row r="847" spans="2:12" x14ac:dyDescent="0.25">
      <c r="B847" s="42" t="s">
        <v>1252</v>
      </c>
      <c r="C847" s="42" t="s">
        <v>34</v>
      </c>
      <c r="D847" s="57">
        <v>45800</v>
      </c>
      <c r="E847" s="44" t="s">
        <v>15</v>
      </c>
      <c r="F847" s="43" t="s">
        <v>23</v>
      </c>
      <c r="G847" s="42" t="s">
        <v>48</v>
      </c>
      <c r="H847" s="45">
        <v>1</v>
      </c>
      <c r="I847" s="46">
        <v>450</v>
      </c>
      <c r="J847" s="46">
        <v>29.51</v>
      </c>
      <c r="K847" s="46">
        <v>420.49</v>
      </c>
      <c r="L847" s="48" t="s">
        <v>49</v>
      </c>
    </row>
    <row r="848" spans="2:12" x14ac:dyDescent="0.25">
      <c r="B848" s="49" t="s">
        <v>1253</v>
      </c>
      <c r="C848" s="49" t="s">
        <v>63</v>
      </c>
      <c r="D848" s="58">
        <v>45896</v>
      </c>
      <c r="E848" s="51" t="s">
        <v>39</v>
      </c>
      <c r="F848" s="50" t="s">
        <v>16</v>
      </c>
      <c r="G848" s="52" t="s">
        <v>17</v>
      </c>
      <c r="H848" s="53">
        <v>3</v>
      </c>
      <c r="I848" s="54">
        <v>39</v>
      </c>
      <c r="J848" s="54">
        <v>0</v>
      </c>
      <c r="K848" s="54">
        <v>117</v>
      </c>
      <c r="L848" s="56" t="s">
        <v>25</v>
      </c>
    </row>
    <row r="849" spans="2:12" x14ac:dyDescent="0.25">
      <c r="B849" s="42" t="s">
        <v>1254</v>
      </c>
      <c r="C849" s="42" t="s">
        <v>13</v>
      </c>
      <c r="D849" s="57">
        <v>46037</v>
      </c>
      <c r="E849" s="44" t="s">
        <v>29</v>
      </c>
      <c r="F849" s="43" t="s">
        <v>23</v>
      </c>
      <c r="G849" s="42" t="s">
        <v>48</v>
      </c>
      <c r="H849" s="45">
        <v>2</v>
      </c>
      <c r="I849" s="46">
        <v>450</v>
      </c>
      <c r="J849" s="46">
        <v>0</v>
      </c>
      <c r="K849" s="46">
        <v>900</v>
      </c>
      <c r="L849" s="48" t="s">
        <v>25</v>
      </c>
    </row>
    <row r="850" spans="2:12" x14ac:dyDescent="0.25">
      <c r="B850" s="49" t="s">
        <v>1255</v>
      </c>
      <c r="C850" s="49" t="s">
        <v>20</v>
      </c>
      <c r="D850" s="58">
        <v>45840</v>
      </c>
      <c r="E850" s="51" t="s">
        <v>47</v>
      </c>
      <c r="F850" s="50" t="s">
        <v>23</v>
      </c>
      <c r="G850" s="52" t="s">
        <v>43</v>
      </c>
      <c r="H850" s="53">
        <v>5</v>
      </c>
      <c r="I850" s="54">
        <v>350</v>
      </c>
      <c r="J850" s="54">
        <v>184.15</v>
      </c>
      <c r="K850" s="54">
        <v>1565.85</v>
      </c>
      <c r="L850" s="56" t="s">
        <v>32</v>
      </c>
    </row>
    <row r="851" spans="2:12" x14ac:dyDescent="0.25">
      <c r="B851" s="42" t="s">
        <v>1256</v>
      </c>
      <c r="C851" s="42" t="s">
        <v>110</v>
      </c>
      <c r="D851" s="57">
        <v>45848</v>
      </c>
      <c r="E851" s="44" t="s">
        <v>15</v>
      </c>
      <c r="F851" s="43" t="s">
        <v>16</v>
      </c>
      <c r="G851" s="42" t="s">
        <v>78</v>
      </c>
      <c r="H851" s="45">
        <v>1</v>
      </c>
      <c r="I851" s="46">
        <v>59</v>
      </c>
      <c r="J851" s="46">
        <v>0</v>
      </c>
      <c r="K851" s="46">
        <v>59</v>
      </c>
      <c r="L851" s="48" t="s">
        <v>32</v>
      </c>
    </row>
    <row r="852" spans="2:12" x14ac:dyDescent="0.25">
      <c r="B852" s="49" t="s">
        <v>1257</v>
      </c>
      <c r="C852" s="49" t="s">
        <v>71</v>
      </c>
      <c r="D852" s="58">
        <v>45772</v>
      </c>
      <c r="E852" s="51" t="s">
        <v>15</v>
      </c>
      <c r="F852" s="50" t="s">
        <v>30</v>
      </c>
      <c r="G852" s="52" t="s">
        <v>31</v>
      </c>
      <c r="H852" s="53">
        <v>2</v>
      </c>
      <c r="I852" s="54">
        <v>2500</v>
      </c>
      <c r="J852" s="54">
        <v>0</v>
      </c>
      <c r="K852" s="54">
        <v>5000</v>
      </c>
      <c r="L852" s="56" t="s">
        <v>65</v>
      </c>
    </row>
    <row r="853" spans="2:12" x14ac:dyDescent="0.25">
      <c r="B853" s="42" t="s">
        <v>1258</v>
      </c>
      <c r="C853" s="42" t="s">
        <v>34</v>
      </c>
      <c r="D853" s="57">
        <v>45666</v>
      </c>
      <c r="E853" s="44" t="s">
        <v>29</v>
      </c>
      <c r="F853" s="43" t="s">
        <v>52</v>
      </c>
      <c r="G853" s="42" t="s">
        <v>99</v>
      </c>
      <c r="H853" s="45">
        <v>4</v>
      </c>
      <c r="I853" s="46">
        <v>79</v>
      </c>
      <c r="J853" s="46">
        <v>0</v>
      </c>
      <c r="K853" s="46">
        <v>316</v>
      </c>
      <c r="L853" s="48" t="s">
        <v>25</v>
      </c>
    </row>
    <row r="854" spans="2:12" x14ac:dyDescent="0.25">
      <c r="B854" s="49" t="s">
        <v>1259</v>
      </c>
      <c r="C854" s="49" t="s">
        <v>71</v>
      </c>
      <c r="D854" s="58">
        <v>45840</v>
      </c>
      <c r="E854" s="51" t="s">
        <v>29</v>
      </c>
      <c r="F854" s="50" t="s">
        <v>16</v>
      </c>
      <c r="G854" s="52" t="s">
        <v>103</v>
      </c>
      <c r="H854" s="53">
        <v>5</v>
      </c>
      <c r="I854" s="54">
        <v>89</v>
      </c>
      <c r="J854" s="54">
        <v>0</v>
      </c>
      <c r="K854" s="54">
        <v>445</v>
      </c>
      <c r="L854" s="56" t="s">
        <v>18</v>
      </c>
    </row>
    <row r="855" spans="2:12" x14ac:dyDescent="0.25">
      <c r="B855" s="42" t="s">
        <v>1260</v>
      </c>
      <c r="C855" s="42" t="s">
        <v>20</v>
      </c>
      <c r="D855" s="57">
        <v>45740</v>
      </c>
      <c r="E855" s="44" t="s">
        <v>15</v>
      </c>
      <c r="F855" s="43" t="s">
        <v>30</v>
      </c>
      <c r="G855" s="42" t="s">
        <v>152</v>
      </c>
      <c r="H855" s="45">
        <v>3</v>
      </c>
      <c r="I855" s="46">
        <v>4500</v>
      </c>
      <c r="J855" s="46">
        <v>0</v>
      </c>
      <c r="K855" s="46">
        <v>13500</v>
      </c>
      <c r="L855" s="48" t="s">
        <v>32</v>
      </c>
    </row>
    <row r="856" spans="2:12" x14ac:dyDescent="0.25">
      <c r="B856" s="49" t="s">
        <v>1262</v>
      </c>
      <c r="C856" s="49" t="s">
        <v>71</v>
      </c>
      <c r="D856" s="58">
        <v>45982</v>
      </c>
      <c r="E856" s="51" t="s">
        <v>15</v>
      </c>
      <c r="F856" s="50" t="s">
        <v>52</v>
      </c>
      <c r="G856" s="52" t="s">
        <v>75</v>
      </c>
      <c r="H856" s="53">
        <v>5</v>
      </c>
      <c r="I856" s="54">
        <v>249</v>
      </c>
      <c r="J856" s="54">
        <v>0</v>
      </c>
      <c r="K856" s="54">
        <v>1245</v>
      </c>
      <c r="L856" s="56" t="s">
        <v>25</v>
      </c>
    </row>
    <row r="857" spans="2:12" x14ac:dyDescent="0.25">
      <c r="B857" s="42" t="s">
        <v>1264</v>
      </c>
      <c r="C857" s="42" t="s">
        <v>55</v>
      </c>
      <c r="D857" s="57">
        <v>45948</v>
      </c>
      <c r="E857" s="44" t="s">
        <v>22</v>
      </c>
      <c r="F857" s="43" t="s">
        <v>30</v>
      </c>
      <c r="G857" s="42" t="s">
        <v>31</v>
      </c>
      <c r="H857" s="45">
        <v>1</v>
      </c>
      <c r="I857" s="46">
        <v>2500</v>
      </c>
      <c r="J857" s="46">
        <v>334.31</v>
      </c>
      <c r="K857" s="46">
        <v>2165.69</v>
      </c>
      <c r="L857" s="48" t="s">
        <v>65</v>
      </c>
    </row>
    <row r="858" spans="2:12" x14ac:dyDescent="0.25">
      <c r="B858" s="49" t="s">
        <v>1266</v>
      </c>
      <c r="C858" s="49" t="s">
        <v>20</v>
      </c>
      <c r="D858" s="58">
        <v>45748</v>
      </c>
      <c r="E858" s="51" t="s">
        <v>47</v>
      </c>
      <c r="F858" s="50" t="s">
        <v>52</v>
      </c>
      <c r="G858" s="52" t="s">
        <v>53</v>
      </c>
      <c r="H858" s="53">
        <v>1</v>
      </c>
      <c r="I858" s="54">
        <v>149</v>
      </c>
      <c r="J858" s="54">
        <v>0</v>
      </c>
      <c r="K858" s="54">
        <v>149</v>
      </c>
      <c r="L858" s="56" t="s">
        <v>49</v>
      </c>
    </row>
    <row r="859" spans="2:12" x14ac:dyDescent="0.25">
      <c r="B859" s="42" t="s">
        <v>1267</v>
      </c>
      <c r="C859" s="42" t="s">
        <v>37</v>
      </c>
      <c r="D859" s="57">
        <v>45832</v>
      </c>
      <c r="E859" s="44" t="s">
        <v>15</v>
      </c>
      <c r="F859" s="43" t="s">
        <v>30</v>
      </c>
      <c r="G859" s="42" t="s">
        <v>106</v>
      </c>
      <c r="H859" s="45">
        <v>3</v>
      </c>
      <c r="I859" s="46">
        <v>299</v>
      </c>
      <c r="J859" s="46">
        <v>111.34</v>
      </c>
      <c r="K859" s="46">
        <v>785.66</v>
      </c>
      <c r="L859" s="48" t="s">
        <v>65</v>
      </c>
    </row>
    <row r="860" spans="2:12" x14ac:dyDescent="0.25">
      <c r="B860" s="49" t="s">
        <v>1268</v>
      </c>
      <c r="C860" s="49" t="s">
        <v>20</v>
      </c>
      <c r="D860" s="58">
        <v>46009</v>
      </c>
      <c r="E860" s="51" t="s">
        <v>15</v>
      </c>
      <c r="F860" s="50" t="s">
        <v>23</v>
      </c>
      <c r="G860" s="52" t="s">
        <v>48</v>
      </c>
      <c r="H860" s="53">
        <v>3</v>
      </c>
      <c r="I860" s="54">
        <v>450</v>
      </c>
      <c r="J860" s="54">
        <v>76.77</v>
      </c>
      <c r="K860" s="54">
        <v>1273.23</v>
      </c>
      <c r="L860" s="56" t="s">
        <v>49</v>
      </c>
    </row>
    <row r="861" spans="2:12" x14ac:dyDescent="0.25">
      <c r="B861" s="42" t="s">
        <v>1269</v>
      </c>
      <c r="C861" s="42" t="s">
        <v>55</v>
      </c>
      <c r="D861" s="57">
        <v>45850</v>
      </c>
      <c r="E861" s="44" t="s">
        <v>47</v>
      </c>
      <c r="F861" s="43" t="s">
        <v>16</v>
      </c>
      <c r="G861" s="42" t="s">
        <v>17</v>
      </c>
      <c r="H861" s="45">
        <v>3</v>
      </c>
      <c r="I861" s="46">
        <v>39</v>
      </c>
      <c r="J861" s="46">
        <v>0</v>
      </c>
      <c r="K861" s="46">
        <v>117</v>
      </c>
      <c r="L861" s="48" t="s">
        <v>25</v>
      </c>
    </row>
    <row r="862" spans="2:12" x14ac:dyDescent="0.25">
      <c r="B862" s="49" t="s">
        <v>1270</v>
      </c>
      <c r="C862" s="49" t="s">
        <v>63</v>
      </c>
      <c r="D862" s="58">
        <v>45767</v>
      </c>
      <c r="E862" s="51" t="s">
        <v>29</v>
      </c>
      <c r="F862" s="50" t="s">
        <v>52</v>
      </c>
      <c r="G862" s="52" t="s">
        <v>53</v>
      </c>
      <c r="H862" s="53">
        <v>1</v>
      </c>
      <c r="I862" s="54">
        <v>149</v>
      </c>
      <c r="J862" s="54">
        <v>13.57</v>
      </c>
      <c r="K862" s="54">
        <v>135.43</v>
      </c>
      <c r="L862" s="56" t="s">
        <v>18</v>
      </c>
    </row>
    <row r="863" spans="2:12" x14ac:dyDescent="0.25">
      <c r="B863" s="42" t="s">
        <v>1271</v>
      </c>
      <c r="C863" s="42" t="s">
        <v>55</v>
      </c>
      <c r="D863" s="57">
        <v>45960</v>
      </c>
      <c r="E863" s="44" t="s">
        <v>22</v>
      </c>
      <c r="F863" s="43" t="s">
        <v>23</v>
      </c>
      <c r="G863" s="42" t="s">
        <v>24</v>
      </c>
      <c r="H863" s="45">
        <v>1</v>
      </c>
      <c r="I863" s="46">
        <v>180</v>
      </c>
      <c r="J863" s="46">
        <v>0</v>
      </c>
      <c r="K863" s="46">
        <v>180</v>
      </c>
      <c r="L863" s="48" t="s">
        <v>49</v>
      </c>
    </row>
    <row r="864" spans="2:12" x14ac:dyDescent="0.25">
      <c r="B864" s="49" t="s">
        <v>1272</v>
      </c>
      <c r="C864" s="49" t="s">
        <v>71</v>
      </c>
      <c r="D864" s="58">
        <v>45691</v>
      </c>
      <c r="E864" s="51" t="s">
        <v>29</v>
      </c>
      <c r="F864" s="50" t="s">
        <v>23</v>
      </c>
      <c r="G864" s="52" t="s">
        <v>48</v>
      </c>
      <c r="H864" s="53">
        <v>2</v>
      </c>
      <c r="I864" s="54">
        <v>450</v>
      </c>
      <c r="J864" s="54">
        <v>22.44</v>
      </c>
      <c r="K864" s="54">
        <v>877.56</v>
      </c>
      <c r="L864" s="56" t="s">
        <v>25</v>
      </c>
    </row>
    <row r="865" spans="2:12" x14ac:dyDescent="0.25">
      <c r="B865" s="42" t="s">
        <v>1273</v>
      </c>
      <c r="C865" s="42" t="s">
        <v>20</v>
      </c>
      <c r="D865" s="57">
        <v>45754</v>
      </c>
      <c r="E865" s="44" t="s">
        <v>22</v>
      </c>
      <c r="F865" s="43" t="s">
        <v>23</v>
      </c>
      <c r="G865" s="42" t="s">
        <v>43</v>
      </c>
      <c r="H865" s="45">
        <v>4</v>
      </c>
      <c r="I865" s="46">
        <v>350</v>
      </c>
      <c r="J865" s="46">
        <v>165.15</v>
      </c>
      <c r="K865" s="46">
        <v>1234.8499999999999</v>
      </c>
      <c r="L865" s="48" t="s">
        <v>89</v>
      </c>
    </row>
    <row r="866" spans="2:12" x14ac:dyDescent="0.25">
      <c r="B866" s="49" t="s">
        <v>1274</v>
      </c>
      <c r="C866" s="49" t="s">
        <v>37</v>
      </c>
      <c r="D866" s="58">
        <v>45720</v>
      </c>
      <c r="E866" s="51" t="s">
        <v>15</v>
      </c>
      <c r="F866" s="50" t="s">
        <v>23</v>
      </c>
      <c r="G866" s="52" t="s">
        <v>88</v>
      </c>
      <c r="H866" s="53">
        <v>1</v>
      </c>
      <c r="I866" s="54">
        <v>650</v>
      </c>
      <c r="J866" s="54">
        <v>0</v>
      </c>
      <c r="K866" s="54">
        <v>650</v>
      </c>
      <c r="L866" s="56" t="s">
        <v>18</v>
      </c>
    </row>
    <row r="867" spans="2:12" x14ac:dyDescent="0.25">
      <c r="B867" s="42" t="s">
        <v>1275</v>
      </c>
      <c r="C867" s="42" t="s">
        <v>110</v>
      </c>
      <c r="D867" s="57">
        <v>46056</v>
      </c>
      <c r="E867" s="44" t="s">
        <v>29</v>
      </c>
      <c r="F867" s="43" t="s">
        <v>16</v>
      </c>
      <c r="G867" s="42" t="s">
        <v>17</v>
      </c>
      <c r="H867" s="45">
        <v>3</v>
      </c>
      <c r="I867" s="46">
        <v>39</v>
      </c>
      <c r="J867" s="46">
        <v>10.83</v>
      </c>
      <c r="K867" s="46">
        <v>106.17</v>
      </c>
      <c r="L867" s="48" t="s">
        <v>25</v>
      </c>
    </row>
    <row r="868" spans="2:12" x14ac:dyDescent="0.25">
      <c r="B868" s="49" t="s">
        <v>1276</v>
      </c>
      <c r="C868" s="49" t="s">
        <v>20</v>
      </c>
      <c r="D868" s="58">
        <v>45712</v>
      </c>
      <c r="E868" s="51" t="s">
        <v>47</v>
      </c>
      <c r="F868" s="50" t="s">
        <v>16</v>
      </c>
      <c r="G868" s="52" t="s">
        <v>103</v>
      </c>
      <c r="H868" s="53">
        <v>5</v>
      </c>
      <c r="I868" s="54">
        <v>89</v>
      </c>
      <c r="J868" s="54">
        <v>0</v>
      </c>
      <c r="K868" s="54">
        <v>445</v>
      </c>
      <c r="L868" s="56" t="s">
        <v>69</v>
      </c>
    </row>
    <row r="869" spans="2:12" x14ac:dyDescent="0.25">
      <c r="B869" s="42" t="s">
        <v>1277</v>
      </c>
      <c r="C869" s="42" t="s">
        <v>55</v>
      </c>
      <c r="D869" s="57">
        <v>45873</v>
      </c>
      <c r="E869" s="44" t="s">
        <v>22</v>
      </c>
      <c r="F869" s="43" t="s">
        <v>23</v>
      </c>
      <c r="G869" s="42" t="s">
        <v>88</v>
      </c>
      <c r="H869" s="45">
        <v>3</v>
      </c>
      <c r="I869" s="46">
        <v>650</v>
      </c>
      <c r="J869" s="46">
        <v>236.79</v>
      </c>
      <c r="K869" s="46">
        <v>1713.21</v>
      </c>
      <c r="L869" s="48" t="s">
        <v>44</v>
      </c>
    </row>
    <row r="870" spans="2:12" x14ac:dyDescent="0.25">
      <c r="B870" s="49" t="s">
        <v>1278</v>
      </c>
      <c r="C870" s="49" t="s">
        <v>110</v>
      </c>
      <c r="D870" s="58">
        <v>45711</v>
      </c>
      <c r="E870" s="51" t="s">
        <v>29</v>
      </c>
      <c r="F870" s="50" t="s">
        <v>16</v>
      </c>
      <c r="G870" s="52" t="s">
        <v>78</v>
      </c>
      <c r="H870" s="53">
        <v>2</v>
      </c>
      <c r="I870" s="54">
        <v>59</v>
      </c>
      <c r="J870" s="54">
        <v>0</v>
      </c>
      <c r="K870" s="54">
        <v>118</v>
      </c>
      <c r="L870" s="56" t="s">
        <v>65</v>
      </c>
    </row>
    <row r="871" spans="2:12" x14ac:dyDescent="0.25">
      <c r="B871" s="42" t="s">
        <v>1279</v>
      </c>
      <c r="C871" s="42" t="s">
        <v>71</v>
      </c>
      <c r="D871" s="57">
        <v>45987</v>
      </c>
      <c r="E871" s="44" t="s">
        <v>22</v>
      </c>
      <c r="F871" s="43" t="s">
        <v>30</v>
      </c>
      <c r="G871" s="42" t="s">
        <v>31</v>
      </c>
      <c r="H871" s="45">
        <v>5</v>
      </c>
      <c r="I871" s="46">
        <v>2500</v>
      </c>
      <c r="J871" s="46">
        <v>0</v>
      </c>
      <c r="K871" s="46">
        <v>12500</v>
      </c>
      <c r="L871" s="48" t="s">
        <v>18</v>
      </c>
    </row>
    <row r="872" spans="2:12" x14ac:dyDescent="0.25">
      <c r="B872" s="49" t="s">
        <v>1280</v>
      </c>
      <c r="C872" s="49" t="s">
        <v>101</v>
      </c>
      <c r="D872" s="58">
        <v>45829</v>
      </c>
      <c r="E872" s="51" t="s">
        <v>22</v>
      </c>
      <c r="F872" s="50" t="s">
        <v>30</v>
      </c>
      <c r="G872" s="52" t="s">
        <v>68</v>
      </c>
      <c r="H872" s="53">
        <v>3</v>
      </c>
      <c r="I872" s="54">
        <v>799</v>
      </c>
      <c r="J872" s="54">
        <v>0</v>
      </c>
      <c r="K872" s="54">
        <v>2397</v>
      </c>
      <c r="L872" s="56" t="s">
        <v>65</v>
      </c>
    </row>
    <row r="873" spans="2:12" x14ac:dyDescent="0.25">
      <c r="B873" s="42" t="s">
        <v>1282</v>
      </c>
      <c r="C873" s="42" t="s">
        <v>95</v>
      </c>
      <c r="D873" s="57">
        <v>45932</v>
      </c>
      <c r="E873" s="44" t="s">
        <v>15</v>
      </c>
      <c r="F873" s="43" t="s">
        <v>30</v>
      </c>
      <c r="G873" s="42" t="s">
        <v>106</v>
      </c>
      <c r="H873" s="45">
        <v>3</v>
      </c>
      <c r="I873" s="46">
        <v>299</v>
      </c>
      <c r="J873" s="46">
        <v>87.28</v>
      </c>
      <c r="K873" s="46">
        <v>809.72</v>
      </c>
      <c r="L873" s="48" t="s">
        <v>25</v>
      </c>
    </row>
    <row r="874" spans="2:12" x14ac:dyDescent="0.25">
      <c r="B874" s="49" t="s">
        <v>1283</v>
      </c>
      <c r="C874" s="49" t="s">
        <v>110</v>
      </c>
      <c r="D874" s="58">
        <v>46021</v>
      </c>
      <c r="E874" s="51" t="s">
        <v>15</v>
      </c>
      <c r="F874" s="50" t="s">
        <v>23</v>
      </c>
      <c r="G874" s="52" t="s">
        <v>48</v>
      </c>
      <c r="H874" s="53">
        <v>4</v>
      </c>
      <c r="I874" s="54">
        <v>450</v>
      </c>
      <c r="J874" s="54">
        <v>45.65</v>
      </c>
      <c r="K874" s="54">
        <v>1754.35</v>
      </c>
      <c r="L874" s="56" t="s">
        <v>49</v>
      </c>
    </row>
    <row r="875" spans="2:12" x14ac:dyDescent="0.25">
      <c r="B875" s="42" t="s">
        <v>1284</v>
      </c>
      <c r="C875" s="42" t="s">
        <v>37</v>
      </c>
      <c r="D875" s="57">
        <v>45844</v>
      </c>
      <c r="E875" s="44" t="s">
        <v>15</v>
      </c>
      <c r="F875" s="43" t="s">
        <v>30</v>
      </c>
      <c r="G875" s="42" t="s">
        <v>152</v>
      </c>
      <c r="H875" s="45">
        <v>3</v>
      </c>
      <c r="I875" s="46">
        <v>4500</v>
      </c>
      <c r="J875" s="46">
        <v>0</v>
      </c>
      <c r="K875" s="46">
        <v>13500</v>
      </c>
      <c r="L875" s="48" t="s">
        <v>18</v>
      </c>
    </row>
    <row r="876" spans="2:12" x14ac:dyDescent="0.25">
      <c r="B876" s="49" t="s">
        <v>1286</v>
      </c>
      <c r="C876" s="49" t="s">
        <v>34</v>
      </c>
      <c r="D876" s="58">
        <v>45950</v>
      </c>
      <c r="E876" s="51" t="s">
        <v>47</v>
      </c>
      <c r="F876" s="50" t="s">
        <v>30</v>
      </c>
      <c r="G876" s="52" t="s">
        <v>152</v>
      </c>
      <c r="H876" s="53">
        <v>1</v>
      </c>
      <c r="I876" s="54">
        <v>4500</v>
      </c>
      <c r="J876" s="54">
        <v>0</v>
      </c>
      <c r="K876" s="54">
        <v>4500</v>
      </c>
      <c r="L876" s="56" t="s">
        <v>89</v>
      </c>
    </row>
    <row r="877" spans="2:12" x14ac:dyDescent="0.25">
      <c r="B877" s="42" t="s">
        <v>1287</v>
      </c>
      <c r="C877" s="42" t="s">
        <v>20</v>
      </c>
      <c r="D877" s="57">
        <v>45759</v>
      </c>
      <c r="E877" s="44" t="s">
        <v>22</v>
      </c>
      <c r="F877" s="43" t="s">
        <v>52</v>
      </c>
      <c r="G877" s="42" t="s">
        <v>53</v>
      </c>
      <c r="H877" s="45">
        <v>4</v>
      </c>
      <c r="I877" s="46">
        <v>149</v>
      </c>
      <c r="J877" s="46">
        <v>0</v>
      </c>
      <c r="K877" s="46">
        <v>596</v>
      </c>
      <c r="L877" s="48" t="s">
        <v>18</v>
      </c>
    </row>
    <row r="878" spans="2:12" x14ac:dyDescent="0.25">
      <c r="B878" s="49" t="s">
        <v>1288</v>
      </c>
      <c r="C878" s="49" t="s">
        <v>13</v>
      </c>
      <c r="D878" s="58">
        <v>45757</v>
      </c>
      <c r="E878" s="51" t="s">
        <v>39</v>
      </c>
      <c r="F878" s="50" t="s">
        <v>52</v>
      </c>
      <c r="G878" s="52" t="s">
        <v>53</v>
      </c>
      <c r="H878" s="53">
        <v>3</v>
      </c>
      <c r="I878" s="54">
        <v>149</v>
      </c>
      <c r="J878" s="54">
        <v>1.96</v>
      </c>
      <c r="K878" s="54">
        <v>445.04</v>
      </c>
      <c r="L878" s="56" t="s">
        <v>65</v>
      </c>
    </row>
    <row r="879" spans="2:12" x14ac:dyDescent="0.25">
      <c r="B879" s="42" t="s">
        <v>1289</v>
      </c>
      <c r="C879" s="42" t="s">
        <v>41</v>
      </c>
      <c r="D879" s="57">
        <v>45677</v>
      </c>
      <c r="E879" s="44" t="s">
        <v>29</v>
      </c>
      <c r="F879" s="43" t="s">
        <v>16</v>
      </c>
      <c r="G879" s="42" t="s">
        <v>116</v>
      </c>
      <c r="H879" s="45">
        <v>2</v>
      </c>
      <c r="I879" s="46">
        <v>45</v>
      </c>
      <c r="J879" s="46">
        <v>0</v>
      </c>
      <c r="K879" s="46">
        <v>90</v>
      </c>
      <c r="L879" s="48" t="s">
        <v>49</v>
      </c>
    </row>
    <row r="880" spans="2:12" x14ac:dyDescent="0.25">
      <c r="B880" s="49" t="s">
        <v>1290</v>
      </c>
      <c r="C880" s="49" t="s">
        <v>63</v>
      </c>
      <c r="D880" s="58">
        <v>45845</v>
      </c>
      <c r="E880" s="51" t="s">
        <v>47</v>
      </c>
      <c r="F880" s="50" t="s">
        <v>23</v>
      </c>
      <c r="G880" s="52" t="s">
        <v>24</v>
      </c>
      <c r="H880" s="53">
        <v>3</v>
      </c>
      <c r="I880" s="54">
        <v>180</v>
      </c>
      <c r="J880" s="54">
        <v>0</v>
      </c>
      <c r="K880" s="54">
        <v>540</v>
      </c>
      <c r="L880" s="56" t="s">
        <v>49</v>
      </c>
    </row>
    <row r="881" spans="2:12" x14ac:dyDescent="0.25">
      <c r="B881" s="42" t="s">
        <v>1291</v>
      </c>
      <c r="C881" s="42" t="s">
        <v>27</v>
      </c>
      <c r="D881" s="57">
        <v>45685</v>
      </c>
      <c r="E881" s="44" t="s">
        <v>15</v>
      </c>
      <c r="F881" s="43" t="s">
        <v>16</v>
      </c>
      <c r="G881" s="42" t="s">
        <v>78</v>
      </c>
      <c r="H881" s="45">
        <v>2</v>
      </c>
      <c r="I881" s="46">
        <v>59</v>
      </c>
      <c r="J881" s="46">
        <v>5.87</v>
      </c>
      <c r="K881" s="46">
        <v>112.13</v>
      </c>
      <c r="L881" s="48" t="s">
        <v>44</v>
      </c>
    </row>
    <row r="882" spans="2:12" x14ac:dyDescent="0.25">
      <c r="B882" s="49" t="s">
        <v>1292</v>
      </c>
      <c r="C882" s="49" t="s">
        <v>37</v>
      </c>
      <c r="D882" s="58">
        <v>45954</v>
      </c>
      <c r="E882" s="51" t="s">
        <v>15</v>
      </c>
      <c r="F882" s="50" t="s">
        <v>52</v>
      </c>
      <c r="G882" s="52" t="s">
        <v>75</v>
      </c>
      <c r="H882" s="53">
        <v>5</v>
      </c>
      <c r="I882" s="54">
        <v>249</v>
      </c>
      <c r="J882" s="54">
        <v>0</v>
      </c>
      <c r="K882" s="54">
        <v>1245</v>
      </c>
      <c r="L882" s="56" t="s">
        <v>25</v>
      </c>
    </row>
    <row r="883" spans="2:12" x14ac:dyDescent="0.25">
      <c r="B883" s="42" t="s">
        <v>1293</v>
      </c>
      <c r="C883" s="42" t="s">
        <v>55</v>
      </c>
      <c r="D883" s="57">
        <v>45888</v>
      </c>
      <c r="E883" s="44" t="s">
        <v>47</v>
      </c>
      <c r="F883" s="43" t="s">
        <v>16</v>
      </c>
      <c r="G883" s="42" t="s">
        <v>116</v>
      </c>
      <c r="H883" s="45">
        <v>3</v>
      </c>
      <c r="I883" s="46">
        <v>45</v>
      </c>
      <c r="J883" s="46">
        <v>0</v>
      </c>
      <c r="K883" s="46">
        <v>135</v>
      </c>
      <c r="L883" s="48" t="s">
        <v>69</v>
      </c>
    </row>
    <row r="884" spans="2:12" x14ac:dyDescent="0.25">
      <c r="B884" s="49" t="s">
        <v>1294</v>
      </c>
      <c r="C884" s="49" t="s">
        <v>34</v>
      </c>
      <c r="D884" s="58">
        <v>45673</v>
      </c>
      <c r="E884" s="51" t="s">
        <v>22</v>
      </c>
      <c r="F884" s="50" t="s">
        <v>23</v>
      </c>
      <c r="G884" s="52" t="s">
        <v>43</v>
      </c>
      <c r="H884" s="53">
        <v>5</v>
      </c>
      <c r="I884" s="54">
        <v>350</v>
      </c>
      <c r="J884" s="54">
        <v>114.39</v>
      </c>
      <c r="K884" s="54">
        <v>1635.61</v>
      </c>
      <c r="L884" s="56" t="s">
        <v>89</v>
      </c>
    </row>
    <row r="885" spans="2:12" x14ac:dyDescent="0.25">
      <c r="B885" s="42" t="s">
        <v>1295</v>
      </c>
      <c r="C885" s="42" t="s">
        <v>13</v>
      </c>
      <c r="D885" s="57">
        <v>46019</v>
      </c>
      <c r="E885" s="44" t="s">
        <v>39</v>
      </c>
      <c r="F885" s="43" t="s">
        <v>30</v>
      </c>
      <c r="G885" s="42" t="s">
        <v>31</v>
      </c>
      <c r="H885" s="45">
        <v>5</v>
      </c>
      <c r="I885" s="46">
        <v>2500</v>
      </c>
      <c r="J885" s="46">
        <v>0</v>
      </c>
      <c r="K885" s="46">
        <v>12500</v>
      </c>
      <c r="L885" s="48" t="s">
        <v>49</v>
      </c>
    </row>
    <row r="886" spans="2:12" x14ac:dyDescent="0.25">
      <c r="B886" s="49" t="s">
        <v>1296</v>
      </c>
      <c r="C886" s="49" t="s">
        <v>110</v>
      </c>
      <c r="D886" s="58">
        <v>45955</v>
      </c>
      <c r="E886" s="51" t="s">
        <v>47</v>
      </c>
      <c r="F886" s="50" t="s">
        <v>52</v>
      </c>
      <c r="G886" s="52" t="s">
        <v>99</v>
      </c>
      <c r="H886" s="53">
        <v>5</v>
      </c>
      <c r="I886" s="54">
        <v>79</v>
      </c>
      <c r="J886" s="54">
        <v>0</v>
      </c>
      <c r="K886" s="54">
        <v>395</v>
      </c>
      <c r="L886" s="56" t="s">
        <v>25</v>
      </c>
    </row>
    <row r="887" spans="2:12" x14ac:dyDescent="0.25">
      <c r="B887" s="42" t="s">
        <v>1297</v>
      </c>
      <c r="C887" s="42" t="s">
        <v>110</v>
      </c>
      <c r="D887" s="57">
        <v>45761</v>
      </c>
      <c r="E887" s="44" t="s">
        <v>47</v>
      </c>
      <c r="F887" s="43" t="s">
        <v>23</v>
      </c>
      <c r="G887" s="42" t="s">
        <v>48</v>
      </c>
      <c r="H887" s="45">
        <v>3</v>
      </c>
      <c r="I887" s="46">
        <v>450</v>
      </c>
      <c r="J887" s="46">
        <v>0</v>
      </c>
      <c r="K887" s="46">
        <v>1350</v>
      </c>
      <c r="L887" s="48" t="s">
        <v>44</v>
      </c>
    </row>
    <row r="888" spans="2:12" x14ac:dyDescent="0.25">
      <c r="B888" s="49" t="s">
        <v>1298</v>
      </c>
      <c r="C888" s="49" t="s">
        <v>63</v>
      </c>
      <c r="D888" s="58">
        <v>45660</v>
      </c>
      <c r="E888" s="51" t="s">
        <v>47</v>
      </c>
      <c r="F888" s="50" t="s">
        <v>30</v>
      </c>
      <c r="G888" s="52" t="s">
        <v>68</v>
      </c>
      <c r="H888" s="53">
        <v>2</v>
      </c>
      <c r="I888" s="54">
        <v>799</v>
      </c>
      <c r="J888" s="54">
        <v>0</v>
      </c>
      <c r="K888" s="54">
        <v>1598</v>
      </c>
      <c r="L888" s="56" t="s">
        <v>89</v>
      </c>
    </row>
    <row r="889" spans="2:12" x14ac:dyDescent="0.25">
      <c r="B889" s="42" t="s">
        <v>1299</v>
      </c>
      <c r="C889" s="42" t="s">
        <v>101</v>
      </c>
      <c r="D889" s="57">
        <v>45762</v>
      </c>
      <c r="E889" s="44" t="s">
        <v>47</v>
      </c>
      <c r="F889" s="43" t="s">
        <v>30</v>
      </c>
      <c r="G889" s="42" t="s">
        <v>106</v>
      </c>
      <c r="H889" s="45">
        <v>5</v>
      </c>
      <c r="I889" s="46">
        <v>299</v>
      </c>
      <c r="J889" s="46">
        <v>0</v>
      </c>
      <c r="K889" s="46">
        <v>1495</v>
      </c>
      <c r="L889" s="48" t="s">
        <v>49</v>
      </c>
    </row>
    <row r="890" spans="2:12" x14ac:dyDescent="0.25">
      <c r="B890" s="49" t="s">
        <v>1301</v>
      </c>
      <c r="C890" s="49" t="s">
        <v>95</v>
      </c>
      <c r="D890" s="58">
        <v>45725</v>
      </c>
      <c r="E890" s="51" t="s">
        <v>29</v>
      </c>
      <c r="F890" s="50" t="s">
        <v>23</v>
      </c>
      <c r="G890" s="52" t="s">
        <v>43</v>
      </c>
      <c r="H890" s="53">
        <v>2</v>
      </c>
      <c r="I890" s="54">
        <v>350</v>
      </c>
      <c r="J890" s="54">
        <v>0</v>
      </c>
      <c r="K890" s="54">
        <v>700</v>
      </c>
      <c r="L890" s="56" t="s">
        <v>49</v>
      </c>
    </row>
    <row r="891" spans="2:12" x14ac:dyDescent="0.25">
      <c r="B891" s="42" t="s">
        <v>1302</v>
      </c>
      <c r="C891" s="42" t="s">
        <v>27</v>
      </c>
      <c r="D891" s="57">
        <v>45704</v>
      </c>
      <c r="E891" s="44" t="s">
        <v>22</v>
      </c>
      <c r="F891" s="43" t="s">
        <v>23</v>
      </c>
      <c r="G891" s="42" t="s">
        <v>88</v>
      </c>
      <c r="H891" s="45">
        <v>3</v>
      </c>
      <c r="I891" s="46">
        <v>650</v>
      </c>
      <c r="J891" s="46">
        <v>78.45</v>
      </c>
      <c r="K891" s="46">
        <v>1871.55</v>
      </c>
      <c r="L891" s="48" t="s">
        <v>49</v>
      </c>
    </row>
    <row r="892" spans="2:12" x14ac:dyDescent="0.25">
      <c r="B892" s="49" t="s">
        <v>1303</v>
      </c>
      <c r="C892" s="49" t="s">
        <v>63</v>
      </c>
      <c r="D892" s="58">
        <v>46008</v>
      </c>
      <c r="E892" s="51" t="s">
        <v>22</v>
      </c>
      <c r="F892" s="50" t="s">
        <v>30</v>
      </c>
      <c r="G892" s="52" t="s">
        <v>106</v>
      </c>
      <c r="H892" s="53">
        <v>1</v>
      </c>
      <c r="I892" s="54">
        <v>299</v>
      </c>
      <c r="J892" s="54">
        <v>21.48</v>
      </c>
      <c r="K892" s="54">
        <v>277.52</v>
      </c>
      <c r="L892" s="56" t="s">
        <v>32</v>
      </c>
    </row>
    <row r="893" spans="2:12" x14ac:dyDescent="0.25">
      <c r="B893" s="42" t="s">
        <v>1304</v>
      </c>
      <c r="C893" s="42" t="s">
        <v>71</v>
      </c>
      <c r="D893" s="57">
        <v>45690</v>
      </c>
      <c r="E893" s="44" t="s">
        <v>29</v>
      </c>
      <c r="F893" s="43" t="s">
        <v>23</v>
      </c>
      <c r="G893" s="42" t="s">
        <v>43</v>
      </c>
      <c r="H893" s="45">
        <v>1</v>
      </c>
      <c r="I893" s="46">
        <v>350</v>
      </c>
      <c r="J893" s="46">
        <v>3.59</v>
      </c>
      <c r="K893" s="46">
        <v>346.41</v>
      </c>
      <c r="L893" s="48" t="s">
        <v>32</v>
      </c>
    </row>
    <row r="894" spans="2:12" x14ac:dyDescent="0.25">
      <c r="B894" s="49" t="s">
        <v>1305</v>
      </c>
      <c r="C894" s="49" t="s">
        <v>34</v>
      </c>
      <c r="D894" s="58">
        <v>45871</v>
      </c>
      <c r="E894" s="51" t="s">
        <v>15</v>
      </c>
      <c r="F894" s="50" t="s">
        <v>52</v>
      </c>
      <c r="G894" s="52" t="s">
        <v>99</v>
      </c>
      <c r="H894" s="53">
        <v>1</v>
      </c>
      <c r="I894" s="54">
        <v>79</v>
      </c>
      <c r="J894" s="54">
        <v>0</v>
      </c>
      <c r="K894" s="54">
        <v>79</v>
      </c>
      <c r="L894" s="56" t="s">
        <v>44</v>
      </c>
    </row>
    <row r="895" spans="2:12" x14ac:dyDescent="0.25">
      <c r="B895" s="42" t="s">
        <v>1306</v>
      </c>
      <c r="C895" s="42" t="s">
        <v>63</v>
      </c>
      <c r="D895" s="57">
        <v>45798</v>
      </c>
      <c r="E895" s="44" t="s">
        <v>39</v>
      </c>
      <c r="F895" s="43" t="s">
        <v>52</v>
      </c>
      <c r="G895" s="42" t="s">
        <v>53</v>
      </c>
      <c r="H895" s="45">
        <v>5</v>
      </c>
      <c r="I895" s="46">
        <v>149</v>
      </c>
      <c r="J895" s="46">
        <v>0</v>
      </c>
      <c r="K895" s="46">
        <v>745</v>
      </c>
      <c r="L895" s="48" t="s">
        <v>49</v>
      </c>
    </row>
    <row r="896" spans="2:12" x14ac:dyDescent="0.25">
      <c r="B896" s="49" t="s">
        <v>1307</v>
      </c>
      <c r="C896" s="49" t="s">
        <v>71</v>
      </c>
      <c r="D896" s="58">
        <v>46018</v>
      </c>
      <c r="E896" s="51" t="s">
        <v>22</v>
      </c>
      <c r="F896" s="50" t="s">
        <v>52</v>
      </c>
      <c r="G896" s="52" t="s">
        <v>99</v>
      </c>
      <c r="H896" s="53">
        <v>1</v>
      </c>
      <c r="I896" s="54">
        <v>79</v>
      </c>
      <c r="J896" s="54">
        <v>0</v>
      </c>
      <c r="K896" s="54">
        <v>79</v>
      </c>
      <c r="L896" s="56" t="s">
        <v>69</v>
      </c>
    </row>
    <row r="897" spans="2:12" x14ac:dyDescent="0.25">
      <c r="B897" s="42" t="s">
        <v>1308</v>
      </c>
      <c r="C897" s="42" t="s">
        <v>101</v>
      </c>
      <c r="D897" s="57">
        <v>46049</v>
      </c>
      <c r="E897" s="44" t="s">
        <v>15</v>
      </c>
      <c r="F897" s="43" t="s">
        <v>30</v>
      </c>
      <c r="G897" s="42" t="s">
        <v>106</v>
      </c>
      <c r="H897" s="45">
        <v>1</v>
      </c>
      <c r="I897" s="46">
        <v>299</v>
      </c>
      <c r="J897" s="46">
        <v>0</v>
      </c>
      <c r="K897" s="46">
        <v>299</v>
      </c>
      <c r="L897" s="48" t="s">
        <v>32</v>
      </c>
    </row>
    <row r="898" spans="2:12" x14ac:dyDescent="0.25">
      <c r="B898" s="49" t="s">
        <v>1309</v>
      </c>
      <c r="C898" s="49" t="s">
        <v>37</v>
      </c>
      <c r="D898" s="58">
        <v>46023</v>
      </c>
      <c r="E898" s="51" t="s">
        <v>22</v>
      </c>
      <c r="F898" s="50" t="s">
        <v>30</v>
      </c>
      <c r="G898" s="52" t="s">
        <v>106</v>
      </c>
      <c r="H898" s="53">
        <v>2</v>
      </c>
      <c r="I898" s="54">
        <v>299</v>
      </c>
      <c r="J898" s="54">
        <v>0</v>
      </c>
      <c r="K898" s="54">
        <v>598</v>
      </c>
      <c r="L898" s="56" t="s">
        <v>25</v>
      </c>
    </row>
    <row r="899" spans="2:12" x14ac:dyDescent="0.25">
      <c r="B899" s="42" t="s">
        <v>1310</v>
      </c>
      <c r="C899" s="42" t="s">
        <v>95</v>
      </c>
      <c r="D899" s="57">
        <v>45871</v>
      </c>
      <c r="E899" s="44" t="s">
        <v>15</v>
      </c>
      <c r="F899" s="43" t="s">
        <v>16</v>
      </c>
      <c r="G899" s="42" t="s">
        <v>103</v>
      </c>
      <c r="H899" s="45">
        <v>3</v>
      </c>
      <c r="I899" s="46">
        <v>89</v>
      </c>
      <c r="J899" s="46">
        <v>0</v>
      </c>
      <c r="K899" s="46">
        <v>267</v>
      </c>
      <c r="L899" s="48" t="s">
        <v>32</v>
      </c>
    </row>
    <row r="900" spans="2:12" x14ac:dyDescent="0.25">
      <c r="B900" s="49" t="s">
        <v>1311</v>
      </c>
      <c r="C900" s="49" t="s">
        <v>63</v>
      </c>
      <c r="D900" s="58">
        <v>45715</v>
      </c>
      <c r="E900" s="51" t="s">
        <v>15</v>
      </c>
      <c r="F900" s="50" t="s">
        <v>30</v>
      </c>
      <c r="G900" s="52" t="s">
        <v>68</v>
      </c>
      <c r="H900" s="53">
        <v>1</v>
      </c>
      <c r="I900" s="54">
        <v>799</v>
      </c>
      <c r="J900" s="54">
        <v>0</v>
      </c>
      <c r="K900" s="54">
        <v>799</v>
      </c>
      <c r="L900" s="56" t="s">
        <v>32</v>
      </c>
    </row>
    <row r="901" spans="2:12" x14ac:dyDescent="0.25">
      <c r="B901" s="42" t="s">
        <v>1312</v>
      </c>
      <c r="C901" s="42" t="s">
        <v>95</v>
      </c>
      <c r="D901" s="57">
        <v>45770</v>
      </c>
      <c r="E901" s="44" t="s">
        <v>29</v>
      </c>
      <c r="F901" s="43" t="s">
        <v>52</v>
      </c>
      <c r="G901" s="42" t="s">
        <v>61</v>
      </c>
      <c r="H901" s="45">
        <v>5</v>
      </c>
      <c r="I901" s="46">
        <v>199</v>
      </c>
      <c r="J901" s="46">
        <v>0</v>
      </c>
      <c r="K901" s="46">
        <v>995</v>
      </c>
      <c r="L901" s="48" t="s">
        <v>32</v>
      </c>
    </row>
    <row r="902" spans="2:12" x14ac:dyDescent="0.25">
      <c r="B902" s="49" t="s">
        <v>1313</v>
      </c>
      <c r="C902" s="49" t="s">
        <v>27</v>
      </c>
      <c r="D902" s="58">
        <v>45994</v>
      </c>
      <c r="E902" s="51" t="s">
        <v>29</v>
      </c>
      <c r="F902" s="50" t="s">
        <v>52</v>
      </c>
      <c r="G902" s="52" t="s">
        <v>61</v>
      </c>
      <c r="H902" s="53">
        <v>1</v>
      </c>
      <c r="I902" s="54">
        <v>199</v>
      </c>
      <c r="J902" s="54">
        <v>25.29</v>
      </c>
      <c r="K902" s="54">
        <v>173.71</v>
      </c>
      <c r="L902" s="56" t="s">
        <v>32</v>
      </c>
    </row>
    <row r="903" spans="2:12" x14ac:dyDescent="0.25">
      <c r="B903" s="42" t="s">
        <v>1314</v>
      </c>
      <c r="C903" s="42" t="s">
        <v>13</v>
      </c>
      <c r="D903" s="57">
        <v>45815</v>
      </c>
      <c r="E903" s="44" t="s">
        <v>22</v>
      </c>
      <c r="F903" s="43" t="s">
        <v>30</v>
      </c>
      <c r="G903" s="42" t="s">
        <v>106</v>
      </c>
      <c r="H903" s="45">
        <v>4</v>
      </c>
      <c r="I903" s="46">
        <v>299</v>
      </c>
      <c r="J903" s="46">
        <v>154.54</v>
      </c>
      <c r="K903" s="46">
        <v>1041.46</v>
      </c>
      <c r="L903" s="48" t="s">
        <v>32</v>
      </c>
    </row>
    <row r="904" spans="2:12" x14ac:dyDescent="0.25">
      <c r="B904" s="49" t="s">
        <v>1315</v>
      </c>
      <c r="C904" s="49" t="s">
        <v>71</v>
      </c>
      <c r="D904" s="58">
        <v>45744</v>
      </c>
      <c r="E904" s="51" t="s">
        <v>29</v>
      </c>
      <c r="F904" s="50" t="s">
        <v>52</v>
      </c>
      <c r="G904" s="52" t="s">
        <v>61</v>
      </c>
      <c r="H904" s="53">
        <v>4</v>
      </c>
      <c r="I904" s="54">
        <v>199</v>
      </c>
      <c r="J904" s="54">
        <v>0</v>
      </c>
      <c r="K904" s="54">
        <v>796</v>
      </c>
      <c r="L904" s="56" t="s">
        <v>25</v>
      </c>
    </row>
    <row r="905" spans="2:12" x14ac:dyDescent="0.25">
      <c r="B905" s="42" t="s">
        <v>1316</v>
      </c>
      <c r="C905" s="42" t="s">
        <v>41</v>
      </c>
      <c r="D905" s="57">
        <v>45668</v>
      </c>
      <c r="E905" s="44" t="s">
        <v>15</v>
      </c>
      <c r="F905" s="43" t="s">
        <v>23</v>
      </c>
      <c r="G905" s="42" t="s">
        <v>43</v>
      </c>
      <c r="H905" s="45">
        <v>2</v>
      </c>
      <c r="I905" s="46">
        <v>350</v>
      </c>
      <c r="J905" s="46">
        <v>0</v>
      </c>
      <c r="K905" s="46">
        <v>700</v>
      </c>
      <c r="L905" s="48" t="s">
        <v>89</v>
      </c>
    </row>
    <row r="906" spans="2:12" x14ac:dyDescent="0.25">
      <c r="B906" s="49" t="s">
        <v>1317</v>
      </c>
      <c r="C906" s="49" t="s">
        <v>63</v>
      </c>
      <c r="D906" s="58">
        <v>45859</v>
      </c>
      <c r="E906" s="51" t="s">
        <v>29</v>
      </c>
      <c r="F906" s="50" t="s">
        <v>23</v>
      </c>
      <c r="G906" s="52" t="s">
        <v>24</v>
      </c>
      <c r="H906" s="53">
        <v>1</v>
      </c>
      <c r="I906" s="54">
        <v>180</v>
      </c>
      <c r="J906" s="54">
        <v>0</v>
      </c>
      <c r="K906" s="54">
        <v>180</v>
      </c>
      <c r="L906" s="56" t="s">
        <v>25</v>
      </c>
    </row>
    <row r="907" spans="2:12" x14ac:dyDescent="0.25">
      <c r="B907" s="42" t="s">
        <v>1319</v>
      </c>
      <c r="C907" s="42" t="s">
        <v>71</v>
      </c>
      <c r="D907" s="57">
        <v>46035</v>
      </c>
      <c r="E907" s="44" t="s">
        <v>22</v>
      </c>
      <c r="F907" s="43" t="s">
        <v>16</v>
      </c>
      <c r="G907" s="42" t="s">
        <v>78</v>
      </c>
      <c r="H907" s="45">
        <v>1</v>
      </c>
      <c r="I907" s="46">
        <v>59</v>
      </c>
      <c r="J907" s="46">
        <v>0</v>
      </c>
      <c r="K907" s="46">
        <v>59</v>
      </c>
      <c r="L907" s="48" t="s">
        <v>44</v>
      </c>
    </row>
    <row r="908" spans="2:12" x14ac:dyDescent="0.25">
      <c r="B908" s="49" t="s">
        <v>1320</v>
      </c>
      <c r="C908" s="49" t="s">
        <v>20</v>
      </c>
      <c r="D908" s="58">
        <v>46040</v>
      </c>
      <c r="E908" s="51" t="s">
        <v>29</v>
      </c>
      <c r="F908" s="50" t="s">
        <v>52</v>
      </c>
      <c r="G908" s="52" t="s">
        <v>75</v>
      </c>
      <c r="H908" s="53">
        <v>3</v>
      </c>
      <c r="I908" s="54">
        <v>249</v>
      </c>
      <c r="J908" s="54">
        <v>0</v>
      </c>
      <c r="K908" s="54">
        <v>747</v>
      </c>
      <c r="L908" s="56" t="s">
        <v>18</v>
      </c>
    </row>
    <row r="909" spans="2:12" x14ac:dyDescent="0.25">
      <c r="B909" s="42" t="s">
        <v>1321</v>
      </c>
      <c r="C909" s="42" t="s">
        <v>55</v>
      </c>
      <c r="D909" s="57">
        <v>45725</v>
      </c>
      <c r="E909" s="44" t="s">
        <v>29</v>
      </c>
      <c r="F909" s="43" t="s">
        <v>30</v>
      </c>
      <c r="G909" s="42" t="s">
        <v>106</v>
      </c>
      <c r="H909" s="45">
        <v>4</v>
      </c>
      <c r="I909" s="46">
        <v>299</v>
      </c>
      <c r="J909" s="46">
        <v>98.6</v>
      </c>
      <c r="K909" s="46">
        <v>1097.4000000000001</v>
      </c>
      <c r="L909" s="48" t="s">
        <v>18</v>
      </c>
    </row>
    <row r="910" spans="2:12" x14ac:dyDescent="0.25">
      <c r="B910" s="49" t="s">
        <v>1322</v>
      </c>
      <c r="C910" s="49" t="s">
        <v>41</v>
      </c>
      <c r="D910" s="58">
        <v>45845</v>
      </c>
      <c r="E910" s="51" t="s">
        <v>47</v>
      </c>
      <c r="F910" s="50" t="s">
        <v>23</v>
      </c>
      <c r="G910" s="52" t="s">
        <v>24</v>
      </c>
      <c r="H910" s="53">
        <v>2</v>
      </c>
      <c r="I910" s="54">
        <v>180</v>
      </c>
      <c r="J910" s="54">
        <v>35.619999999999997</v>
      </c>
      <c r="K910" s="54">
        <v>324.38</v>
      </c>
      <c r="L910" s="56" t="s">
        <v>25</v>
      </c>
    </row>
    <row r="911" spans="2:12" x14ac:dyDescent="0.25">
      <c r="B911" s="42" t="s">
        <v>1323</v>
      </c>
      <c r="C911" s="42" t="s">
        <v>63</v>
      </c>
      <c r="D911" s="57">
        <v>45880</v>
      </c>
      <c r="E911" s="44" t="s">
        <v>29</v>
      </c>
      <c r="F911" s="43" t="s">
        <v>23</v>
      </c>
      <c r="G911" s="42" t="s">
        <v>24</v>
      </c>
      <c r="H911" s="45">
        <v>1</v>
      </c>
      <c r="I911" s="46">
        <v>180</v>
      </c>
      <c r="J911" s="46">
        <v>0</v>
      </c>
      <c r="K911" s="46">
        <v>180</v>
      </c>
      <c r="L911" s="48" t="s">
        <v>25</v>
      </c>
    </row>
    <row r="912" spans="2:12" x14ac:dyDescent="0.25">
      <c r="B912" s="49" t="s">
        <v>1324</v>
      </c>
      <c r="C912" s="49" t="s">
        <v>37</v>
      </c>
      <c r="D912" s="58">
        <v>45953</v>
      </c>
      <c r="E912" s="51" t="s">
        <v>15</v>
      </c>
      <c r="F912" s="50" t="s">
        <v>30</v>
      </c>
      <c r="G912" s="52" t="s">
        <v>31</v>
      </c>
      <c r="H912" s="53">
        <v>5</v>
      </c>
      <c r="I912" s="54">
        <v>2500</v>
      </c>
      <c r="J912" s="54">
        <v>0</v>
      </c>
      <c r="K912" s="54">
        <v>12500</v>
      </c>
      <c r="L912" s="56" t="s">
        <v>49</v>
      </c>
    </row>
    <row r="913" spans="2:12" x14ac:dyDescent="0.25">
      <c r="B913" s="42" t="s">
        <v>1325</v>
      </c>
      <c r="C913" s="42" t="s">
        <v>95</v>
      </c>
      <c r="D913" s="57">
        <v>45756</v>
      </c>
      <c r="E913" s="44" t="s">
        <v>15</v>
      </c>
      <c r="F913" s="43" t="s">
        <v>30</v>
      </c>
      <c r="G913" s="42" t="s">
        <v>31</v>
      </c>
      <c r="H913" s="45">
        <v>5</v>
      </c>
      <c r="I913" s="46">
        <v>2500</v>
      </c>
      <c r="J913" s="46">
        <v>0</v>
      </c>
      <c r="K913" s="46">
        <v>12500</v>
      </c>
      <c r="L913" s="48" t="s">
        <v>65</v>
      </c>
    </row>
    <row r="914" spans="2:12" x14ac:dyDescent="0.25">
      <c r="B914" s="49" t="s">
        <v>1326</v>
      </c>
      <c r="C914" s="49" t="s">
        <v>71</v>
      </c>
      <c r="D914" s="58">
        <v>46047</v>
      </c>
      <c r="E914" s="51" t="s">
        <v>15</v>
      </c>
      <c r="F914" s="50" t="s">
        <v>30</v>
      </c>
      <c r="G914" s="52" t="s">
        <v>152</v>
      </c>
      <c r="H914" s="53">
        <v>3</v>
      </c>
      <c r="I914" s="54">
        <v>4500</v>
      </c>
      <c r="J914" s="54">
        <v>45.28</v>
      </c>
      <c r="K914" s="54">
        <v>13454.72</v>
      </c>
      <c r="L914" s="56" t="s">
        <v>89</v>
      </c>
    </row>
    <row r="915" spans="2:12" x14ac:dyDescent="0.25">
      <c r="B915" s="42" t="s">
        <v>1327</v>
      </c>
      <c r="C915" s="42" t="s">
        <v>63</v>
      </c>
      <c r="D915" s="57">
        <v>45772</v>
      </c>
      <c r="E915" s="44" t="s">
        <v>47</v>
      </c>
      <c r="F915" s="43" t="s">
        <v>52</v>
      </c>
      <c r="G915" s="42" t="s">
        <v>75</v>
      </c>
      <c r="H915" s="45">
        <v>4</v>
      </c>
      <c r="I915" s="46">
        <v>249</v>
      </c>
      <c r="J915" s="46">
        <v>148.77000000000001</v>
      </c>
      <c r="K915" s="46">
        <v>847.23</v>
      </c>
      <c r="L915" s="48" t="s">
        <v>18</v>
      </c>
    </row>
    <row r="916" spans="2:12" x14ac:dyDescent="0.25">
      <c r="B916" s="49" t="s">
        <v>1328</v>
      </c>
      <c r="C916" s="49" t="s">
        <v>55</v>
      </c>
      <c r="D916" s="58">
        <v>45772</v>
      </c>
      <c r="E916" s="51" t="s">
        <v>47</v>
      </c>
      <c r="F916" s="50" t="s">
        <v>16</v>
      </c>
      <c r="G916" s="52" t="s">
        <v>17</v>
      </c>
      <c r="H916" s="53">
        <v>4</v>
      </c>
      <c r="I916" s="54">
        <v>39</v>
      </c>
      <c r="J916" s="54">
        <v>0</v>
      </c>
      <c r="K916" s="54">
        <v>156</v>
      </c>
      <c r="L916" s="56" t="s">
        <v>32</v>
      </c>
    </row>
    <row r="917" spans="2:12" x14ac:dyDescent="0.25">
      <c r="B917" s="42" t="s">
        <v>1329</v>
      </c>
      <c r="C917" s="42" t="s">
        <v>34</v>
      </c>
      <c r="D917" s="57">
        <v>45878</v>
      </c>
      <c r="E917" s="44" t="s">
        <v>29</v>
      </c>
      <c r="F917" s="43" t="s">
        <v>23</v>
      </c>
      <c r="G917" s="42" t="s">
        <v>88</v>
      </c>
      <c r="H917" s="45">
        <v>5</v>
      </c>
      <c r="I917" s="46">
        <v>650</v>
      </c>
      <c r="J917" s="46">
        <v>0</v>
      </c>
      <c r="K917" s="46">
        <v>3250</v>
      </c>
      <c r="L917" s="48" t="s">
        <v>25</v>
      </c>
    </row>
    <row r="918" spans="2:12" x14ac:dyDescent="0.25">
      <c r="B918" s="49" t="s">
        <v>1330</v>
      </c>
      <c r="C918" s="49" t="s">
        <v>41</v>
      </c>
      <c r="D918" s="58">
        <v>45698</v>
      </c>
      <c r="E918" s="51" t="s">
        <v>29</v>
      </c>
      <c r="F918" s="50" t="s">
        <v>23</v>
      </c>
      <c r="G918" s="52" t="s">
        <v>43</v>
      </c>
      <c r="H918" s="53">
        <v>3</v>
      </c>
      <c r="I918" s="54">
        <v>350</v>
      </c>
      <c r="J918" s="54">
        <v>0</v>
      </c>
      <c r="K918" s="54">
        <v>1050</v>
      </c>
      <c r="L918" s="56" t="s">
        <v>18</v>
      </c>
    </row>
    <row r="919" spans="2:12" x14ac:dyDescent="0.25">
      <c r="B919" s="42" t="s">
        <v>1332</v>
      </c>
      <c r="C919" s="42" t="s">
        <v>13</v>
      </c>
      <c r="D919" s="57">
        <v>45798</v>
      </c>
      <c r="E919" s="44" t="s">
        <v>39</v>
      </c>
      <c r="F919" s="43" t="s">
        <v>16</v>
      </c>
      <c r="G919" s="42" t="s">
        <v>78</v>
      </c>
      <c r="H919" s="45">
        <v>3</v>
      </c>
      <c r="I919" s="46">
        <v>59</v>
      </c>
      <c r="J919" s="46">
        <v>0</v>
      </c>
      <c r="K919" s="46">
        <v>177</v>
      </c>
      <c r="L919" s="48" t="s">
        <v>25</v>
      </c>
    </row>
    <row r="920" spans="2:12" x14ac:dyDescent="0.25">
      <c r="B920" s="49" t="s">
        <v>1333</v>
      </c>
      <c r="C920" s="49" t="s">
        <v>13</v>
      </c>
      <c r="D920" s="58">
        <v>45979</v>
      </c>
      <c r="E920" s="51" t="s">
        <v>15</v>
      </c>
      <c r="F920" s="50" t="s">
        <v>30</v>
      </c>
      <c r="G920" s="52" t="s">
        <v>152</v>
      </c>
      <c r="H920" s="53">
        <v>2</v>
      </c>
      <c r="I920" s="54">
        <v>4500</v>
      </c>
      <c r="J920" s="54">
        <v>659.98</v>
      </c>
      <c r="K920" s="54">
        <v>8340.02</v>
      </c>
      <c r="L920" s="56" t="s">
        <v>49</v>
      </c>
    </row>
    <row r="921" spans="2:12" x14ac:dyDescent="0.25">
      <c r="B921" s="42" t="s">
        <v>1334</v>
      </c>
      <c r="C921" s="42" t="s">
        <v>95</v>
      </c>
      <c r="D921" s="57">
        <v>45790</v>
      </c>
      <c r="E921" s="44" t="s">
        <v>47</v>
      </c>
      <c r="F921" s="43" t="s">
        <v>30</v>
      </c>
      <c r="G921" s="42" t="s">
        <v>152</v>
      </c>
      <c r="H921" s="45">
        <v>1</v>
      </c>
      <c r="I921" s="46">
        <v>4500</v>
      </c>
      <c r="J921" s="46">
        <v>484.93</v>
      </c>
      <c r="K921" s="46">
        <v>4015.07</v>
      </c>
      <c r="L921" s="48" t="s">
        <v>49</v>
      </c>
    </row>
    <row r="922" spans="2:12" x14ac:dyDescent="0.25">
      <c r="B922" s="49" t="s">
        <v>1335</v>
      </c>
      <c r="C922" s="49" t="s">
        <v>55</v>
      </c>
      <c r="D922" s="58">
        <v>45690</v>
      </c>
      <c r="E922" s="51" t="s">
        <v>15</v>
      </c>
      <c r="F922" s="50" t="s">
        <v>23</v>
      </c>
      <c r="G922" s="52" t="s">
        <v>43</v>
      </c>
      <c r="H922" s="53">
        <v>2</v>
      </c>
      <c r="I922" s="54">
        <v>350</v>
      </c>
      <c r="J922" s="54">
        <v>0</v>
      </c>
      <c r="K922" s="54">
        <v>700</v>
      </c>
      <c r="L922" s="56" t="s">
        <v>25</v>
      </c>
    </row>
    <row r="923" spans="2:12" x14ac:dyDescent="0.25">
      <c r="B923" s="42" t="s">
        <v>1336</v>
      </c>
      <c r="C923" s="42" t="s">
        <v>13</v>
      </c>
      <c r="D923" s="57">
        <v>45770</v>
      </c>
      <c r="E923" s="44" t="s">
        <v>29</v>
      </c>
      <c r="F923" s="43" t="s">
        <v>52</v>
      </c>
      <c r="G923" s="42" t="s">
        <v>75</v>
      </c>
      <c r="H923" s="45">
        <v>3</v>
      </c>
      <c r="I923" s="46">
        <v>249</v>
      </c>
      <c r="J923" s="46">
        <v>0</v>
      </c>
      <c r="K923" s="46">
        <v>747</v>
      </c>
      <c r="L923" s="48" t="s">
        <v>32</v>
      </c>
    </row>
    <row r="924" spans="2:12" x14ac:dyDescent="0.25">
      <c r="B924" s="49" t="s">
        <v>1337</v>
      </c>
      <c r="C924" s="49" t="s">
        <v>101</v>
      </c>
      <c r="D924" s="58">
        <v>45934</v>
      </c>
      <c r="E924" s="51" t="s">
        <v>15</v>
      </c>
      <c r="F924" s="50" t="s">
        <v>23</v>
      </c>
      <c r="G924" s="52" t="s">
        <v>48</v>
      </c>
      <c r="H924" s="53">
        <v>4</v>
      </c>
      <c r="I924" s="54">
        <v>450</v>
      </c>
      <c r="J924" s="54">
        <v>0</v>
      </c>
      <c r="K924" s="54">
        <v>1800</v>
      </c>
      <c r="L924" s="56" t="s">
        <v>49</v>
      </c>
    </row>
    <row r="925" spans="2:12" x14ac:dyDescent="0.25">
      <c r="B925" s="42" t="s">
        <v>1338</v>
      </c>
      <c r="C925" s="42" t="s">
        <v>20</v>
      </c>
      <c r="D925" s="57">
        <v>45885</v>
      </c>
      <c r="E925" s="44" t="s">
        <v>15</v>
      </c>
      <c r="F925" s="43" t="s">
        <v>52</v>
      </c>
      <c r="G925" s="42" t="s">
        <v>75</v>
      </c>
      <c r="H925" s="45">
        <v>4</v>
      </c>
      <c r="I925" s="46">
        <v>249</v>
      </c>
      <c r="J925" s="46">
        <v>0</v>
      </c>
      <c r="K925" s="46">
        <v>996</v>
      </c>
      <c r="L925" s="48" t="s">
        <v>49</v>
      </c>
    </row>
    <row r="926" spans="2:12" x14ac:dyDescent="0.25">
      <c r="B926" s="49" t="s">
        <v>1339</v>
      </c>
      <c r="C926" s="49" t="s">
        <v>63</v>
      </c>
      <c r="D926" s="58">
        <v>45680</v>
      </c>
      <c r="E926" s="51" t="s">
        <v>39</v>
      </c>
      <c r="F926" s="50" t="s">
        <v>16</v>
      </c>
      <c r="G926" s="52" t="s">
        <v>78</v>
      </c>
      <c r="H926" s="53">
        <v>5</v>
      </c>
      <c r="I926" s="54">
        <v>59</v>
      </c>
      <c r="J926" s="54">
        <v>0</v>
      </c>
      <c r="K926" s="54">
        <v>295</v>
      </c>
      <c r="L926" s="56" t="s">
        <v>18</v>
      </c>
    </row>
    <row r="927" spans="2:12" x14ac:dyDescent="0.25">
      <c r="B927" s="42" t="s">
        <v>1341</v>
      </c>
      <c r="C927" s="42" t="s">
        <v>37</v>
      </c>
      <c r="D927" s="57">
        <v>45739</v>
      </c>
      <c r="E927" s="44" t="s">
        <v>39</v>
      </c>
      <c r="F927" s="43" t="s">
        <v>52</v>
      </c>
      <c r="G927" s="42" t="s">
        <v>61</v>
      </c>
      <c r="H927" s="45">
        <v>3</v>
      </c>
      <c r="I927" s="46">
        <v>199</v>
      </c>
      <c r="J927" s="46">
        <v>42.86</v>
      </c>
      <c r="K927" s="46">
        <v>554.14</v>
      </c>
      <c r="L927" s="48" t="s">
        <v>44</v>
      </c>
    </row>
    <row r="928" spans="2:12" x14ac:dyDescent="0.25">
      <c r="B928" s="49" t="s">
        <v>1342</v>
      </c>
      <c r="C928" s="49" t="s">
        <v>20</v>
      </c>
      <c r="D928" s="58">
        <v>45923</v>
      </c>
      <c r="E928" s="51" t="s">
        <v>47</v>
      </c>
      <c r="F928" s="50" t="s">
        <v>30</v>
      </c>
      <c r="G928" s="52" t="s">
        <v>31</v>
      </c>
      <c r="H928" s="53">
        <v>1</v>
      </c>
      <c r="I928" s="54">
        <v>2500</v>
      </c>
      <c r="J928" s="54">
        <v>34.57</v>
      </c>
      <c r="K928" s="54">
        <v>2465.4299999999998</v>
      </c>
      <c r="L928" s="56" t="s">
        <v>32</v>
      </c>
    </row>
    <row r="929" spans="2:12" x14ac:dyDescent="0.25">
      <c r="B929" s="42" t="s">
        <v>1343</v>
      </c>
      <c r="C929" s="42" t="s">
        <v>55</v>
      </c>
      <c r="D929" s="57">
        <v>45831</v>
      </c>
      <c r="E929" s="44" t="s">
        <v>29</v>
      </c>
      <c r="F929" s="43" t="s">
        <v>23</v>
      </c>
      <c r="G929" s="42" t="s">
        <v>43</v>
      </c>
      <c r="H929" s="45">
        <v>4</v>
      </c>
      <c r="I929" s="46">
        <v>350</v>
      </c>
      <c r="J929" s="46">
        <v>114.27</v>
      </c>
      <c r="K929" s="46">
        <v>1285.73</v>
      </c>
      <c r="L929" s="48" t="s">
        <v>32</v>
      </c>
    </row>
    <row r="930" spans="2:12" x14ac:dyDescent="0.25">
      <c r="B930" s="49" t="s">
        <v>1344</v>
      </c>
      <c r="C930" s="49" t="s">
        <v>34</v>
      </c>
      <c r="D930" s="58">
        <v>45893</v>
      </c>
      <c r="E930" s="51" t="s">
        <v>47</v>
      </c>
      <c r="F930" s="50" t="s">
        <v>16</v>
      </c>
      <c r="G930" s="52" t="s">
        <v>17</v>
      </c>
      <c r="H930" s="53">
        <v>5</v>
      </c>
      <c r="I930" s="54">
        <v>39</v>
      </c>
      <c r="J930" s="54">
        <v>21.47</v>
      </c>
      <c r="K930" s="54">
        <v>173.53</v>
      </c>
      <c r="L930" s="56" t="s">
        <v>69</v>
      </c>
    </row>
    <row r="931" spans="2:12" x14ac:dyDescent="0.25">
      <c r="B931" s="42" t="s">
        <v>1345</v>
      </c>
      <c r="C931" s="42" t="s">
        <v>55</v>
      </c>
      <c r="D931" s="57">
        <v>45667</v>
      </c>
      <c r="E931" s="44" t="s">
        <v>39</v>
      </c>
      <c r="F931" s="43" t="s">
        <v>52</v>
      </c>
      <c r="G931" s="42" t="s">
        <v>61</v>
      </c>
      <c r="H931" s="45">
        <v>3</v>
      </c>
      <c r="I931" s="46">
        <v>199</v>
      </c>
      <c r="J931" s="46">
        <v>0</v>
      </c>
      <c r="K931" s="46">
        <v>597</v>
      </c>
      <c r="L931" s="48" t="s">
        <v>32</v>
      </c>
    </row>
    <row r="932" spans="2:12" x14ac:dyDescent="0.25">
      <c r="B932" s="49" t="s">
        <v>1346</v>
      </c>
      <c r="C932" s="49" t="s">
        <v>101</v>
      </c>
      <c r="D932" s="58">
        <v>45918</v>
      </c>
      <c r="E932" s="51" t="s">
        <v>22</v>
      </c>
      <c r="F932" s="50" t="s">
        <v>23</v>
      </c>
      <c r="G932" s="52" t="s">
        <v>24</v>
      </c>
      <c r="H932" s="53">
        <v>4</v>
      </c>
      <c r="I932" s="54">
        <v>180</v>
      </c>
      <c r="J932" s="54">
        <v>0</v>
      </c>
      <c r="K932" s="54">
        <v>720</v>
      </c>
      <c r="L932" s="56" t="s">
        <v>25</v>
      </c>
    </row>
    <row r="933" spans="2:12" x14ac:dyDescent="0.25">
      <c r="B933" s="42" t="s">
        <v>1347</v>
      </c>
      <c r="C933" s="42" t="s">
        <v>71</v>
      </c>
      <c r="D933" s="57">
        <v>45881</v>
      </c>
      <c r="E933" s="44" t="s">
        <v>39</v>
      </c>
      <c r="F933" s="43" t="s">
        <v>52</v>
      </c>
      <c r="G933" s="42" t="s">
        <v>99</v>
      </c>
      <c r="H933" s="45">
        <v>2</v>
      </c>
      <c r="I933" s="46">
        <v>79</v>
      </c>
      <c r="J933" s="46">
        <v>0</v>
      </c>
      <c r="K933" s="46">
        <v>158</v>
      </c>
      <c r="L933" s="48" t="s">
        <v>69</v>
      </c>
    </row>
    <row r="934" spans="2:12" x14ac:dyDescent="0.25">
      <c r="B934" s="49" t="s">
        <v>1348</v>
      </c>
      <c r="C934" s="49" t="s">
        <v>34</v>
      </c>
      <c r="D934" s="58">
        <v>45855</v>
      </c>
      <c r="E934" s="51" t="s">
        <v>15</v>
      </c>
      <c r="F934" s="50" t="s">
        <v>52</v>
      </c>
      <c r="G934" s="52" t="s">
        <v>53</v>
      </c>
      <c r="H934" s="53">
        <v>2</v>
      </c>
      <c r="I934" s="54">
        <v>149</v>
      </c>
      <c r="J934" s="54">
        <v>0</v>
      </c>
      <c r="K934" s="54">
        <v>298</v>
      </c>
      <c r="L934" s="56" t="s">
        <v>65</v>
      </c>
    </row>
    <row r="935" spans="2:12" x14ac:dyDescent="0.25">
      <c r="B935" s="42" t="s">
        <v>1349</v>
      </c>
      <c r="C935" s="42" t="s">
        <v>55</v>
      </c>
      <c r="D935" s="57">
        <v>45835</v>
      </c>
      <c r="E935" s="44" t="s">
        <v>22</v>
      </c>
      <c r="F935" s="43" t="s">
        <v>16</v>
      </c>
      <c r="G935" s="42" t="s">
        <v>17</v>
      </c>
      <c r="H935" s="45">
        <v>4</v>
      </c>
      <c r="I935" s="46">
        <v>39</v>
      </c>
      <c r="J935" s="46">
        <v>6.95</v>
      </c>
      <c r="K935" s="46">
        <v>149.05000000000001</v>
      </c>
      <c r="L935" s="48" t="s">
        <v>25</v>
      </c>
    </row>
    <row r="936" spans="2:12" x14ac:dyDescent="0.25">
      <c r="B936" s="49" t="s">
        <v>1351</v>
      </c>
      <c r="C936" s="49" t="s">
        <v>20</v>
      </c>
      <c r="D936" s="58">
        <v>45786</v>
      </c>
      <c r="E936" s="51" t="s">
        <v>47</v>
      </c>
      <c r="F936" s="50" t="s">
        <v>23</v>
      </c>
      <c r="G936" s="52" t="s">
        <v>24</v>
      </c>
      <c r="H936" s="53">
        <v>5</v>
      </c>
      <c r="I936" s="54">
        <v>180</v>
      </c>
      <c r="J936" s="54">
        <v>72.58</v>
      </c>
      <c r="K936" s="54">
        <v>827.42</v>
      </c>
      <c r="L936" s="56" t="s">
        <v>49</v>
      </c>
    </row>
    <row r="937" spans="2:12" x14ac:dyDescent="0.25">
      <c r="B937" s="42" t="s">
        <v>1353</v>
      </c>
      <c r="C937" s="42" t="s">
        <v>110</v>
      </c>
      <c r="D937" s="57">
        <v>45973</v>
      </c>
      <c r="E937" s="44" t="s">
        <v>47</v>
      </c>
      <c r="F937" s="43" t="s">
        <v>23</v>
      </c>
      <c r="G937" s="42" t="s">
        <v>24</v>
      </c>
      <c r="H937" s="45">
        <v>3</v>
      </c>
      <c r="I937" s="46">
        <v>180</v>
      </c>
      <c r="J937" s="46">
        <v>45.3</v>
      </c>
      <c r="K937" s="46">
        <v>494.7</v>
      </c>
      <c r="L937" s="48" t="s">
        <v>65</v>
      </c>
    </row>
    <row r="938" spans="2:12" x14ac:dyDescent="0.25">
      <c r="B938" s="49" t="s">
        <v>1354</v>
      </c>
      <c r="C938" s="49" t="s">
        <v>37</v>
      </c>
      <c r="D938" s="58">
        <v>45767</v>
      </c>
      <c r="E938" s="51" t="s">
        <v>29</v>
      </c>
      <c r="F938" s="50" t="s">
        <v>52</v>
      </c>
      <c r="G938" s="52" t="s">
        <v>53</v>
      </c>
      <c r="H938" s="53">
        <v>3</v>
      </c>
      <c r="I938" s="54">
        <v>149</v>
      </c>
      <c r="J938" s="54">
        <v>2.79</v>
      </c>
      <c r="K938" s="54">
        <v>444.21</v>
      </c>
      <c r="L938" s="56" t="s">
        <v>49</v>
      </c>
    </row>
    <row r="939" spans="2:12" x14ac:dyDescent="0.25">
      <c r="B939" s="42" t="s">
        <v>1355</v>
      </c>
      <c r="C939" s="42" t="s">
        <v>101</v>
      </c>
      <c r="D939" s="57">
        <v>45893</v>
      </c>
      <c r="E939" s="44" t="s">
        <v>47</v>
      </c>
      <c r="F939" s="43" t="s">
        <v>52</v>
      </c>
      <c r="G939" s="42" t="s">
        <v>53</v>
      </c>
      <c r="H939" s="45">
        <v>2</v>
      </c>
      <c r="I939" s="46">
        <v>149</v>
      </c>
      <c r="J939" s="46">
        <v>0</v>
      </c>
      <c r="K939" s="46">
        <v>298</v>
      </c>
      <c r="L939" s="48" t="s">
        <v>18</v>
      </c>
    </row>
    <row r="940" spans="2:12" x14ac:dyDescent="0.25">
      <c r="B940" s="49" t="s">
        <v>1356</v>
      </c>
      <c r="C940" s="49" t="s">
        <v>101</v>
      </c>
      <c r="D940" s="58">
        <v>45927</v>
      </c>
      <c r="E940" s="51" t="s">
        <v>29</v>
      </c>
      <c r="F940" s="50" t="s">
        <v>16</v>
      </c>
      <c r="G940" s="52" t="s">
        <v>116</v>
      </c>
      <c r="H940" s="53">
        <v>2</v>
      </c>
      <c r="I940" s="54">
        <v>45</v>
      </c>
      <c r="J940" s="54">
        <v>7.96</v>
      </c>
      <c r="K940" s="54">
        <v>82.04</v>
      </c>
      <c r="L940" s="56" t="s">
        <v>65</v>
      </c>
    </row>
    <row r="941" spans="2:12" x14ac:dyDescent="0.25">
      <c r="B941" s="42" t="s">
        <v>1357</v>
      </c>
      <c r="C941" s="42" t="s">
        <v>95</v>
      </c>
      <c r="D941" s="57">
        <v>45754</v>
      </c>
      <c r="E941" s="44" t="s">
        <v>39</v>
      </c>
      <c r="F941" s="43" t="s">
        <v>23</v>
      </c>
      <c r="G941" s="42" t="s">
        <v>24</v>
      </c>
      <c r="H941" s="45">
        <v>1</v>
      </c>
      <c r="I941" s="46">
        <v>180</v>
      </c>
      <c r="J941" s="46">
        <v>10</v>
      </c>
      <c r="K941" s="46">
        <v>170</v>
      </c>
      <c r="L941" s="48" t="s">
        <v>44</v>
      </c>
    </row>
    <row r="942" spans="2:12" x14ac:dyDescent="0.25">
      <c r="B942" s="49" t="s">
        <v>1358</v>
      </c>
      <c r="C942" s="49" t="s">
        <v>34</v>
      </c>
      <c r="D942" s="58">
        <v>45942</v>
      </c>
      <c r="E942" s="51" t="s">
        <v>47</v>
      </c>
      <c r="F942" s="50" t="s">
        <v>16</v>
      </c>
      <c r="G942" s="52" t="s">
        <v>78</v>
      </c>
      <c r="H942" s="53">
        <v>1</v>
      </c>
      <c r="I942" s="54">
        <v>59</v>
      </c>
      <c r="J942" s="54">
        <v>6.01</v>
      </c>
      <c r="K942" s="54">
        <v>52.99</v>
      </c>
      <c r="L942" s="56" t="s">
        <v>49</v>
      </c>
    </row>
    <row r="943" spans="2:12" x14ac:dyDescent="0.25">
      <c r="B943" s="42" t="s">
        <v>1359</v>
      </c>
      <c r="C943" s="42" t="s">
        <v>41</v>
      </c>
      <c r="D943" s="57">
        <v>45792</v>
      </c>
      <c r="E943" s="44" t="s">
        <v>29</v>
      </c>
      <c r="F943" s="43" t="s">
        <v>23</v>
      </c>
      <c r="G943" s="42" t="s">
        <v>43</v>
      </c>
      <c r="H943" s="45">
        <v>5</v>
      </c>
      <c r="I943" s="46">
        <v>350</v>
      </c>
      <c r="J943" s="46">
        <v>0</v>
      </c>
      <c r="K943" s="46">
        <v>1750</v>
      </c>
      <c r="L943" s="48" t="s">
        <v>65</v>
      </c>
    </row>
    <row r="944" spans="2:12" x14ac:dyDescent="0.25">
      <c r="B944" s="49" t="s">
        <v>1360</v>
      </c>
      <c r="C944" s="49" t="s">
        <v>41</v>
      </c>
      <c r="D944" s="58">
        <v>46049</v>
      </c>
      <c r="E944" s="51" t="s">
        <v>22</v>
      </c>
      <c r="F944" s="50" t="s">
        <v>23</v>
      </c>
      <c r="G944" s="52" t="s">
        <v>43</v>
      </c>
      <c r="H944" s="53">
        <v>3</v>
      </c>
      <c r="I944" s="54">
        <v>350</v>
      </c>
      <c r="J944" s="54">
        <v>0</v>
      </c>
      <c r="K944" s="54">
        <v>1050</v>
      </c>
      <c r="L944" s="56" t="s">
        <v>25</v>
      </c>
    </row>
    <row r="945" spans="2:12" x14ac:dyDescent="0.25">
      <c r="B945" s="42" t="s">
        <v>1361</v>
      </c>
      <c r="C945" s="42" t="s">
        <v>41</v>
      </c>
      <c r="D945" s="57">
        <v>46034</v>
      </c>
      <c r="E945" s="44" t="s">
        <v>29</v>
      </c>
      <c r="F945" s="43" t="s">
        <v>52</v>
      </c>
      <c r="G945" s="42" t="s">
        <v>53</v>
      </c>
      <c r="H945" s="45">
        <v>4</v>
      </c>
      <c r="I945" s="46">
        <v>149</v>
      </c>
      <c r="J945" s="46">
        <v>22.76</v>
      </c>
      <c r="K945" s="46">
        <v>573.24</v>
      </c>
      <c r="L945" s="48" t="s">
        <v>49</v>
      </c>
    </row>
    <row r="946" spans="2:12" x14ac:dyDescent="0.25">
      <c r="B946" s="49" t="s">
        <v>1362</v>
      </c>
      <c r="C946" s="49" t="s">
        <v>110</v>
      </c>
      <c r="D946" s="58">
        <v>45722</v>
      </c>
      <c r="E946" s="51" t="s">
        <v>22</v>
      </c>
      <c r="F946" s="50" t="s">
        <v>52</v>
      </c>
      <c r="G946" s="52" t="s">
        <v>61</v>
      </c>
      <c r="H946" s="53">
        <v>4</v>
      </c>
      <c r="I946" s="54">
        <v>199</v>
      </c>
      <c r="J946" s="54">
        <v>103.79</v>
      </c>
      <c r="K946" s="54">
        <v>692.21</v>
      </c>
      <c r="L946" s="56" t="s">
        <v>65</v>
      </c>
    </row>
    <row r="947" spans="2:12" x14ac:dyDescent="0.25">
      <c r="B947" s="42" t="s">
        <v>1363</v>
      </c>
      <c r="C947" s="42" t="s">
        <v>55</v>
      </c>
      <c r="D947" s="57">
        <v>46007</v>
      </c>
      <c r="E947" s="44" t="s">
        <v>47</v>
      </c>
      <c r="F947" s="43" t="s">
        <v>30</v>
      </c>
      <c r="G947" s="42" t="s">
        <v>31</v>
      </c>
      <c r="H947" s="45">
        <v>1</v>
      </c>
      <c r="I947" s="46">
        <v>2500</v>
      </c>
      <c r="J947" s="46">
        <v>9.85</v>
      </c>
      <c r="K947" s="46">
        <v>2490.15</v>
      </c>
      <c r="L947" s="48" t="s">
        <v>69</v>
      </c>
    </row>
    <row r="948" spans="2:12" x14ac:dyDescent="0.25">
      <c r="B948" s="49" t="s">
        <v>1364</v>
      </c>
      <c r="C948" s="49" t="s">
        <v>13</v>
      </c>
      <c r="D948" s="58">
        <v>45856</v>
      </c>
      <c r="E948" s="51" t="s">
        <v>22</v>
      </c>
      <c r="F948" s="50" t="s">
        <v>30</v>
      </c>
      <c r="G948" s="52" t="s">
        <v>152</v>
      </c>
      <c r="H948" s="53">
        <v>4</v>
      </c>
      <c r="I948" s="54">
        <v>4500</v>
      </c>
      <c r="J948" s="54">
        <v>0</v>
      </c>
      <c r="K948" s="54">
        <v>18000</v>
      </c>
      <c r="L948" s="56" t="s">
        <v>32</v>
      </c>
    </row>
    <row r="949" spans="2:12" x14ac:dyDescent="0.25">
      <c r="B949" s="42" t="s">
        <v>1366</v>
      </c>
      <c r="C949" s="42" t="s">
        <v>37</v>
      </c>
      <c r="D949" s="57">
        <v>45695</v>
      </c>
      <c r="E949" s="44" t="s">
        <v>22</v>
      </c>
      <c r="F949" s="43" t="s">
        <v>16</v>
      </c>
      <c r="G949" s="42" t="s">
        <v>78</v>
      </c>
      <c r="H949" s="45">
        <v>2</v>
      </c>
      <c r="I949" s="46">
        <v>59</v>
      </c>
      <c r="J949" s="46">
        <v>9.93</v>
      </c>
      <c r="K949" s="46">
        <v>108.07</v>
      </c>
      <c r="L949" s="48" t="s">
        <v>44</v>
      </c>
    </row>
    <row r="950" spans="2:12" x14ac:dyDescent="0.25">
      <c r="B950" s="49" t="s">
        <v>1367</v>
      </c>
      <c r="C950" s="49" t="s">
        <v>110</v>
      </c>
      <c r="D950" s="58">
        <v>46019</v>
      </c>
      <c r="E950" s="51" t="s">
        <v>29</v>
      </c>
      <c r="F950" s="50" t="s">
        <v>52</v>
      </c>
      <c r="G950" s="52" t="s">
        <v>99</v>
      </c>
      <c r="H950" s="53">
        <v>5</v>
      </c>
      <c r="I950" s="54">
        <v>79</v>
      </c>
      <c r="J950" s="54">
        <v>0</v>
      </c>
      <c r="K950" s="54">
        <v>395</v>
      </c>
      <c r="L950" s="56" t="s">
        <v>25</v>
      </c>
    </row>
    <row r="951" spans="2:12" x14ac:dyDescent="0.25">
      <c r="B951" s="42" t="s">
        <v>1368</v>
      </c>
      <c r="C951" s="42" t="s">
        <v>37</v>
      </c>
      <c r="D951" s="57">
        <v>45964</v>
      </c>
      <c r="E951" s="44" t="s">
        <v>22</v>
      </c>
      <c r="F951" s="43" t="s">
        <v>30</v>
      </c>
      <c r="G951" s="42" t="s">
        <v>106</v>
      </c>
      <c r="H951" s="45">
        <v>2</v>
      </c>
      <c r="I951" s="46">
        <v>299</v>
      </c>
      <c r="J951" s="46">
        <v>66.64</v>
      </c>
      <c r="K951" s="46">
        <v>531.36</v>
      </c>
      <c r="L951" s="48" t="s">
        <v>89</v>
      </c>
    </row>
    <row r="952" spans="2:12" x14ac:dyDescent="0.25">
      <c r="B952" s="49" t="s">
        <v>1370</v>
      </c>
      <c r="C952" s="49" t="s">
        <v>101</v>
      </c>
      <c r="D952" s="58">
        <v>45718</v>
      </c>
      <c r="E952" s="51" t="s">
        <v>15</v>
      </c>
      <c r="F952" s="50" t="s">
        <v>52</v>
      </c>
      <c r="G952" s="52" t="s">
        <v>99</v>
      </c>
      <c r="H952" s="53">
        <v>3</v>
      </c>
      <c r="I952" s="54">
        <v>79</v>
      </c>
      <c r="J952" s="54">
        <v>31.25</v>
      </c>
      <c r="K952" s="54">
        <v>205.75</v>
      </c>
      <c r="L952" s="56" t="s">
        <v>18</v>
      </c>
    </row>
    <row r="953" spans="2:12" x14ac:dyDescent="0.25">
      <c r="B953" s="42" t="s">
        <v>1372</v>
      </c>
      <c r="C953" s="42" t="s">
        <v>55</v>
      </c>
      <c r="D953" s="57">
        <v>45660</v>
      </c>
      <c r="E953" s="44" t="s">
        <v>15</v>
      </c>
      <c r="F953" s="43" t="s">
        <v>23</v>
      </c>
      <c r="G953" s="42" t="s">
        <v>43</v>
      </c>
      <c r="H953" s="45">
        <v>3</v>
      </c>
      <c r="I953" s="46">
        <v>350</v>
      </c>
      <c r="J953" s="46">
        <v>0</v>
      </c>
      <c r="K953" s="46">
        <v>1050</v>
      </c>
      <c r="L953" s="48" t="s">
        <v>25</v>
      </c>
    </row>
    <row r="954" spans="2:12" x14ac:dyDescent="0.25">
      <c r="B954" s="49" t="s">
        <v>1373</v>
      </c>
      <c r="C954" s="49" t="s">
        <v>20</v>
      </c>
      <c r="D954" s="58">
        <v>45766</v>
      </c>
      <c r="E954" s="51" t="s">
        <v>47</v>
      </c>
      <c r="F954" s="50" t="s">
        <v>23</v>
      </c>
      <c r="G954" s="52" t="s">
        <v>48</v>
      </c>
      <c r="H954" s="53">
        <v>1</v>
      </c>
      <c r="I954" s="54">
        <v>450</v>
      </c>
      <c r="J954" s="54">
        <v>0</v>
      </c>
      <c r="K954" s="54">
        <v>450</v>
      </c>
      <c r="L954" s="56" t="s">
        <v>18</v>
      </c>
    </row>
    <row r="955" spans="2:12" x14ac:dyDescent="0.25">
      <c r="B955" s="42" t="s">
        <v>1374</v>
      </c>
      <c r="C955" s="42" t="s">
        <v>55</v>
      </c>
      <c r="D955" s="57">
        <v>45687</v>
      </c>
      <c r="E955" s="44" t="s">
        <v>39</v>
      </c>
      <c r="F955" s="43" t="s">
        <v>30</v>
      </c>
      <c r="G955" s="42" t="s">
        <v>68</v>
      </c>
      <c r="H955" s="45">
        <v>5</v>
      </c>
      <c r="I955" s="46">
        <v>799</v>
      </c>
      <c r="J955" s="46">
        <v>455.51</v>
      </c>
      <c r="K955" s="46">
        <v>3539.49</v>
      </c>
      <c r="L955" s="48" t="s">
        <v>69</v>
      </c>
    </row>
    <row r="956" spans="2:12" x14ac:dyDescent="0.25">
      <c r="B956" s="49" t="s">
        <v>1375</v>
      </c>
      <c r="C956" s="49" t="s">
        <v>13</v>
      </c>
      <c r="D956" s="58">
        <v>45903</v>
      </c>
      <c r="E956" s="51" t="s">
        <v>15</v>
      </c>
      <c r="F956" s="50" t="s">
        <v>23</v>
      </c>
      <c r="G956" s="52" t="s">
        <v>88</v>
      </c>
      <c r="H956" s="53">
        <v>3</v>
      </c>
      <c r="I956" s="54">
        <v>650</v>
      </c>
      <c r="J956" s="54">
        <v>158.62</v>
      </c>
      <c r="K956" s="54">
        <v>1791.38</v>
      </c>
      <c r="L956" s="56" t="s">
        <v>25</v>
      </c>
    </row>
    <row r="957" spans="2:12" x14ac:dyDescent="0.25">
      <c r="B957" s="42" t="s">
        <v>1376</v>
      </c>
      <c r="C957" s="42" t="s">
        <v>34</v>
      </c>
      <c r="D957" s="57">
        <v>45842</v>
      </c>
      <c r="E957" s="44" t="s">
        <v>15</v>
      </c>
      <c r="F957" s="43" t="s">
        <v>16</v>
      </c>
      <c r="G957" s="42" t="s">
        <v>116</v>
      </c>
      <c r="H957" s="45">
        <v>3</v>
      </c>
      <c r="I957" s="46">
        <v>45</v>
      </c>
      <c r="J957" s="46">
        <v>15.98</v>
      </c>
      <c r="K957" s="46">
        <v>119.02</v>
      </c>
      <c r="L957" s="48" t="s">
        <v>32</v>
      </c>
    </row>
    <row r="958" spans="2:12" x14ac:dyDescent="0.25">
      <c r="B958" s="49" t="s">
        <v>1377</v>
      </c>
      <c r="C958" s="49" t="s">
        <v>110</v>
      </c>
      <c r="D958" s="58">
        <v>46001</v>
      </c>
      <c r="E958" s="51" t="s">
        <v>39</v>
      </c>
      <c r="F958" s="50" t="s">
        <v>16</v>
      </c>
      <c r="G958" s="52" t="s">
        <v>78</v>
      </c>
      <c r="H958" s="53">
        <v>4</v>
      </c>
      <c r="I958" s="54">
        <v>59</v>
      </c>
      <c r="J958" s="54">
        <v>18.37</v>
      </c>
      <c r="K958" s="54">
        <v>217.63</v>
      </c>
      <c r="L958" s="56" t="s">
        <v>32</v>
      </c>
    </row>
    <row r="959" spans="2:12" x14ac:dyDescent="0.25">
      <c r="B959" s="42" t="s">
        <v>1378</v>
      </c>
      <c r="C959" s="42" t="s">
        <v>110</v>
      </c>
      <c r="D959" s="57">
        <v>45896</v>
      </c>
      <c r="E959" s="44" t="s">
        <v>22</v>
      </c>
      <c r="F959" s="43" t="s">
        <v>16</v>
      </c>
      <c r="G959" s="42" t="s">
        <v>116</v>
      </c>
      <c r="H959" s="45">
        <v>3</v>
      </c>
      <c r="I959" s="46">
        <v>45</v>
      </c>
      <c r="J959" s="46">
        <v>0</v>
      </c>
      <c r="K959" s="46">
        <v>135</v>
      </c>
      <c r="L959" s="48" t="s">
        <v>65</v>
      </c>
    </row>
    <row r="960" spans="2:12" x14ac:dyDescent="0.25">
      <c r="B960" s="49" t="s">
        <v>1379</v>
      </c>
      <c r="C960" s="49" t="s">
        <v>37</v>
      </c>
      <c r="D960" s="58">
        <v>45886</v>
      </c>
      <c r="E960" s="51" t="s">
        <v>39</v>
      </c>
      <c r="F960" s="50" t="s">
        <v>16</v>
      </c>
      <c r="G960" s="52" t="s">
        <v>103</v>
      </c>
      <c r="H960" s="53">
        <v>1</v>
      </c>
      <c r="I960" s="54">
        <v>89</v>
      </c>
      <c r="J960" s="54">
        <v>0</v>
      </c>
      <c r="K960" s="54">
        <v>89</v>
      </c>
      <c r="L960" s="56" t="s">
        <v>89</v>
      </c>
    </row>
    <row r="961" spans="2:12" x14ac:dyDescent="0.25">
      <c r="B961" s="42" t="s">
        <v>1380</v>
      </c>
      <c r="C961" s="42" t="s">
        <v>110</v>
      </c>
      <c r="D961" s="57">
        <v>46045</v>
      </c>
      <c r="E961" s="44" t="s">
        <v>47</v>
      </c>
      <c r="F961" s="43" t="s">
        <v>30</v>
      </c>
      <c r="G961" s="42" t="s">
        <v>106</v>
      </c>
      <c r="H961" s="45">
        <v>1</v>
      </c>
      <c r="I961" s="46">
        <v>299</v>
      </c>
      <c r="J961" s="46">
        <v>29.58</v>
      </c>
      <c r="K961" s="46">
        <v>269.42</v>
      </c>
      <c r="L961" s="48" t="s">
        <v>44</v>
      </c>
    </row>
    <row r="962" spans="2:12" x14ac:dyDescent="0.25">
      <c r="B962" s="49" t="s">
        <v>1381</v>
      </c>
      <c r="C962" s="49" t="s">
        <v>95</v>
      </c>
      <c r="D962" s="58">
        <v>46047</v>
      </c>
      <c r="E962" s="51" t="s">
        <v>15</v>
      </c>
      <c r="F962" s="50" t="s">
        <v>30</v>
      </c>
      <c r="G962" s="52" t="s">
        <v>31</v>
      </c>
      <c r="H962" s="53">
        <v>3</v>
      </c>
      <c r="I962" s="54">
        <v>2500</v>
      </c>
      <c r="J962" s="54">
        <v>66.239999999999995</v>
      </c>
      <c r="K962" s="54">
        <v>7433.76</v>
      </c>
      <c r="L962" s="56" t="s">
        <v>69</v>
      </c>
    </row>
    <row r="963" spans="2:12" x14ac:dyDescent="0.25">
      <c r="B963" s="42" t="s">
        <v>1382</v>
      </c>
      <c r="C963" s="42" t="s">
        <v>27</v>
      </c>
      <c r="D963" s="57">
        <v>45659</v>
      </c>
      <c r="E963" s="44" t="s">
        <v>47</v>
      </c>
      <c r="F963" s="43" t="s">
        <v>16</v>
      </c>
      <c r="G963" s="42" t="s">
        <v>17</v>
      </c>
      <c r="H963" s="45">
        <v>3</v>
      </c>
      <c r="I963" s="46">
        <v>39</v>
      </c>
      <c r="J963" s="46">
        <v>0</v>
      </c>
      <c r="K963" s="46">
        <v>117</v>
      </c>
      <c r="L963" s="48" t="s">
        <v>44</v>
      </c>
    </row>
    <row r="964" spans="2:12" x14ac:dyDescent="0.25">
      <c r="B964" s="49" t="s">
        <v>1383</v>
      </c>
      <c r="C964" s="49" t="s">
        <v>20</v>
      </c>
      <c r="D964" s="58">
        <v>45715</v>
      </c>
      <c r="E964" s="51" t="s">
        <v>29</v>
      </c>
      <c r="F964" s="50" t="s">
        <v>23</v>
      </c>
      <c r="G964" s="52" t="s">
        <v>43</v>
      </c>
      <c r="H964" s="53">
        <v>3</v>
      </c>
      <c r="I964" s="54">
        <v>350</v>
      </c>
      <c r="J964" s="54">
        <v>0</v>
      </c>
      <c r="K964" s="54">
        <v>1050</v>
      </c>
      <c r="L964" s="56" t="s">
        <v>44</v>
      </c>
    </row>
    <row r="965" spans="2:12" x14ac:dyDescent="0.25">
      <c r="B965" s="42" t="s">
        <v>1384</v>
      </c>
      <c r="C965" s="42" t="s">
        <v>55</v>
      </c>
      <c r="D965" s="57">
        <v>45939</v>
      </c>
      <c r="E965" s="44" t="s">
        <v>22</v>
      </c>
      <c r="F965" s="43" t="s">
        <v>52</v>
      </c>
      <c r="G965" s="42" t="s">
        <v>61</v>
      </c>
      <c r="H965" s="45">
        <v>3</v>
      </c>
      <c r="I965" s="46">
        <v>199</v>
      </c>
      <c r="J965" s="46">
        <v>0</v>
      </c>
      <c r="K965" s="46">
        <v>597</v>
      </c>
      <c r="L965" s="48" t="s">
        <v>25</v>
      </c>
    </row>
    <row r="966" spans="2:12" x14ac:dyDescent="0.25">
      <c r="B966" s="49" t="s">
        <v>1385</v>
      </c>
      <c r="C966" s="49" t="s">
        <v>34</v>
      </c>
      <c r="D966" s="58">
        <v>45694</v>
      </c>
      <c r="E966" s="51" t="s">
        <v>22</v>
      </c>
      <c r="F966" s="50" t="s">
        <v>23</v>
      </c>
      <c r="G966" s="52" t="s">
        <v>88</v>
      </c>
      <c r="H966" s="53">
        <v>3</v>
      </c>
      <c r="I966" s="54">
        <v>650</v>
      </c>
      <c r="J966" s="54">
        <v>163.33000000000001</v>
      </c>
      <c r="K966" s="54">
        <v>1786.67</v>
      </c>
      <c r="L966" s="56" t="s">
        <v>25</v>
      </c>
    </row>
    <row r="967" spans="2:12" x14ac:dyDescent="0.25">
      <c r="B967" s="42" t="s">
        <v>1386</v>
      </c>
      <c r="C967" s="42" t="s">
        <v>95</v>
      </c>
      <c r="D967" s="57">
        <v>45750</v>
      </c>
      <c r="E967" s="44" t="s">
        <v>29</v>
      </c>
      <c r="F967" s="43" t="s">
        <v>23</v>
      </c>
      <c r="G967" s="42" t="s">
        <v>88</v>
      </c>
      <c r="H967" s="45">
        <v>1</v>
      </c>
      <c r="I967" s="46">
        <v>650</v>
      </c>
      <c r="J967" s="46">
        <v>29.21</v>
      </c>
      <c r="K967" s="46">
        <v>620.79</v>
      </c>
      <c r="L967" s="48" t="s">
        <v>65</v>
      </c>
    </row>
    <row r="968" spans="2:12" x14ac:dyDescent="0.25">
      <c r="B968" s="49" t="s">
        <v>1387</v>
      </c>
      <c r="C968" s="49" t="s">
        <v>101</v>
      </c>
      <c r="D968" s="58">
        <v>45712</v>
      </c>
      <c r="E968" s="51" t="s">
        <v>29</v>
      </c>
      <c r="F968" s="50" t="s">
        <v>52</v>
      </c>
      <c r="G968" s="52" t="s">
        <v>53</v>
      </c>
      <c r="H968" s="53">
        <v>2</v>
      </c>
      <c r="I968" s="54">
        <v>149</v>
      </c>
      <c r="J968" s="54">
        <v>15.05</v>
      </c>
      <c r="K968" s="54">
        <v>282.95</v>
      </c>
      <c r="L968" s="56" t="s">
        <v>65</v>
      </c>
    </row>
    <row r="969" spans="2:12" x14ac:dyDescent="0.25">
      <c r="B969" s="42" t="s">
        <v>1388</v>
      </c>
      <c r="C969" s="42" t="s">
        <v>63</v>
      </c>
      <c r="D969" s="57">
        <v>45828</v>
      </c>
      <c r="E969" s="44" t="s">
        <v>22</v>
      </c>
      <c r="F969" s="43" t="s">
        <v>16</v>
      </c>
      <c r="G969" s="42" t="s">
        <v>116</v>
      </c>
      <c r="H969" s="45">
        <v>3</v>
      </c>
      <c r="I969" s="46">
        <v>45</v>
      </c>
      <c r="J969" s="46">
        <v>2.96</v>
      </c>
      <c r="K969" s="46">
        <v>132.04</v>
      </c>
      <c r="L969" s="48" t="s">
        <v>25</v>
      </c>
    </row>
    <row r="970" spans="2:12" x14ac:dyDescent="0.25">
      <c r="B970" s="49" t="s">
        <v>1389</v>
      </c>
      <c r="C970" s="49" t="s">
        <v>101</v>
      </c>
      <c r="D970" s="58">
        <v>46004</v>
      </c>
      <c r="E970" s="51" t="s">
        <v>15</v>
      </c>
      <c r="F970" s="50" t="s">
        <v>30</v>
      </c>
      <c r="G970" s="52" t="s">
        <v>106</v>
      </c>
      <c r="H970" s="53">
        <v>1</v>
      </c>
      <c r="I970" s="54">
        <v>299</v>
      </c>
      <c r="J970" s="54">
        <v>32.53</v>
      </c>
      <c r="K970" s="54">
        <v>266.47000000000003</v>
      </c>
      <c r="L970" s="56" t="s">
        <v>44</v>
      </c>
    </row>
    <row r="971" spans="2:12" x14ac:dyDescent="0.25">
      <c r="B971" s="42" t="s">
        <v>1390</v>
      </c>
      <c r="C971" s="42" t="s">
        <v>95</v>
      </c>
      <c r="D971" s="57">
        <v>45793</v>
      </c>
      <c r="E971" s="44" t="s">
        <v>39</v>
      </c>
      <c r="F971" s="43" t="s">
        <v>16</v>
      </c>
      <c r="G971" s="42" t="s">
        <v>103</v>
      </c>
      <c r="H971" s="45">
        <v>4</v>
      </c>
      <c r="I971" s="46">
        <v>89</v>
      </c>
      <c r="J971" s="46">
        <v>29.32</v>
      </c>
      <c r="K971" s="46">
        <v>326.68</v>
      </c>
      <c r="L971" s="48" t="s">
        <v>65</v>
      </c>
    </row>
    <row r="972" spans="2:12" x14ac:dyDescent="0.25">
      <c r="B972" s="49" t="s">
        <v>1391</v>
      </c>
      <c r="C972" s="49" t="s">
        <v>101</v>
      </c>
      <c r="D972" s="58">
        <v>46013</v>
      </c>
      <c r="E972" s="51" t="s">
        <v>15</v>
      </c>
      <c r="F972" s="50" t="s">
        <v>30</v>
      </c>
      <c r="G972" s="52" t="s">
        <v>68</v>
      </c>
      <c r="H972" s="53">
        <v>1</v>
      </c>
      <c r="I972" s="54">
        <v>799</v>
      </c>
      <c r="J972" s="54">
        <v>84.27</v>
      </c>
      <c r="K972" s="54">
        <v>714.73</v>
      </c>
      <c r="L972" s="56" t="s">
        <v>89</v>
      </c>
    </row>
    <row r="973" spans="2:12" x14ac:dyDescent="0.25">
      <c r="B973" s="42" t="s">
        <v>1392</v>
      </c>
      <c r="C973" s="42" t="s">
        <v>95</v>
      </c>
      <c r="D973" s="57">
        <v>46012</v>
      </c>
      <c r="E973" s="44" t="s">
        <v>22</v>
      </c>
      <c r="F973" s="43" t="s">
        <v>52</v>
      </c>
      <c r="G973" s="42" t="s">
        <v>99</v>
      </c>
      <c r="H973" s="45">
        <v>1</v>
      </c>
      <c r="I973" s="46">
        <v>79</v>
      </c>
      <c r="J973" s="46">
        <v>0</v>
      </c>
      <c r="K973" s="46">
        <v>79</v>
      </c>
      <c r="L973" s="48" t="s">
        <v>18</v>
      </c>
    </row>
    <row r="974" spans="2:12" x14ac:dyDescent="0.25">
      <c r="B974" s="49" t="s">
        <v>1393</v>
      </c>
      <c r="C974" s="49" t="s">
        <v>71</v>
      </c>
      <c r="D974" s="58">
        <v>46016</v>
      </c>
      <c r="E974" s="51" t="s">
        <v>39</v>
      </c>
      <c r="F974" s="50" t="s">
        <v>30</v>
      </c>
      <c r="G974" s="52" t="s">
        <v>31</v>
      </c>
      <c r="H974" s="53">
        <v>4</v>
      </c>
      <c r="I974" s="54">
        <v>2500</v>
      </c>
      <c r="J974" s="54">
        <v>0</v>
      </c>
      <c r="K974" s="54">
        <v>10000</v>
      </c>
      <c r="L974" s="56" t="s">
        <v>25</v>
      </c>
    </row>
    <row r="975" spans="2:12" x14ac:dyDescent="0.25">
      <c r="B975" s="42" t="s">
        <v>1394</v>
      </c>
      <c r="C975" s="42" t="s">
        <v>34</v>
      </c>
      <c r="D975" s="57">
        <v>46058</v>
      </c>
      <c r="E975" s="44" t="s">
        <v>22</v>
      </c>
      <c r="F975" s="43" t="s">
        <v>23</v>
      </c>
      <c r="G975" s="42" t="s">
        <v>48</v>
      </c>
      <c r="H975" s="45">
        <v>4</v>
      </c>
      <c r="I975" s="46">
        <v>450</v>
      </c>
      <c r="J975" s="46">
        <v>74.27</v>
      </c>
      <c r="K975" s="46">
        <v>1725.73</v>
      </c>
      <c r="L975" s="48" t="s">
        <v>65</v>
      </c>
    </row>
    <row r="976" spans="2:12" x14ac:dyDescent="0.25">
      <c r="B976" s="49" t="s">
        <v>1395</v>
      </c>
      <c r="C976" s="49" t="s">
        <v>71</v>
      </c>
      <c r="D976" s="58">
        <v>45833</v>
      </c>
      <c r="E976" s="51" t="s">
        <v>29</v>
      </c>
      <c r="F976" s="50" t="s">
        <v>16</v>
      </c>
      <c r="G976" s="52" t="s">
        <v>78</v>
      </c>
      <c r="H976" s="53">
        <v>2</v>
      </c>
      <c r="I976" s="54">
        <v>59</v>
      </c>
      <c r="J976" s="54">
        <v>11.89</v>
      </c>
      <c r="K976" s="54">
        <v>106.11</v>
      </c>
      <c r="L976" s="56" t="s">
        <v>18</v>
      </c>
    </row>
    <row r="977" spans="2:12" x14ac:dyDescent="0.25">
      <c r="B977" s="42" t="s">
        <v>1396</v>
      </c>
      <c r="C977" s="42" t="s">
        <v>63</v>
      </c>
      <c r="D977" s="57">
        <v>46023</v>
      </c>
      <c r="E977" s="44" t="s">
        <v>15</v>
      </c>
      <c r="F977" s="43" t="s">
        <v>30</v>
      </c>
      <c r="G977" s="42" t="s">
        <v>68</v>
      </c>
      <c r="H977" s="45">
        <v>2</v>
      </c>
      <c r="I977" s="46">
        <v>799</v>
      </c>
      <c r="J977" s="46">
        <v>0</v>
      </c>
      <c r="K977" s="46">
        <v>1598</v>
      </c>
      <c r="L977" s="48" t="s">
        <v>89</v>
      </c>
    </row>
    <row r="978" spans="2:12" x14ac:dyDescent="0.25">
      <c r="B978" s="49" t="s">
        <v>1397</v>
      </c>
      <c r="C978" s="49" t="s">
        <v>101</v>
      </c>
      <c r="D978" s="58">
        <v>45951</v>
      </c>
      <c r="E978" s="51" t="s">
        <v>47</v>
      </c>
      <c r="F978" s="50" t="s">
        <v>52</v>
      </c>
      <c r="G978" s="52" t="s">
        <v>53</v>
      </c>
      <c r="H978" s="53">
        <v>2</v>
      </c>
      <c r="I978" s="54">
        <v>149</v>
      </c>
      <c r="J978" s="54">
        <v>0</v>
      </c>
      <c r="K978" s="54">
        <v>298</v>
      </c>
      <c r="L978" s="56" t="s">
        <v>32</v>
      </c>
    </row>
    <row r="979" spans="2:12" x14ac:dyDescent="0.25">
      <c r="B979" s="42" t="s">
        <v>1398</v>
      </c>
      <c r="C979" s="42" t="s">
        <v>63</v>
      </c>
      <c r="D979" s="57">
        <v>45687</v>
      </c>
      <c r="E979" s="44" t="s">
        <v>15</v>
      </c>
      <c r="F979" s="43" t="s">
        <v>23</v>
      </c>
      <c r="G979" s="42" t="s">
        <v>88</v>
      </c>
      <c r="H979" s="45">
        <v>1</v>
      </c>
      <c r="I979" s="46">
        <v>650</v>
      </c>
      <c r="J979" s="46">
        <v>44.32</v>
      </c>
      <c r="K979" s="46">
        <v>605.67999999999995</v>
      </c>
      <c r="L979" s="48" t="s">
        <v>89</v>
      </c>
    </row>
    <row r="980" spans="2:12" x14ac:dyDescent="0.25">
      <c r="B980" s="49" t="s">
        <v>1399</v>
      </c>
      <c r="C980" s="49" t="s">
        <v>37</v>
      </c>
      <c r="D980" s="58">
        <v>45719</v>
      </c>
      <c r="E980" s="51" t="s">
        <v>29</v>
      </c>
      <c r="F980" s="50" t="s">
        <v>16</v>
      </c>
      <c r="G980" s="52" t="s">
        <v>17</v>
      </c>
      <c r="H980" s="53">
        <v>5</v>
      </c>
      <c r="I980" s="54">
        <v>39</v>
      </c>
      <c r="J980" s="54">
        <v>9.52</v>
      </c>
      <c r="K980" s="54">
        <v>185.48</v>
      </c>
      <c r="L980" s="56" t="s">
        <v>25</v>
      </c>
    </row>
    <row r="981" spans="2:12" x14ac:dyDescent="0.25">
      <c r="B981" s="42" t="s">
        <v>1401</v>
      </c>
      <c r="C981" s="42" t="s">
        <v>63</v>
      </c>
      <c r="D981" s="57">
        <v>45955</v>
      </c>
      <c r="E981" s="44" t="s">
        <v>22</v>
      </c>
      <c r="F981" s="43" t="s">
        <v>52</v>
      </c>
      <c r="G981" s="42" t="s">
        <v>53</v>
      </c>
      <c r="H981" s="45">
        <v>1</v>
      </c>
      <c r="I981" s="46">
        <v>149</v>
      </c>
      <c r="J981" s="46">
        <v>0</v>
      </c>
      <c r="K981" s="46">
        <v>149</v>
      </c>
      <c r="L981" s="48" t="s">
        <v>32</v>
      </c>
    </row>
    <row r="982" spans="2:12" x14ac:dyDescent="0.25">
      <c r="B982" s="49" t="s">
        <v>1402</v>
      </c>
      <c r="C982" s="49" t="s">
        <v>20</v>
      </c>
      <c r="D982" s="58">
        <v>45949</v>
      </c>
      <c r="E982" s="51" t="s">
        <v>29</v>
      </c>
      <c r="F982" s="50" t="s">
        <v>23</v>
      </c>
      <c r="G982" s="52" t="s">
        <v>43</v>
      </c>
      <c r="H982" s="53">
        <v>5</v>
      </c>
      <c r="I982" s="54">
        <v>350</v>
      </c>
      <c r="J982" s="54">
        <v>117.16</v>
      </c>
      <c r="K982" s="54">
        <v>1632.84</v>
      </c>
      <c r="L982" s="56" t="s">
        <v>89</v>
      </c>
    </row>
    <row r="983" spans="2:12" x14ac:dyDescent="0.25">
      <c r="B983" s="42" t="s">
        <v>1403</v>
      </c>
      <c r="C983" s="42" t="s">
        <v>27</v>
      </c>
      <c r="D983" s="57">
        <v>45793</v>
      </c>
      <c r="E983" s="44" t="s">
        <v>39</v>
      </c>
      <c r="F983" s="43" t="s">
        <v>52</v>
      </c>
      <c r="G983" s="42" t="s">
        <v>61</v>
      </c>
      <c r="H983" s="45">
        <v>5</v>
      </c>
      <c r="I983" s="46">
        <v>199</v>
      </c>
      <c r="J983" s="46">
        <v>0</v>
      </c>
      <c r="K983" s="46">
        <v>995</v>
      </c>
      <c r="L983" s="48" t="s">
        <v>44</v>
      </c>
    </row>
    <row r="984" spans="2:12" x14ac:dyDescent="0.25">
      <c r="B984" s="49" t="s">
        <v>1404</v>
      </c>
      <c r="C984" s="49" t="s">
        <v>27</v>
      </c>
      <c r="D984" s="58">
        <v>45905</v>
      </c>
      <c r="E984" s="51" t="s">
        <v>47</v>
      </c>
      <c r="F984" s="50" t="s">
        <v>52</v>
      </c>
      <c r="G984" s="52" t="s">
        <v>61</v>
      </c>
      <c r="H984" s="53">
        <v>1</v>
      </c>
      <c r="I984" s="54">
        <v>199</v>
      </c>
      <c r="J984" s="54">
        <v>0</v>
      </c>
      <c r="K984" s="54">
        <v>199</v>
      </c>
      <c r="L984" s="56" t="s">
        <v>25</v>
      </c>
    </row>
    <row r="985" spans="2:12" x14ac:dyDescent="0.25">
      <c r="B985" s="42" t="s">
        <v>1405</v>
      </c>
      <c r="C985" s="42" t="s">
        <v>13</v>
      </c>
      <c r="D985" s="57">
        <v>45797</v>
      </c>
      <c r="E985" s="44" t="s">
        <v>22</v>
      </c>
      <c r="F985" s="43" t="s">
        <v>23</v>
      </c>
      <c r="G985" s="42" t="s">
        <v>88</v>
      </c>
      <c r="H985" s="45">
        <v>5</v>
      </c>
      <c r="I985" s="46">
        <v>650</v>
      </c>
      <c r="J985" s="46">
        <v>0</v>
      </c>
      <c r="K985" s="46">
        <v>3250</v>
      </c>
      <c r="L985" s="48" t="s">
        <v>49</v>
      </c>
    </row>
    <row r="986" spans="2:12" x14ac:dyDescent="0.25">
      <c r="B986" s="49" t="s">
        <v>1406</v>
      </c>
      <c r="C986" s="49" t="s">
        <v>63</v>
      </c>
      <c r="D986" s="58">
        <v>46021</v>
      </c>
      <c r="E986" s="51" t="s">
        <v>22</v>
      </c>
      <c r="F986" s="50" t="s">
        <v>30</v>
      </c>
      <c r="G986" s="52" t="s">
        <v>106</v>
      </c>
      <c r="H986" s="53">
        <v>4</v>
      </c>
      <c r="I986" s="54">
        <v>299</v>
      </c>
      <c r="J986" s="54">
        <v>0</v>
      </c>
      <c r="K986" s="54">
        <v>1196</v>
      </c>
      <c r="L986" s="56" t="s">
        <v>69</v>
      </c>
    </row>
    <row r="987" spans="2:12" x14ac:dyDescent="0.25">
      <c r="B987" s="42" t="s">
        <v>1407</v>
      </c>
      <c r="C987" s="42" t="s">
        <v>71</v>
      </c>
      <c r="D987" s="57">
        <v>45695</v>
      </c>
      <c r="E987" s="44" t="s">
        <v>15</v>
      </c>
      <c r="F987" s="43" t="s">
        <v>30</v>
      </c>
      <c r="G987" s="42" t="s">
        <v>68</v>
      </c>
      <c r="H987" s="45">
        <v>4</v>
      </c>
      <c r="I987" s="46">
        <v>799</v>
      </c>
      <c r="J987" s="46">
        <v>385.99</v>
      </c>
      <c r="K987" s="46">
        <v>2810.01</v>
      </c>
      <c r="L987" s="48" t="s">
        <v>25</v>
      </c>
    </row>
    <row r="988" spans="2:12" x14ac:dyDescent="0.25">
      <c r="B988" s="49" t="s">
        <v>1408</v>
      </c>
      <c r="C988" s="49" t="s">
        <v>13</v>
      </c>
      <c r="D988" s="58">
        <v>45808</v>
      </c>
      <c r="E988" s="51" t="s">
        <v>29</v>
      </c>
      <c r="F988" s="50" t="s">
        <v>23</v>
      </c>
      <c r="G988" s="52" t="s">
        <v>88</v>
      </c>
      <c r="H988" s="53">
        <v>3</v>
      </c>
      <c r="I988" s="54">
        <v>650</v>
      </c>
      <c r="J988" s="54">
        <v>0</v>
      </c>
      <c r="K988" s="54">
        <v>1950</v>
      </c>
      <c r="L988" s="56" t="s">
        <v>32</v>
      </c>
    </row>
    <row r="989" spans="2:12" x14ac:dyDescent="0.25">
      <c r="B989" s="42" t="s">
        <v>1409</v>
      </c>
      <c r="C989" s="42" t="s">
        <v>95</v>
      </c>
      <c r="D989" s="57">
        <v>45763</v>
      </c>
      <c r="E989" s="44" t="s">
        <v>47</v>
      </c>
      <c r="F989" s="43" t="s">
        <v>52</v>
      </c>
      <c r="G989" s="42" t="s">
        <v>75</v>
      </c>
      <c r="H989" s="45">
        <v>5</v>
      </c>
      <c r="I989" s="46">
        <v>249</v>
      </c>
      <c r="J989" s="46">
        <v>0</v>
      </c>
      <c r="K989" s="46">
        <v>1245</v>
      </c>
      <c r="L989" s="48" t="s">
        <v>32</v>
      </c>
    </row>
    <row r="990" spans="2:12" x14ac:dyDescent="0.25">
      <c r="B990" s="49" t="s">
        <v>1410</v>
      </c>
      <c r="C990" s="49" t="s">
        <v>71</v>
      </c>
      <c r="D990" s="58">
        <v>45832</v>
      </c>
      <c r="E990" s="51" t="s">
        <v>22</v>
      </c>
      <c r="F990" s="50" t="s">
        <v>30</v>
      </c>
      <c r="G990" s="52" t="s">
        <v>152</v>
      </c>
      <c r="H990" s="53">
        <v>4</v>
      </c>
      <c r="I990" s="54">
        <v>4500</v>
      </c>
      <c r="J990" s="54">
        <v>1000.24</v>
      </c>
      <c r="K990" s="54">
        <v>16999.759999999998</v>
      </c>
      <c r="L990" s="56" t="s">
        <v>65</v>
      </c>
    </row>
    <row r="991" spans="2:12" x14ac:dyDescent="0.25">
      <c r="B991" s="42" t="s">
        <v>1411</v>
      </c>
      <c r="C991" s="42" t="s">
        <v>27</v>
      </c>
      <c r="D991" s="57">
        <v>45912</v>
      </c>
      <c r="E991" s="44" t="s">
        <v>39</v>
      </c>
      <c r="F991" s="43" t="s">
        <v>23</v>
      </c>
      <c r="G991" s="42" t="s">
        <v>43</v>
      </c>
      <c r="H991" s="45">
        <v>5</v>
      </c>
      <c r="I991" s="46">
        <v>350</v>
      </c>
      <c r="J991" s="46">
        <v>0</v>
      </c>
      <c r="K991" s="46">
        <v>1750</v>
      </c>
      <c r="L991" s="48" t="s">
        <v>69</v>
      </c>
    </row>
    <row r="992" spans="2:12" x14ac:dyDescent="0.25">
      <c r="B992" s="49" t="s">
        <v>1412</v>
      </c>
      <c r="C992" s="49" t="s">
        <v>37</v>
      </c>
      <c r="D992" s="58">
        <v>45920</v>
      </c>
      <c r="E992" s="51" t="s">
        <v>15</v>
      </c>
      <c r="F992" s="50" t="s">
        <v>16</v>
      </c>
      <c r="G992" s="52" t="s">
        <v>116</v>
      </c>
      <c r="H992" s="53">
        <v>2</v>
      </c>
      <c r="I992" s="54">
        <v>45</v>
      </c>
      <c r="J992" s="54">
        <v>0</v>
      </c>
      <c r="K992" s="54">
        <v>90</v>
      </c>
      <c r="L992" s="56" t="s">
        <v>25</v>
      </c>
    </row>
    <row r="993" spans="2:12" x14ac:dyDescent="0.25">
      <c r="B993" s="42" t="s">
        <v>1413</v>
      </c>
      <c r="C993" s="42" t="s">
        <v>41</v>
      </c>
      <c r="D993" s="57">
        <v>45680</v>
      </c>
      <c r="E993" s="44" t="s">
        <v>47</v>
      </c>
      <c r="F993" s="43" t="s">
        <v>30</v>
      </c>
      <c r="G993" s="42" t="s">
        <v>68</v>
      </c>
      <c r="H993" s="45">
        <v>5</v>
      </c>
      <c r="I993" s="46">
        <v>799</v>
      </c>
      <c r="J993" s="46">
        <v>555.57000000000005</v>
      </c>
      <c r="K993" s="46">
        <v>3439.43</v>
      </c>
      <c r="L993" s="48" t="s">
        <v>65</v>
      </c>
    </row>
    <row r="994" spans="2:12" x14ac:dyDescent="0.25">
      <c r="B994" s="49" t="s">
        <v>1414</v>
      </c>
      <c r="C994" s="49" t="s">
        <v>41</v>
      </c>
      <c r="D994" s="58">
        <v>45794</v>
      </c>
      <c r="E994" s="51" t="s">
        <v>47</v>
      </c>
      <c r="F994" s="50" t="s">
        <v>52</v>
      </c>
      <c r="G994" s="52" t="s">
        <v>53</v>
      </c>
      <c r="H994" s="53">
        <v>2</v>
      </c>
      <c r="I994" s="54">
        <v>149</v>
      </c>
      <c r="J994" s="54">
        <v>0</v>
      </c>
      <c r="K994" s="54">
        <v>298</v>
      </c>
      <c r="L994" s="56" t="s">
        <v>32</v>
      </c>
    </row>
    <row r="995" spans="2:12" x14ac:dyDescent="0.25">
      <c r="B995" s="42" t="s">
        <v>1415</v>
      </c>
      <c r="C995" s="42" t="s">
        <v>110</v>
      </c>
      <c r="D995" s="57">
        <v>45681</v>
      </c>
      <c r="E995" s="44" t="s">
        <v>15</v>
      </c>
      <c r="F995" s="43" t="s">
        <v>52</v>
      </c>
      <c r="G995" s="42" t="s">
        <v>99</v>
      </c>
      <c r="H995" s="45">
        <v>1</v>
      </c>
      <c r="I995" s="46">
        <v>79</v>
      </c>
      <c r="J995" s="46">
        <v>4.54</v>
      </c>
      <c r="K995" s="46">
        <v>74.459999999999994</v>
      </c>
      <c r="L995" s="48" t="s">
        <v>18</v>
      </c>
    </row>
    <row r="996" spans="2:12" x14ac:dyDescent="0.25">
      <c r="B996" s="49" t="s">
        <v>1416</v>
      </c>
      <c r="C996" s="49" t="s">
        <v>37</v>
      </c>
      <c r="D996" s="58">
        <v>45779</v>
      </c>
      <c r="E996" s="51" t="s">
        <v>15</v>
      </c>
      <c r="F996" s="50" t="s">
        <v>23</v>
      </c>
      <c r="G996" s="52" t="s">
        <v>88</v>
      </c>
      <c r="H996" s="53">
        <v>5</v>
      </c>
      <c r="I996" s="54">
        <v>650</v>
      </c>
      <c r="J996" s="54">
        <v>227.52</v>
      </c>
      <c r="K996" s="54">
        <v>3022.48</v>
      </c>
      <c r="L996" s="56" t="s">
        <v>32</v>
      </c>
    </row>
    <row r="997" spans="2:12" x14ac:dyDescent="0.25">
      <c r="B997" s="42" t="s">
        <v>1417</v>
      </c>
      <c r="C997" s="42" t="s">
        <v>27</v>
      </c>
      <c r="D997" s="57">
        <v>45866</v>
      </c>
      <c r="E997" s="44" t="s">
        <v>22</v>
      </c>
      <c r="F997" s="43" t="s">
        <v>16</v>
      </c>
      <c r="G997" s="42" t="s">
        <v>103</v>
      </c>
      <c r="H997" s="45">
        <v>2</v>
      </c>
      <c r="I997" s="46">
        <v>89</v>
      </c>
      <c r="J997" s="46">
        <v>2.31</v>
      </c>
      <c r="K997" s="46">
        <v>175.69</v>
      </c>
      <c r="L997" s="48" t="s">
        <v>44</v>
      </c>
    </row>
    <row r="998" spans="2:12" x14ac:dyDescent="0.25">
      <c r="B998" s="49" t="s">
        <v>1418</v>
      </c>
      <c r="C998" s="49" t="s">
        <v>13</v>
      </c>
      <c r="D998" s="58">
        <v>45867</v>
      </c>
      <c r="E998" s="51" t="s">
        <v>22</v>
      </c>
      <c r="F998" s="50" t="s">
        <v>52</v>
      </c>
      <c r="G998" s="52" t="s">
        <v>99</v>
      </c>
      <c r="H998" s="53">
        <v>1</v>
      </c>
      <c r="I998" s="54">
        <v>79</v>
      </c>
      <c r="J998" s="54">
        <v>0</v>
      </c>
      <c r="K998" s="54">
        <v>79</v>
      </c>
      <c r="L998" s="56" t="s">
        <v>18</v>
      </c>
    </row>
    <row r="999" spans="2:12" x14ac:dyDescent="0.25">
      <c r="B999" s="42" t="s">
        <v>1419</v>
      </c>
      <c r="C999" s="42" t="s">
        <v>34</v>
      </c>
      <c r="D999" s="57">
        <v>45895</v>
      </c>
      <c r="E999" s="44" t="s">
        <v>47</v>
      </c>
      <c r="F999" s="43" t="s">
        <v>23</v>
      </c>
      <c r="G999" s="42" t="s">
        <v>48</v>
      </c>
      <c r="H999" s="45">
        <v>3</v>
      </c>
      <c r="I999" s="46">
        <v>450</v>
      </c>
      <c r="J999" s="46">
        <v>1.72</v>
      </c>
      <c r="K999" s="46">
        <v>1348.28</v>
      </c>
      <c r="L999" s="48" t="s">
        <v>25</v>
      </c>
    </row>
    <row r="1000" spans="2:12" x14ac:dyDescent="0.25">
      <c r="B1000" s="49" t="s">
        <v>1420</v>
      </c>
      <c r="C1000" s="49" t="s">
        <v>37</v>
      </c>
      <c r="D1000" s="58">
        <v>45844</v>
      </c>
      <c r="E1000" s="51" t="s">
        <v>29</v>
      </c>
      <c r="F1000" s="50" t="s">
        <v>16</v>
      </c>
      <c r="G1000" s="52" t="s">
        <v>116</v>
      </c>
      <c r="H1000" s="53">
        <v>3</v>
      </c>
      <c r="I1000" s="54">
        <v>45</v>
      </c>
      <c r="J1000" s="54">
        <v>0</v>
      </c>
      <c r="K1000" s="54">
        <v>135</v>
      </c>
      <c r="L1000" s="56" t="s">
        <v>49</v>
      </c>
    </row>
    <row r="1001" spans="2:12" x14ac:dyDescent="0.25">
      <c r="B1001" s="42" t="s">
        <v>1421</v>
      </c>
      <c r="C1001" s="42" t="s">
        <v>20</v>
      </c>
      <c r="D1001" s="57">
        <v>45760</v>
      </c>
      <c r="E1001" s="44" t="s">
        <v>15</v>
      </c>
      <c r="F1001" s="43" t="s">
        <v>30</v>
      </c>
      <c r="G1001" s="42" t="s">
        <v>152</v>
      </c>
      <c r="H1001" s="45">
        <v>2</v>
      </c>
      <c r="I1001" s="46">
        <v>4500</v>
      </c>
      <c r="J1001" s="46">
        <v>808.38</v>
      </c>
      <c r="K1001" s="46">
        <v>8191.62</v>
      </c>
      <c r="L1001" s="48" t="s">
        <v>44</v>
      </c>
    </row>
    <row r="1002" spans="2:12" x14ac:dyDescent="0.25">
      <c r="B1002" s="49" t="s">
        <v>1422</v>
      </c>
      <c r="C1002" s="49" t="s">
        <v>95</v>
      </c>
      <c r="D1002" s="58">
        <v>46016</v>
      </c>
      <c r="E1002" s="51" t="s">
        <v>39</v>
      </c>
      <c r="F1002" s="50" t="s">
        <v>23</v>
      </c>
      <c r="G1002" s="52" t="s">
        <v>43</v>
      </c>
      <c r="H1002" s="53">
        <v>2</v>
      </c>
      <c r="I1002" s="54">
        <v>350</v>
      </c>
      <c r="J1002" s="54">
        <v>84.6</v>
      </c>
      <c r="K1002" s="54">
        <v>615.4</v>
      </c>
      <c r="L1002" s="56" t="s">
        <v>44</v>
      </c>
    </row>
    <row r="1003" spans="2:12" x14ac:dyDescent="0.25">
      <c r="B1003" s="42" t="s">
        <v>1423</v>
      </c>
      <c r="C1003" s="42" t="s">
        <v>101</v>
      </c>
      <c r="D1003" s="57">
        <v>45695</v>
      </c>
      <c r="E1003" s="44" t="s">
        <v>47</v>
      </c>
      <c r="F1003" s="43" t="s">
        <v>52</v>
      </c>
      <c r="G1003" s="42" t="s">
        <v>61</v>
      </c>
      <c r="H1003" s="45">
        <v>1</v>
      </c>
      <c r="I1003" s="46">
        <v>199</v>
      </c>
      <c r="J1003" s="46">
        <v>13.39</v>
      </c>
      <c r="K1003" s="46">
        <v>185.61</v>
      </c>
      <c r="L1003" s="48" t="s">
        <v>69</v>
      </c>
    </row>
    <row r="1004" spans="2:12" x14ac:dyDescent="0.25">
      <c r="B1004" s="49" t="s">
        <v>1424</v>
      </c>
      <c r="C1004" s="49" t="s">
        <v>34</v>
      </c>
      <c r="D1004" s="58">
        <v>45859</v>
      </c>
      <c r="E1004" s="51" t="s">
        <v>39</v>
      </c>
      <c r="F1004" s="50" t="s">
        <v>16</v>
      </c>
      <c r="G1004" s="52" t="s">
        <v>116</v>
      </c>
      <c r="H1004" s="53">
        <v>5</v>
      </c>
      <c r="I1004" s="54">
        <v>45</v>
      </c>
      <c r="J1004" s="54">
        <v>0</v>
      </c>
      <c r="K1004" s="54">
        <v>225</v>
      </c>
      <c r="L1004" s="56" t="s">
        <v>49</v>
      </c>
    </row>
    <row r="1005" spans="2:12" x14ac:dyDescent="0.25">
      <c r="B1005" s="42" t="s">
        <v>1425</v>
      </c>
      <c r="C1005" s="42" t="s">
        <v>110</v>
      </c>
      <c r="D1005" s="57">
        <v>45791</v>
      </c>
      <c r="E1005" s="44" t="s">
        <v>47</v>
      </c>
      <c r="F1005" s="43" t="s">
        <v>23</v>
      </c>
      <c r="G1005" s="42" t="s">
        <v>24</v>
      </c>
      <c r="H1005" s="45">
        <v>3</v>
      </c>
      <c r="I1005" s="46">
        <v>180</v>
      </c>
      <c r="J1005" s="46">
        <v>46.34</v>
      </c>
      <c r="K1005" s="46">
        <v>493.65999999999997</v>
      </c>
      <c r="L1005" s="48" t="s">
        <v>49</v>
      </c>
    </row>
    <row r="1006" spans="2:12" x14ac:dyDescent="0.25">
      <c r="B1006" s="49" t="s">
        <v>1426</v>
      </c>
      <c r="C1006" s="49" t="s">
        <v>95</v>
      </c>
      <c r="D1006" s="58">
        <v>45748</v>
      </c>
      <c r="E1006" s="51" t="s">
        <v>15</v>
      </c>
      <c r="F1006" s="50" t="s">
        <v>52</v>
      </c>
      <c r="G1006" s="52" t="s">
        <v>61</v>
      </c>
      <c r="H1006" s="53">
        <v>3</v>
      </c>
      <c r="I1006" s="54">
        <v>199</v>
      </c>
      <c r="J1006" s="54">
        <v>0</v>
      </c>
      <c r="K1006" s="54">
        <v>597</v>
      </c>
      <c r="L1006" s="56" t="s">
        <v>25</v>
      </c>
    </row>
    <row r="1007" spans="2:12" x14ac:dyDescent="0.25">
      <c r="B1007" s="42" t="s">
        <v>1427</v>
      </c>
      <c r="C1007" s="42" t="s">
        <v>27</v>
      </c>
      <c r="D1007" s="57">
        <v>45916</v>
      </c>
      <c r="E1007" s="44" t="s">
        <v>47</v>
      </c>
      <c r="F1007" s="43" t="s">
        <v>23</v>
      </c>
      <c r="G1007" s="42" t="s">
        <v>88</v>
      </c>
      <c r="H1007" s="45">
        <v>3</v>
      </c>
      <c r="I1007" s="46">
        <v>650</v>
      </c>
      <c r="J1007" s="46">
        <v>194.04</v>
      </c>
      <c r="K1007" s="46">
        <v>1755.96</v>
      </c>
      <c r="L1007" s="48" t="s">
        <v>69</v>
      </c>
    </row>
    <row r="1008" spans="2:12" x14ac:dyDescent="0.25">
      <c r="B1008" s="49" t="s">
        <v>1428</v>
      </c>
      <c r="C1008" s="49" t="s">
        <v>95</v>
      </c>
      <c r="D1008" s="58">
        <v>45689</v>
      </c>
      <c r="E1008" s="51" t="s">
        <v>15</v>
      </c>
      <c r="F1008" s="50" t="s">
        <v>52</v>
      </c>
      <c r="G1008" s="52" t="s">
        <v>53</v>
      </c>
      <c r="H1008" s="53">
        <v>4</v>
      </c>
      <c r="I1008" s="54">
        <v>149</v>
      </c>
      <c r="J1008" s="54">
        <v>74.8</v>
      </c>
      <c r="K1008" s="54">
        <v>521.20000000000005</v>
      </c>
      <c r="L1008" s="56" t="s">
        <v>18</v>
      </c>
    </row>
    <row r="1009" spans="2:12" x14ac:dyDescent="0.25">
      <c r="B1009" s="42" t="s">
        <v>1430</v>
      </c>
      <c r="C1009" s="42" t="s">
        <v>13</v>
      </c>
      <c r="D1009" s="57">
        <v>45758</v>
      </c>
      <c r="E1009" s="44" t="s">
        <v>29</v>
      </c>
      <c r="F1009" s="43" t="s">
        <v>30</v>
      </c>
      <c r="G1009" s="42" t="s">
        <v>106</v>
      </c>
      <c r="H1009" s="45">
        <v>5</v>
      </c>
      <c r="I1009" s="46">
        <v>299</v>
      </c>
      <c r="J1009" s="46">
        <v>0</v>
      </c>
      <c r="K1009" s="46">
        <v>1495</v>
      </c>
      <c r="L1009" s="48" t="s">
        <v>69</v>
      </c>
    </row>
    <row r="1010" spans="2:12" x14ac:dyDescent="0.25">
      <c r="B1010" s="49" t="s">
        <v>1431</v>
      </c>
      <c r="C1010" s="49" t="s">
        <v>71</v>
      </c>
      <c r="D1010" s="58">
        <v>45941</v>
      </c>
      <c r="E1010" s="51" t="s">
        <v>15</v>
      </c>
      <c r="F1010" s="50" t="s">
        <v>16</v>
      </c>
      <c r="G1010" s="52" t="s">
        <v>116</v>
      </c>
      <c r="H1010" s="53">
        <v>3</v>
      </c>
      <c r="I1010" s="54">
        <v>45</v>
      </c>
      <c r="J1010" s="54">
        <v>0</v>
      </c>
      <c r="K1010" s="54">
        <v>135</v>
      </c>
      <c r="L1010" s="56" t="s">
        <v>44</v>
      </c>
    </row>
    <row r="1011" spans="2:12" x14ac:dyDescent="0.25">
      <c r="B1011" s="42" t="s">
        <v>1432</v>
      </c>
      <c r="C1011" s="42" t="s">
        <v>95</v>
      </c>
      <c r="D1011" s="57">
        <v>45912</v>
      </c>
      <c r="E1011" s="44" t="s">
        <v>39</v>
      </c>
      <c r="F1011" s="43" t="s">
        <v>30</v>
      </c>
      <c r="G1011" s="42" t="s">
        <v>106</v>
      </c>
      <c r="H1011" s="45">
        <v>4</v>
      </c>
      <c r="I1011" s="46">
        <v>299</v>
      </c>
      <c r="J1011" s="46">
        <v>48.41</v>
      </c>
      <c r="K1011" s="46">
        <v>1147.5899999999999</v>
      </c>
      <c r="L1011" s="48" t="s">
        <v>25</v>
      </c>
    </row>
    <row r="1012" spans="2:12" x14ac:dyDescent="0.25">
      <c r="B1012" s="49" t="s">
        <v>1433</v>
      </c>
      <c r="C1012" s="49" t="s">
        <v>34</v>
      </c>
      <c r="D1012" s="58">
        <v>45712</v>
      </c>
      <c r="E1012" s="51" t="s">
        <v>22</v>
      </c>
      <c r="F1012" s="50" t="s">
        <v>30</v>
      </c>
      <c r="G1012" s="52" t="s">
        <v>106</v>
      </c>
      <c r="H1012" s="53">
        <v>2</v>
      </c>
      <c r="I1012" s="54">
        <v>299</v>
      </c>
      <c r="J1012" s="54">
        <v>56.82</v>
      </c>
      <c r="K1012" s="54">
        <v>541.17999999999995</v>
      </c>
      <c r="L1012" s="56" t="s">
        <v>25</v>
      </c>
    </row>
    <row r="1013" spans="2:12" x14ac:dyDescent="0.25">
      <c r="B1013" s="42" t="s">
        <v>1434</v>
      </c>
      <c r="C1013" s="42" t="s">
        <v>34</v>
      </c>
      <c r="D1013" s="57">
        <v>46050</v>
      </c>
      <c r="E1013" s="44" t="s">
        <v>39</v>
      </c>
      <c r="F1013" s="43" t="s">
        <v>52</v>
      </c>
      <c r="G1013" s="42" t="s">
        <v>99</v>
      </c>
      <c r="H1013" s="45">
        <v>5</v>
      </c>
      <c r="I1013" s="46">
        <v>79</v>
      </c>
      <c r="J1013" s="46">
        <v>21.26</v>
      </c>
      <c r="K1013" s="46">
        <v>373.74</v>
      </c>
      <c r="L1013" s="48" t="s">
        <v>44</v>
      </c>
    </row>
    <row r="1014" spans="2:12" x14ac:dyDescent="0.25">
      <c r="B1014" s="49" t="s">
        <v>1435</v>
      </c>
      <c r="C1014" s="49" t="s">
        <v>101</v>
      </c>
      <c r="D1014" s="58">
        <v>45723</v>
      </c>
      <c r="E1014" s="51" t="s">
        <v>39</v>
      </c>
      <c r="F1014" s="50" t="s">
        <v>23</v>
      </c>
      <c r="G1014" s="52" t="s">
        <v>43</v>
      </c>
      <c r="H1014" s="53">
        <v>4</v>
      </c>
      <c r="I1014" s="54">
        <v>350</v>
      </c>
      <c r="J1014" s="54">
        <v>130.22999999999999</v>
      </c>
      <c r="K1014" s="54">
        <v>1269.77</v>
      </c>
      <c r="L1014" s="56" t="s">
        <v>18</v>
      </c>
    </row>
    <row r="1015" spans="2:12" x14ac:dyDescent="0.25">
      <c r="B1015" s="42" t="s">
        <v>1436</v>
      </c>
      <c r="C1015" s="42" t="s">
        <v>63</v>
      </c>
      <c r="D1015" s="57">
        <v>45935</v>
      </c>
      <c r="E1015" s="44" t="s">
        <v>29</v>
      </c>
      <c r="F1015" s="43" t="s">
        <v>23</v>
      </c>
      <c r="G1015" s="42" t="s">
        <v>88</v>
      </c>
      <c r="H1015" s="45">
        <v>5</v>
      </c>
      <c r="I1015" s="46">
        <v>650</v>
      </c>
      <c r="J1015" s="46">
        <v>0</v>
      </c>
      <c r="K1015" s="46">
        <v>3250</v>
      </c>
      <c r="L1015" s="48" t="s">
        <v>44</v>
      </c>
    </row>
    <row r="1016" spans="2:12" x14ac:dyDescent="0.25">
      <c r="B1016" s="49" t="s">
        <v>1437</v>
      </c>
      <c r="C1016" s="49" t="s">
        <v>110</v>
      </c>
      <c r="D1016" s="58">
        <v>45847</v>
      </c>
      <c r="E1016" s="51" t="s">
        <v>39</v>
      </c>
      <c r="F1016" s="50" t="s">
        <v>30</v>
      </c>
      <c r="G1016" s="52" t="s">
        <v>68</v>
      </c>
      <c r="H1016" s="53">
        <v>1</v>
      </c>
      <c r="I1016" s="54">
        <v>799</v>
      </c>
      <c r="J1016" s="54">
        <v>17.64</v>
      </c>
      <c r="K1016" s="54">
        <v>781.36</v>
      </c>
      <c r="L1016" s="56" t="s">
        <v>65</v>
      </c>
    </row>
    <row r="1017" spans="2:12" x14ac:dyDescent="0.25">
      <c r="B1017" s="42" t="s">
        <v>1438</v>
      </c>
      <c r="C1017" s="42" t="s">
        <v>95</v>
      </c>
      <c r="D1017" s="57">
        <v>45916</v>
      </c>
      <c r="E1017" s="44" t="s">
        <v>47</v>
      </c>
      <c r="F1017" s="43" t="s">
        <v>30</v>
      </c>
      <c r="G1017" s="42" t="s">
        <v>68</v>
      </c>
      <c r="H1017" s="45">
        <v>5</v>
      </c>
      <c r="I1017" s="46">
        <v>799</v>
      </c>
      <c r="J1017" s="46">
        <v>451.96</v>
      </c>
      <c r="K1017" s="46">
        <v>3543.04</v>
      </c>
      <c r="L1017" s="48" t="s">
        <v>65</v>
      </c>
    </row>
    <row r="1018" spans="2:12" x14ac:dyDescent="0.25">
      <c r="B1018" s="49" t="s">
        <v>1439</v>
      </c>
      <c r="C1018" s="49" t="s">
        <v>110</v>
      </c>
      <c r="D1018" s="58">
        <v>45784</v>
      </c>
      <c r="E1018" s="51" t="s">
        <v>47</v>
      </c>
      <c r="F1018" s="50" t="s">
        <v>23</v>
      </c>
      <c r="G1018" s="52" t="s">
        <v>24</v>
      </c>
      <c r="H1018" s="53">
        <v>2</v>
      </c>
      <c r="I1018" s="54">
        <v>180</v>
      </c>
      <c r="J1018" s="54">
        <v>12.13</v>
      </c>
      <c r="K1018" s="54">
        <v>347.87</v>
      </c>
      <c r="L1018" s="56" t="s">
        <v>18</v>
      </c>
    </row>
    <row r="1019" spans="2:12" x14ac:dyDescent="0.25">
      <c r="B1019" s="42" t="s">
        <v>1440</v>
      </c>
      <c r="C1019" s="42" t="s">
        <v>20</v>
      </c>
      <c r="D1019" s="57">
        <v>46047</v>
      </c>
      <c r="E1019" s="44" t="s">
        <v>39</v>
      </c>
      <c r="F1019" s="43" t="s">
        <v>16</v>
      </c>
      <c r="G1019" s="42" t="s">
        <v>17</v>
      </c>
      <c r="H1019" s="45">
        <v>1</v>
      </c>
      <c r="I1019" s="46">
        <v>39</v>
      </c>
      <c r="J1019" s="46">
        <v>5.03</v>
      </c>
      <c r="K1019" s="46">
        <v>33.97</v>
      </c>
      <c r="L1019" s="48" t="s">
        <v>18</v>
      </c>
    </row>
    <row r="1020" spans="2:12" x14ac:dyDescent="0.25">
      <c r="B1020" s="49" t="s">
        <v>1441</v>
      </c>
      <c r="C1020" s="49" t="s">
        <v>101</v>
      </c>
      <c r="D1020" s="58">
        <v>45788</v>
      </c>
      <c r="E1020" s="51" t="s">
        <v>39</v>
      </c>
      <c r="F1020" s="50" t="s">
        <v>23</v>
      </c>
      <c r="G1020" s="52" t="s">
        <v>43</v>
      </c>
      <c r="H1020" s="53">
        <v>4</v>
      </c>
      <c r="I1020" s="54">
        <v>350</v>
      </c>
      <c r="J1020" s="54">
        <v>0</v>
      </c>
      <c r="K1020" s="54">
        <v>1400</v>
      </c>
      <c r="L1020" s="56" t="s">
        <v>44</v>
      </c>
    </row>
    <row r="1021" spans="2:12" x14ac:dyDescent="0.25">
      <c r="B1021" s="42" t="s">
        <v>1442</v>
      </c>
      <c r="C1021" s="42" t="s">
        <v>41</v>
      </c>
      <c r="D1021" s="57">
        <v>45680</v>
      </c>
      <c r="E1021" s="44" t="s">
        <v>47</v>
      </c>
      <c r="F1021" s="43" t="s">
        <v>30</v>
      </c>
      <c r="G1021" s="42" t="s">
        <v>68</v>
      </c>
      <c r="H1021" s="45">
        <v>1</v>
      </c>
      <c r="I1021" s="46">
        <v>799</v>
      </c>
      <c r="J1021" s="46">
        <v>0</v>
      </c>
      <c r="K1021" s="46">
        <v>799</v>
      </c>
      <c r="L1021" s="48" t="s">
        <v>65</v>
      </c>
    </row>
    <row r="1022" spans="2:12" x14ac:dyDescent="0.25">
      <c r="B1022" s="49" t="s">
        <v>1443</v>
      </c>
      <c r="C1022" s="49" t="s">
        <v>13</v>
      </c>
      <c r="D1022" s="58">
        <v>45979</v>
      </c>
      <c r="E1022" s="51" t="s">
        <v>29</v>
      </c>
      <c r="F1022" s="50" t="s">
        <v>52</v>
      </c>
      <c r="G1022" s="52" t="s">
        <v>61</v>
      </c>
      <c r="H1022" s="53">
        <v>2</v>
      </c>
      <c r="I1022" s="54">
        <v>199</v>
      </c>
      <c r="J1022" s="54">
        <v>15.6</v>
      </c>
      <c r="K1022" s="54">
        <v>382.4</v>
      </c>
      <c r="L1022" s="56" t="s">
        <v>69</v>
      </c>
    </row>
    <row r="1023" spans="2:12" x14ac:dyDescent="0.25">
      <c r="B1023" s="42" t="s">
        <v>1444</v>
      </c>
      <c r="C1023" s="42" t="s">
        <v>13</v>
      </c>
      <c r="D1023" s="57">
        <v>45755</v>
      </c>
      <c r="E1023" s="44" t="s">
        <v>15</v>
      </c>
      <c r="F1023" s="43" t="s">
        <v>23</v>
      </c>
      <c r="G1023" s="42" t="s">
        <v>43</v>
      </c>
      <c r="H1023" s="45">
        <v>4</v>
      </c>
      <c r="I1023" s="46">
        <v>350</v>
      </c>
      <c r="J1023" s="46">
        <v>0</v>
      </c>
      <c r="K1023" s="46">
        <v>1400</v>
      </c>
      <c r="L1023" s="48" t="s">
        <v>25</v>
      </c>
    </row>
    <row r="1024" spans="2:12" x14ac:dyDescent="0.25">
      <c r="B1024" s="49" t="s">
        <v>1445</v>
      </c>
      <c r="C1024" s="49" t="s">
        <v>41</v>
      </c>
      <c r="D1024" s="58">
        <v>46042</v>
      </c>
      <c r="E1024" s="51" t="s">
        <v>29</v>
      </c>
      <c r="F1024" s="50" t="s">
        <v>30</v>
      </c>
      <c r="G1024" s="52" t="s">
        <v>152</v>
      </c>
      <c r="H1024" s="53">
        <v>5</v>
      </c>
      <c r="I1024" s="54">
        <v>4500</v>
      </c>
      <c r="J1024" s="54">
        <v>3267.95</v>
      </c>
      <c r="K1024" s="54">
        <v>19232.05</v>
      </c>
      <c r="L1024" s="56" t="s">
        <v>18</v>
      </c>
    </row>
    <row r="1025" spans="2:12" x14ac:dyDescent="0.25">
      <c r="B1025" s="42" t="s">
        <v>1446</v>
      </c>
      <c r="C1025" s="42" t="s">
        <v>101</v>
      </c>
      <c r="D1025" s="57">
        <v>45796</v>
      </c>
      <c r="E1025" s="44" t="s">
        <v>22</v>
      </c>
      <c r="F1025" s="43" t="s">
        <v>16</v>
      </c>
      <c r="G1025" s="42" t="s">
        <v>78</v>
      </c>
      <c r="H1025" s="45">
        <v>5</v>
      </c>
      <c r="I1025" s="46">
        <v>59</v>
      </c>
      <c r="J1025" s="46">
        <v>24.36</v>
      </c>
      <c r="K1025" s="46">
        <v>270.64</v>
      </c>
      <c r="L1025" s="48" t="s">
        <v>89</v>
      </c>
    </row>
    <row r="1026" spans="2:12" x14ac:dyDescent="0.25">
      <c r="B1026" s="49" t="s">
        <v>1447</v>
      </c>
      <c r="C1026" s="49" t="s">
        <v>71</v>
      </c>
      <c r="D1026" s="58">
        <v>45766</v>
      </c>
      <c r="E1026" s="51" t="s">
        <v>29</v>
      </c>
      <c r="F1026" s="50" t="s">
        <v>23</v>
      </c>
      <c r="G1026" s="52" t="s">
        <v>24</v>
      </c>
      <c r="H1026" s="53">
        <v>5</v>
      </c>
      <c r="I1026" s="54">
        <v>180</v>
      </c>
      <c r="J1026" s="54">
        <v>36.590000000000003</v>
      </c>
      <c r="K1026" s="54">
        <v>863.41</v>
      </c>
      <c r="L1026" s="56" t="s">
        <v>32</v>
      </c>
    </row>
    <row r="1027" spans="2:12" x14ac:dyDescent="0.25">
      <c r="B1027" s="42" t="s">
        <v>1448</v>
      </c>
      <c r="C1027" s="42" t="s">
        <v>37</v>
      </c>
      <c r="D1027" s="57">
        <v>45999</v>
      </c>
      <c r="E1027" s="44" t="s">
        <v>29</v>
      </c>
      <c r="F1027" s="43" t="s">
        <v>23</v>
      </c>
      <c r="G1027" s="42" t="s">
        <v>43</v>
      </c>
      <c r="H1027" s="45">
        <v>4</v>
      </c>
      <c r="I1027" s="46">
        <v>350</v>
      </c>
      <c r="J1027" s="46">
        <v>174.04</v>
      </c>
      <c r="K1027" s="46">
        <v>1225.96</v>
      </c>
      <c r="L1027" s="48" t="s">
        <v>69</v>
      </c>
    </row>
    <row r="1028" spans="2:12" x14ac:dyDescent="0.25">
      <c r="B1028" s="49" t="s">
        <v>1449</v>
      </c>
      <c r="C1028" s="49" t="s">
        <v>71</v>
      </c>
      <c r="D1028" s="58">
        <v>45829</v>
      </c>
      <c r="E1028" s="51" t="s">
        <v>39</v>
      </c>
      <c r="F1028" s="50" t="s">
        <v>30</v>
      </c>
      <c r="G1028" s="52" t="s">
        <v>68</v>
      </c>
      <c r="H1028" s="53">
        <v>5</v>
      </c>
      <c r="I1028" s="54">
        <v>799</v>
      </c>
      <c r="J1028" s="54">
        <v>0</v>
      </c>
      <c r="K1028" s="54">
        <v>3995</v>
      </c>
      <c r="L1028" s="56" t="s">
        <v>44</v>
      </c>
    </row>
    <row r="1029" spans="2:12" x14ac:dyDescent="0.25">
      <c r="B1029" s="42" t="s">
        <v>1450</v>
      </c>
      <c r="C1029" s="42" t="s">
        <v>34</v>
      </c>
      <c r="D1029" s="57">
        <v>45773</v>
      </c>
      <c r="E1029" s="44" t="s">
        <v>39</v>
      </c>
      <c r="F1029" s="43" t="s">
        <v>30</v>
      </c>
      <c r="G1029" s="42" t="s">
        <v>152</v>
      </c>
      <c r="H1029" s="45">
        <v>4</v>
      </c>
      <c r="I1029" s="46">
        <v>4500</v>
      </c>
      <c r="J1029" s="46">
        <v>0</v>
      </c>
      <c r="K1029" s="46">
        <v>18000</v>
      </c>
      <c r="L1029" s="48" t="s">
        <v>44</v>
      </c>
    </row>
    <row r="1030" spans="2:12" x14ac:dyDescent="0.25">
      <c r="B1030" s="49" t="s">
        <v>1451</v>
      </c>
      <c r="C1030" s="49" t="s">
        <v>27</v>
      </c>
      <c r="D1030" s="58">
        <v>46052</v>
      </c>
      <c r="E1030" s="51" t="s">
        <v>39</v>
      </c>
      <c r="F1030" s="50" t="s">
        <v>52</v>
      </c>
      <c r="G1030" s="52" t="s">
        <v>61</v>
      </c>
      <c r="H1030" s="53">
        <v>3</v>
      </c>
      <c r="I1030" s="54">
        <v>199</v>
      </c>
      <c r="J1030" s="54">
        <v>0</v>
      </c>
      <c r="K1030" s="54">
        <v>597</v>
      </c>
      <c r="L1030" s="56" t="s">
        <v>65</v>
      </c>
    </row>
    <row r="1031" spans="2:12" x14ac:dyDescent="0.25">
      <c r="B1031" s="42" t="s">
        <v>1452</v>
      </c>
      <c r="C1031" s="42" t="s">
        <v>13</v>
      </c>
      <c r="D1031" s="57">
        <v>46020</v>
      </c>
      <c r="E1031" s="44" t="s">
        <v>39</v>
      </c>
      <c r="F1031" s="43" t="s">
        <v>23</v>
      </c>
      <c r="G1031" s="42" t="s">
        <v>88</v>
      </c>
      <c r="H1031" s="45">
        <v>4</v>
      </c>
      <c r="I1031" s="46">
        <v>650</v>
      </c>
      <c r="J1031" s="46">
        <v>5.68</v>
      </c>
      <c r="K1031" s="46">
        <v>2594.3200000000002</v>
      </c>
      <c r="L1031" s="48" t="s">
        <v>44</v>
      </c>
    </row>
    <row r="1032" spans="2:12" x14ac:dyDescent="0.25">
      <c r="B1032" s="49" t="s">
        <v>1453</v>
      </c>
      <c r="C1032" s="49" t="s">
        <v>13</v>
      </c>
      <c r="D1032" s="58">
        <v>45673</v>
      </c>
      <c r="E1032" s="51" t="s">
        <v>47</v>
      </c>
      <c r="F1032" s="50" t="s">
        <v>30</v>
      </c>
      <c r="G1032" s="52" t="s">
        <v>68</v>
      </c>
      <c r="H1032" s="53">
        <v>2</v>
      </c>
      <c r="I1032" s="54">
        <v>799</v>
      </c>
      <c r="J1032" s="54">
        <v>0</v>
      </c>
      <c r="K1032" s="54">
        <v>1598</v>
      </c>
      <c r="L1032" s="56" t="s">
        <v>65</v>
      </c>
    </row>
    <row r="1033" spans="2:12" x14ac:dyDescent="0.25">
      <c r="B1033" s="42" t="s">
        <v>1454</v>
      </c>
      <c r="C1033" s="42" t="s">
        <v>101</v>
      </c>
      <c r="D1033" s="57">
        <v>45693</v>
      </c>
      <c r="E1033" s="44" t="s">
        <v>15</v>
      </c>
      <c r="F1033" s="43" t="s">
        <v>23</v>
      </c>
      <c r="G1033" s="42" t="s">
        <v>88</v>
      </c>
      <c r="H1033" s="45">
        <v>3</v>
      </c>
      <c r="I1033" s="46">
        <v>650</v>
      </c>
      <c r="J1033" s="46">
        <v>99.34</v>
      </c>
      <c r="K1033" s="46">
        <v>1850.66</v>
      </c>
      <c r="L1033" s="48" t="s">
        <v>65</v>
      </c>
    </row>
    <row r="1034" spans="2:12" x14ac:dyDescent="0.25">
      <c r="B1034" s="49" t="s">
        <v>1455</v>
      </c>
      <c r="C1034" s="49" t="s">
        <v>34</v>
      </c>
      <c r="D1034" s="58">
        <v>45753</v>
      </c>
      <c r="E1034" s="51" t="s">
        <v>29</v>
      </c>
      <c r="F1034" s="50" t="s">
        <v>23</v>
      </c>
      <c r="G1034" s="52" t="s">
        <v>43</v>
      </c>
      <c r="H1034" s="53">
        <v>1</v>
      </c>
      <c r="I1034" s="54">
        <v>350</v>
      </c>
      <c r="J1034" s="54">
        <v>6.23</v>
      </c>
      <c r="K1034" s="54">
        <v>343.77</v>
      </c>
      <c r="L1034" s="56" t="s">
        <v>44</v>
      </c>
    </row>
    <row r="1035" spans="2:12" x14ac:dyDescent="0.25">
      <c r="B1035" s="42" t="s">
        <v>1456</v>
      </c>
      <c r="C1035" s="42" t="s">
        <v>95</v>
      </c>
      <c r="D1035" s="57">
        <v>46015</v>
      </c>
      <c r="E1035" s="44" t="s">
        <v>15</v>
      </c>
      <c r="F1035" s="43" t="s">
        <v>16</v>
      </c>
      <c r="G1035" s="42" t="s">
        <v>116</v>
      </c>
      <c r="H1035" s="45">
        <v>1</v>
      </c>
      <c r="I1035" s="46">
        <v>45</v>
      </c>
      <c r="J1035" s="46">
        <v>5.87</v>
      </c>
      <c r="K1035" s="46">
        <v>39.130000000000003</v>
      </c>
      <c r="L1035" s="48" t="s">
        <v>25</v>
      </c>
    </row>
    <row r="1036" spans="2:12" x14ac:dyDescent="0.25">
      <c r="B1036" s="49" t="s">
        <v>1457</v>
      </c>
      <c r="C1036" s="49" t="s">
        <v>41</v>
      </c>
      <c r="D1036" s="58">
        <v>45812</v>
      </c>
      <c r="E1036" s="51" t="s">
        <v>47</v>
      </c>
      <c r="F1036" s="50" t="s">
        <v>23</v>
      </c>
      <c r="G1036" s="52" t="s">
        <v>43</v>
      </c>
      <c r="H1036" s="53">
        <v>3</v>
      </c>
      <c r="I1036" s="54">
        <v>350</v>
      </c>
      <c r="J1036" s="54">
        <v>0</v>
      </c>
      <c r="K1036" s="54">
        <v>1050</v>
      </c>
      <c r="L1036" s="56" t="s">
        <v>69</v>
      </c>
    </row>
    <row r="1037" spans="2:12" x14ac:dyDescent="0.25">
      <c r="B1037" s="42" t="s">
        <v>1458</v>
      </c>
      <c r="C1037" s="42" t="s">
        <v>13</v>
      </c>
      <c r="D1037" s="57">
        <v>45867</v>
      </c>
      <c r="E1037" s="44" t="s">
        <v>15</v>
      </c>
      <c r="F1037" s="43" t="s">
        <v>16</v>
      </c>
      <c r="G1037" s="42" t="s">
        <v>116</v>
      </c>
      <c r="H1037" s="45">
        <v>4</v>
      </c>
      <c r="I1037" s="46">
        <v>45</v>
      </c>
      <c r="J1037" s="46">
        <v>0</v>
      </c>
      <c r="K1037" s="46">
        <v>180</v>
      </c>
      <c r="L1037" s="48" t="s">
        <v>89</v>
      </c>
    </row>
    <row r="1038" spans="2:12" x14ac:dyDescent="0.25">
      <c r="B1038" s="49" t="s">
        <v>1459</v>
      </c>
      <c r="C1038" s="49" t="s">
        <v>95</v>
      </c>
      <c r="D1038" s="58">
        <v>45752</v>
      </c>
      <c r="E1038" s="51" t="s">
        <v>22</v>
      </c>
      <c r="F1038" s="50" t="s">
        <v>30</v>
      </c>
      <c r="G1038" s="52" t="s">
        <v>106</v>
      </c>
      <c r="H1038" s="53">
        <v>2</v>
      </c>
      <c r="I1038" s="54">
        <v>299</v>
      </c>
      <c r="J1038" s="54">
        <v>20.399999999999999</v>
      </c>
      <c r="K1038" s="54">
        <v>577.6</v>
      </c>
      <c r="L1038" s="56" t="s">
        <v>69</v>
      </c>
    </row>
    <row r="1039" spans="2:12" x14ac:dyDescent="0.25">
      <c r="B1039" s="42" t="s">
        <v>1460</v>
      </c>
      <c r="C1039" s="42" t="s">
        <v>110</v>
      </c>
      <c r="D1039" s="57">
        <v>45823</v>
      </c>
      <c r="E1039" s="44" t="s">
        <v>22</v>
      </c>
      <c r="F1039" s="43" t="s">
        <v>16</v>
      </c>
      <c r="G1039" s="42" t="s">
        <v>116</v>
      </c>
      <c r="H1039" s="45">
        <v>3</v>
      </c>
      <c r="I1039" s="46">
        <v>45</v>
      </c>
      <c r="J1039" s="46">
        <v>0</v>
      </c>
      <c r="K1039" s="46">
        <v>135</v>
      </c>
      <c r="L1039" s="48" t="s">
        <v>49</v>
      </c>
    </row>
    <row r="1040" spans="2:12" x14ac:dyDescent="0.25">
      <c r="B1040" s="49" t="s">
        <v>1461</v>
      </c>
      <c r="C1040" s="49" t="s">
        <v>37</v>
      </c>
      <c r="D1040" s="58">
        <v>45834</v>
      </c>
      <c r="E1040" s="51" t="s">
        <v>29</v>
      </c>
      <c r="F1040" s="50" t="s">
        <v>52</v>
      </c>
      <c r="G1040" s="52" t="s">
        <v>99</v>
      </c>
      <c r="H1040" s="53">
        <v>1</v>
      </c>
      <c r="I1040" s="54">
        <v>79</v>
      </c>
      <c r="J1040" s="54">
        <v>11.23</v>
      </c>
      <c r="K1040" s="54">
        <v>67.77</v>
      </c>
      <c r="L1040" s="56" t="s">
        <v>18</v>
      </c>
    </row>
    <row r="1041" spans="2:12" x14ac:dyDescent="0.25">
      <c r="B1041" s="42" t="s">
        <v>1462</v>
      </c>
      <c r="C1041" s="42" t="s">
        <v>63</v>
      </c>
      <c r="D1041" s="57">
        <v>45662</v>
      </c>
      <c r="E1041" s="44" t="s">
        <v>22</v>
      </c>
      <c r="F1041" s="43" t="s">
        <v>30</v>
      </c>
      <c r="G1041" s="42" t="s">
        <v>152</v>
      </c>
      <c r="H1041" s="45">
        <v>1</v>
      </c>
      <c r="I1041" s="46">
        <v>4500</v>
      </c>
      <c r="J1041" s="46">
        <v>0</v>
      </c>
      <c r="K1041" s="46">
        <v>4500</v>
      </c>
      <c r="L1041" s="48" t="s">
        <v>49</v>
      </c>
    </row>
    <row r="1042" spans="2:12" x14ac:dyDescent="0.25">
      <c r="B1042" s="49" t="s">
        <v>1463</v>
      </c>
      <c r="C1042" s="49" t="s">
        <v>110</v>
      </c>
      <c r="D1042" s="58">
        <v>45797</v>
      </c>
      <c r="E1042" s="51" t="s">
        <v>22</v>
      </c>
      <c r="F1042" s="50" t="s">
        <v>52</v>
      </c>
      <c r="G1042" s="52" t="s">
        <v>99</v>
      </c>
      <c r="H1042" s="53">
        <v>4</v>
      </c>
      <c r="I1042" s="54">
        <v>79</v>
      </c>
      <c r="J1042" s="54">
        <v>39.24</v>
      </c>
      <c r="K1042" s="54">
        <v>276.76</v>
      </c>
      <c r="L1042" s="56" t="s">
        <v>32</v>
      </c>
    </row>
    <row r="1043" spans="2:12" x14ac:dyDescent="0.25">
      <c r="B1043" s="42" t="s">
        <v>1464</v>
      </c>
      <c r="C1043" s="42" t="s">
        <v>20</v>
      </c>
      <c r="D1043" s="57">
        <v>45679</v>
      </c>
      <c r="E1043" s="44" t="s">
        <v>47</v>
      </c>
      <c r="F1043" s="43" t="s">
        <v>23</v>
      </c>
      <c r="G1043" s="42" t="s">
        <v>88</v>
      </c>
      <c r="H1043" s="45">
        <v>2</v>
      </c>
      <c r="I1043" s="46">
        <v>650</v>
      </c>
      <c r="J1043" s="46">
        <v>0</v>
      </c>
      <c r="K1043" s="46">
        <v>1300</v>
      </c>
      <c r="L1043" s="48" t="s">
        <v>65</v>
      </c>
    </row>
    <row r="1044" spans="2:12" x14ac:dyDescent="0.25">
      <c r="B1044" s="49" t="s">
        <v>1465</v>
      </c>
      <c r="C1044" s="49" t="s">
        <v>34</v>
      </c>
      <c r="D1044" s="58">
        <v>45715</v>
      </c>
      <c r="E1044" s="51" t="s">
        <v>47</v>
      </c>
      <c r="F1044" s="50" t="s">
        <v>23</v>
      </c>
      <c r="G1044" s="52" t="s">
        <v>43</v>
      </c>
      <c r="H1044" s="53">
        <v>5</v>
      </c>
      <c r="I1044" s="54">
        <v>350</v>
      </c>
      <c r="J1044" s="54">
        <v>0</v>
      </c>
      <c r="K1044" s="54">
        <v>1750</v>
      </c>
      <c r="L1044" s="56" t="s">
        <v>89</v>
      </c>
    </row>
    <row r="1045" spans="2:12" x14ac:dyDescent="0.25">
      <c r="B1045" s="42" t="s">
        <v>1466</v>
      </c>
      <c r="C1045" s="42" t="s">
        <v>34</v>
      </c>
      <c r="D1045" s="57">
        <v>45677</v>
      </c>
      <c r="E1045" s="44" t="s">
        <v>47</v>
      </c>
      <c r="F1045" s="43" t="s">
        <v>30</v>
      </c>
      <c r="G1045" s="42" t="s">
        <v>68</v>
      </c>
      <c r="H1045" s="45">
        <v>4</v>
      </c>
      <c r="I1045" s="46">
        <v>799</v>
      </c>
      <c r="J1045" s="46">
        <v>0</v>
      </c>
      <c r="K1045" s="46">
        <v>3196</v>
      </c>
      <c r="L1045" s="48" t="s">
        <v>65</v>
      </c>
    </row>
    <row r="1046" spans="2:12" x14ac:dyDescent="0.25">
      <c r="B1046" s="49" t="s">
        <v>1467</v>
      </c>
      <c r="C1046" s="49" t="s">
        <v>101</v>
      </c>
      <c r="D1046" s="58">
        <v>45831</v>
      </c>
      <c r="E1046" s="51" t="s">
        <v>39</v>
      </c>
      <c r="F1046" s="50" t="s">
        <v>52</v>
      </c>
      <c r="G1046" s="52" t="s">
        <v>75</v>
      </c>
      <c r="H1046" s="53">
        <v>1</v>
      </c>
      <c r="I1046" s="54">
        <v>249</v>
      </c>
      <c r="J1046" s="54">
        <v>25.57</v>
      </c>
      <c r="K1046" s="54">
        <v>223.43</v>
      </c>
      <c r="L1046" s="56" t="s">
        <v>49</v>
      </c>
    </row>
    <row r="1047" spans="2:12" x14ac:dyDescent="0.25">
      <c r="B1047" s="42" t="s">
        <v>1468</v>
      </c>
      <c r="C1047" s="42" t="s">
        <v>20</v>
      </c>
      <c r="D1047" s="57">
        <v>46007</v>
      </c>
      <c r="E1047" s="44" t="s">
        <v>47</v>
      </c>
      <c r="F1047" s="43" t="s">
        <v>52</v>
      </c>
      <c r="G1047" s="42" t="s">
        <v>53</v>
      </c>
      <c r="H1047" s="45">
        <v>2</v>
      </c>
      <c r="I1047" s="46">
        <v>149</v>
      </c>
      <c r="J1047" s="46">
        <v>21.39</v>
      </c>
      <c r="K1047" s="46">
        <v>276.61</v>
      </c>
      <c r="L1047" s="48" t="s">
        <v>89</v>
      </c>
    </row>
    <row r="1048" spans="2:12" x14ac:dyDescent="0.25">
      <c r="B1048" s="49" t="s">
        <v>1469</v>
      </c>
      <c r="C1048" s="49" t="s">
        <v>110</v>
      </c>
      <c r="D1048" s="58">
        <v>46043</v>
      </c>
      <c r="E1048" s="51" t="s">
        <v>39</v>
      </c>
      <c r="F1048" s="50" t="s">
        <v>23</v>
      </c>
      <c r="G1048" s="52" t="s">
        <v>43</v>
      </c>
      <c r="H1048" s="53">
        <v>5</v>
      </c>
      <c r="I1048" s="54">
        <v>350</v>
      </c>
      <c r="J1048" s="54">
        <v>204.51</v>
      </c>
      <c r="K1048" s="54">
        <v>1545.49</v>
      </c>
      <c r="L1048" s="56" t="s">
        <v>44</v>
      </c>
    </row>
    <row r="1049" spans="2:12" x14ac:dyDescent="0.25">
      <c r="B1049" s="42" t="s">
        <v>1470</v>
      </c>
      <c r="C1049" s="42" t="s">
        <v>55</v>
      </c>
      <c r="D1049" s="57">
        <v>46057</v>
      </c>
      <c r="E1049" s="44" t="s">
        <v>22</v>
      </c>
      <c r="F1049" s="43" t="s">
        <v>16</v>
      </c>
      <c r="G1049" s="42" t="s">
        <v>78</v>
      </c>
      <c r="H1049" s="45">
        <v>5</v>
      </c>
      <c r="I1049" s="46">
        <v>59</v>
      </c>
      <c r="J1049" s="46">
        <v>30.93</v>
      </c>
      <c r="K1049" s="46">
        <v>264.07</v>
      </c>
      <c r="L1049" s="48" t="s">
        <v>49</v>
      </c>
    </row>
    <row r="1050" spans="2:12" x14ac:dyDescent="0.25">
      <c r="B1050" s="49" t="s">
        <v>1471</v>
      </c>
      <c r="C1050" s="49" t="s">
        <v>34</v>
      </c>
      <c r="D1050" s="58">
        <v>45973</v>
      </c>
      <c r="E1050" s="51" t="s">
        <v>47</v>
      </c>
      <c r="F1050" s="50" t="s">
        <v>16</v>
      </c>
      <c r="G1050" s="52" t="s">
        <v>78</v>
      </c>
      <c r="H1050" s="53">
        <v>1</v>
      </c>
      <c r="I1050" s="54">
        <v>59</v>
      </c>
      <c r="J1050" s="54">
        <v>0</v>
      </c>
      <c r="K1050" s="54">
        <v>59</v>
      </c>
      <c r="L1050" s="56" t="s">
        <v>69</v>
      </c>
    </row>
    <row r="1051" spans="2:12" x14ac:dyDescent="0.25">
      <c r="B1051" s="42" t="s">
        <v>1472</v>
      </c>
      <c r="C1051" s="42" t="s">
        <v>27</v>
      </c>
      <c r="D1051" s="57">
        <v>45868</v>
      </c>
      <c r="E1051" s="44" t="s">
        <v>39</v>
      </c>
      <c r="F1051" s="43" t="s">
        <v>30</v>
      </c>
      <c r="G1051" s="42" t="s">
        <v>31</v>
      </c>
      <c r="H1051" s="45">
        <v>1</v>
      </c>
      <c r="I1051" s="46">
        <v>2500</v>
      </c>
      <c r="J1051" s="46">
        <v>55.03</v>
      </c>
      <c r="K1051" s="46">
        <v>2444.9699999999998</v>
      </c>
      <c r="L1051" s="48" t="s">
        <v>25</v>
      </c>
    </row>
    <row r="1052" spans="2:12" x14ac:dyDescent="0.25">
      <c r="B1052" s="49" t="s">
        <v>1473</v>
      </c>
      <c r="C1052" s="49" t="s">
        <v>101</v>
      </c>
      <c r="D1052" s="58">
        <v>45790</v>
      </c>
      <c r="E1052" s="51" t="s">
        <v>47</v>
      </c>
      <c r="F1052" s="50" t="s">
        <v>52</v>
      </c>
      <c r="G1052" s="52" t="s">
        <v>99</v>
      </c>
      <c r="H1052" s="53">
        <v>1</v>
      </c>
      <c r="I1052" s="54">
        <v>79</v>
      </c>
      <c r="J1052" s="54">
        <v>0</v>
      </c>
      <c r="K1052" s="54">
        <v>79</v>
      </c>
      <c r="L1052" s="56" t="s">
        <v>65</v>
      </c>
    </row>
    <row r="1053" spans="2:12" x14ac:dyDescent="0.25">
      <c r="B1053" s="42" t="s">
        <v>1474</v>
      </c>
      <c r="C1053" s="42" t="s">
        <v>13</v>
      </c>
      <c r="D1053" s="57">
        <v>45726</v>
      </c>
      <c r="E1053" s="44" t="s">
        <v>22</v>
      </c>
      <c r="F1053" s="43" t="s">
        <v>30</v>
      </c>
      <c r="G1053" s="42" t="s">
        <v>152</v>
      </c>
      <c r="H1053" s="45">
        <v>4</v>
      </c>
      <c r="I1053" s="46">
        <v>4500</v>
      </c>
      <c r="J1053" s="46">
        <v>0</v>
      </c>
      <c r="K1053" s="46">
        <v>18000</v>
      </c>
      <c r="L1053" s="48" t="s">
        <v>89</v>
      </c>
    </row>
    <row r="1054" spans="2:12" x14ac:dyDescent="0.25">
      <c r="B1054" s="49" t="s">
        <v>1475</v>
      </c>
      <c r="C1054" s="49" t="s">
        <v>110</v>
      </c>
      <c r="D1054" s="58">
        <v>45678</v>
      </c>
      <c r="E1054" s="51" t="s">
        <v>15</v>
      </c>
      <c r="F1054" s="50" t="s">
        <v>52</v>
      </c>
      <c r="G1054" s="52" t="s">
        <v>61</v>
      </c>
      <c r="H1054" s="53">
        <v>4</v>
      </c>
      <c r="I1054" s="54">
        <v>199</v>
      </c>
      <c r="J1054" s="54">
        <v>0</v>
      </c>
      <c r="K1054" s="54">
        <v>796</v>
      </c>
      <c r="L1054" s="56" t="s">
        <v>32</v>
      </c>
    </row>
    <row r="1055" spans="2:12" x14ac:dyDescent="0.25">
      <c r="B1055" s="42" t="s">
        <v>1476</v>
      </c>
      <c r="C1055" s="42" t="s">
        <v>110</v>
      </c>
      <c r="D1055" s="57">
        <v>45795</v>
      </c>
      <c r="E1055" s="44" t="s">
        <v>15</v>
      </c>
      <c r="F1055" s="43" t="s">
        <v>16</v>
      </c>
      <c r="G1055" s="42" t="s">
        <v>17</v>
      </c>
      <c r="H1055" s="45">
        <v>3</v>
      </c>
      <c r="I1055" s="46">
        <v>39</v>
      </c>
      <c r="J1055" s="46">
        <v>0</v>
      </c>
      <c r="K1055" s="46">
        <v>117</v>
      </c>
      <c r="L1055" s="48" t="s">
        <v>49</v>
      </c>
    </row>
    <row r="1056" spans="2:12" x14ac:dyDescent="0.25">
      <c r="B1056" s="49" t="s">
        <v>1477</v>
      </c>
      <c r="C1056" s="49" t="s">
        <v>55</v>
      </c>
      <c r="D1056" s="58">
        <v>45793</v>
      </c>
      <c r="E1056" s="51" t="s">
        <v>47</v>
      </c>
      <c r="F1056" s="50" t="s">
        <v>30</v>
      </c>
      <c r="G1056" s="52" t="s">
        <v>68</v>
      </c>
      <c r="H1056" s="53">
        <v>1</v>
      </c>
      <c r="I1056" s="54">
        <v>799</v>
      </c>
      <c r="J1056" s="54">
        <v>86.53</v>
      </c>
      <c r="K1056" s="54">
        <v>712.47</v>
      </c>
      <c r="L1056" s="56" t="s">
        <v>49</v>
      </c>
    </row>
    <row r="1057" spans="2:12" x14ac:dyDescent="0.25">
      <c r="B1057" s="42" t="s">
        <v>1478</v>
      </c>
      <c r="C1057" s="42" t="s">
        <v>101</v>
      </c>
      <c r="D1057" s="57">
        <v>45812</v>
      </c>
      <c r="E1057" s="44" t="s">
        <v>22</v>
      </c>
      <c r="F1057" s="43" t="s">
        <v>23</v>
      </c>
      <c r="G1057" s="42" t="s">
        <v>24</v>
      </c>
      <c r="H1057" s="45">
        <v>4</v>
      </c>
      <c r="I1057" s="46">
        <v>180</v>
      </c>
      <c r="J1057" s="46">
        <v>0</v>
      </c>
      <c r="K1057" s="46">
        <v>720</v>
      </c>
      <c r="L1057" s="48" t="s">
        <v>32</v>
      </c>
    </row>
    <row r="1058" spans="2:12" x14ac:dyDescent="0.25">
      <c r="B1058" s="49" t="s">
        <v>1479</v>
      </c>
      <c r="C1058" s="49" t="s">
        <v>95</v>
      </c>
      <c r="D1058" s="58">
        <v>45729</v>
      </c>
      <c r="E1058" s="51" t="s">
        <v>39</v>
      </c>
      <c r="F1058" s="50" t="s">
        <v>23</v>
      </c>
      <c r="G1058" s="52" t="s">
        <v>48</v>
      </c>
      <c r="H1058" s="53">
        <v>3</v>
      </c>
      <c r="I1058" s="54">
        <v>450</v>
      </c>
      <c r="J1058" s="54">
        <v>192.77</v>
      </c>
      <c r="K1058" s="54">
        <v>1157.23</v>
      </c>
      <c r="L1058" s="56" t="s">
        <v>18</v>
      </c>
    </row>
    <row r="1059" spans="2:12" x14ac:dyDescent="0.25">
      <c r="B1059" s="42" t="s">
        <v>1480</v>
      </c>
      <c r="C1059" s="42" t="s">
        <v>27</v>
      </c>
      <c r="D1059" s="57">
        <v>45703</v>
      </c>
      <c r="E1059" s="44" t="s">
        <v>22</v>
      </c>
      <c r="F1059" s="43" t="s">
        <v>16</v>
      </c>
      <c r="G1059" s="42" t="s">
        <v>103</v>
      </c>
      <c r="H1059" s="45">
        <v>3</v>
      </c>
      <c r="I1059" s="46">
        <v>89</v>
      </c>
      <c r="J1059" s="46">
        <v>0</v>
      </c>
      <c r="K1059" s="46">
        <v>267</v>
      </c>
      <c r="L1059" s="48" t="s">
        <v>65</v>
      </c>
    </row>
    <row r="1060" spans="2:12" x14ac:dyDescent="0.25">
      <c r="B1060" s="49" t="s">
        <v>1481</v>
      </c>
      <c r="C1060" s="49" t="s">
        <v>34</v>
      </c>
      <c r="D1060" s="58">
        <v>45990</v>
      </c>
      <c r="E1060" s="51" t="s">
        <v>22</v>
      </c>
      <c r="F1060" s="50" t="s">
        <v>23</v>
      </c>
      <c r="G1060" s="52" t="s">
        <v>48</v>
      </c>
      <c r="H1060" s="53">
        <v>2</v>
      </c>
      <c r="I1060" s="54">
        <v>450</v>
      </c>
      <c r="J1060" s="54">
        <v>117.54</v>
      </c>
      <c r="K1060" s="54">
        <v>782.46</v>
      </c>
      <c r="L1060" s="56" t="s">
        <v>49</v>
      </c>
    </row>
    <row r="1061" spans="2:12" x14ac:dyDescent="0.25">
      <c r="B1061" s="42" t="s">
        <v>1482</v>
      </c>
      <c r="C1061" s="42" t="s">
        <v>71</v>
      </c>
      <c r="D1061" s="57">
        <v>45866</v>
      </c>
      <c r="E1061" s="44" t="s">
        <v>22</v>
      </c>
      <c r="F1061" s="43" t="s">
        <v>23</v>
      </c>
      <c r="G1061" s="42" t="s">
        <v>88</v>
      </c>
      <c r="H1061" s="45">
        <v>1</v>
      </c>
      <c r="I1061" s="46">
        <v>650</v>
      </c>
      <c r="J1061" s="46">
        <v>18.05</v>
      </c>
      <c r="K1061" s="46">
        <v>631.95000000000005</v>
      </c>
      <c r="L1061" s="48" t="s">
        <v>18</v>
      </c>
    </row>
    <row r="1062" spans="2:12" x14ac:dyDescent="0.25">
      <c r="B1062" s="49" t="s">
        <v>1483</v>
      </c>
      <c r="C1062" s="49" t="s">
        <v>20</v>
      </c>
      <c r="D1062" s="58">
        <v>45985</v>
      </c>
      <c r="E1062" s="51" t="s">
        <v>29</v>
      </c>
      <c r="F1062" s="50" t="s">
        <v>52</v>
      </c>
      <c r="G1062" s="52" t="s">
        <v>53</v>
      </c>
      <c r="H1062" s="53">
        <v>1</v>
      </c>
      <c r="I1062" s="54">
        <v>149</v>
      </c>
      <c r="J1062" s="54">
        <v>16.59</v>
      </c>
      <c r="K1062" s="54">
        <v>132.41</v>
      </c>
      <c r="L1062" s="56" t="s">
        <v>44</v>
      </c>
    </row>
    <row r="1063" spans="2:12" x14ac:dyDescent="0.25">
      <c r="B1063" s="42" t="s">
        <v>1484</v>
      </c>
      <c r="C1063" s="42" t="s">
        <v>13</v>
      </c>
      <c r="D1063" s="57">
        <v>45697</v>
      </c>
      <c r="E1063" s="44" t="s">
        <v>47</v>
      </c>
      <c r="F1063" s="43" t="s">
        <v>30</v>
      </c>
      <c r="G1063" s="42" t="s">
        <v>31</v>
      </c>
      <c r="H1063" s="45">
        <v>1</v>
      </c>
      <c r="I1063" s="46">
        <v>2500</v>
      </c>
      <c r="J1063" s="46">
        <v>0</v>
      </c>
      <c r="K1063" s="46">
        <v>2500</v>
      </c>
      <c r="L1063" s="48" t="s">
        <v>69</v>
      </c>
    </row>
    <row r="1064" spans="2:12" x14ac:dyDescent="0.25">
      <c r="B1064" s="49" t="s">
        <v>1485</v>
      </c>
      <c r="C1064" s="49" t="s">
        <v>55</v>
      </c>
      <c r="D1064" s="58">
        <v>45709</v>
      </c>
      <c r="E1064" s="51" t="s">
        <v>39</v>
      </c>
      <c r="F1064" s="50" t="s">
        <v>30</v>
      </c>
      <c r="G1064" s="52" t="s">
        <v>152</v>
      </c>
      <c r="H1064" s="53">
        <v>3</v>
      </c>
      <c r="I1064" s="54">
        <v>4500</v>
      </c>
      <c r="J1064" s="54">
        <v>309.22000000000003</v>
      </c>
      <c r="K1064" s="54">
        <v>13190.78</v>
      </c>
      <c r="L1064" s="56" t="s">
        <v>65</v>
      </c>
    </row>
    <row r="1065" spans="2:12" x14ac:dyDescent="0.25">
      <c r="B1065" s="42" t="s">
        <v>1487</v>
      </c>
      <c r="C1065" s="42" t="s">
        <v>95</v>
      </c>
      <c r="D1065" s="57">
        <v>45876</v>
      </c>
      <c r="E1065" s="44" t="s">
        <v>15</v>
      </c>
      <c r="F1065" s="43" t="s">
        <v>52</v>
      </c>
      <c r="G1065" s="42" t="s">
        <v>99</v>
      </c>
      <c r="H1065" s="45">
        <v>1</v>
      </c>
      <c r="I1065" s="46">
        <v>79</v>
      </c>
      <c r="J1065" s="46">
        <v>7.97</v>
      </c>
      <c r="K1065" s="46">
        <v>71.03</v>
      </c>
      <c r="L1065" s="48" t="s">
        <v>44</v>
      </c>
    </row>
    <row r="1066" spans="2:12" x14ac:dyDescent="0.25">
      <c r="B1066" s="49" t="s">
        <v>1488</v>
      </c>
      <c r="C1066" s="49" t="s">
        <v>20</v>
      </c>
      <c r="D1066" s="58">
        <v>46005</v>
      </c>
      <c r="E1066" s="51" t="s">
        <v>15</v>
      </c>
      <c r="F1066" s="50" t="s">
        <v>30</v>
      </c>
      <c r="G1066" s="52" t="s">
        <v>106</v>
      </c>
      <c r="H1066" s="53">
        <v>2</v>
      </c>
      <c r="I1066" s="54">
        <v>299</v>
      </c>
      <c r="J1066" s="54">
        <v>57.47</v>
      </c>
      <c r="K1066" s="54">
        <v>540.53</v>
      </c>
      <c r="L1066" s="56" t="s">
        <v>89</v>
      </c>
    </row>
    <row r="1067" spans="2:12" x14ac:dyDescent="0.25">
      <c r="B1067" s="42" t="s">
        <v>1489</v>
      </c>
      <c r="C1067" s="42" t="s">
        <v>34</v>
      </c>
      <c r="D1067" s="57">
        <v>45965</v>
      </c>
      <c r="E1067" s="44" t="s">
        <v>22</v>
      </c>
      <c r="F1067" s="43" t="s">
        <v>16</v>
      </c>
      <c r="G1067" s="42" t="s">
        <v>78</v>
      </c>
      <c r="H1067" s="45">
        <v>1</v>
      </c>
      <c r="I1067" s="46">
        <v>59</v>
      </c>
      <c r="J1067" s="46">
        <v>0.95</v>
      </c>
      <c r="K1067" s="46">
        <v>58.05</v>
      </c>
      <c r="L1067" s="48" t="s">
        <v>32</v>
      </c>
    </row>
    <row r="1068" spans="2:12" x14ac:dyDescent="0.25">
      <c r="B1068" s="49" t="s">
        <v>1490</v>
      </c>
      <c r="C1068" s="49" t="s">
        <v>20</v>
      </c>
      <c r="D1068" s="58">
        <v>45869</v>
      </c>
      <c r="E1068" s="51" t="s">
        <v>47</v>
      </c>
      <c r="F1068" s="50" t="s">
        <v>30</v>
      </c>
      <c r="G1068" s="52" t="s">
        <v>152</v>
      </c>
      <c r="H1068" s="53">
        <v>4</v>
      </c>
      <c r="I1068" s="54">
        <v>4500</v>
      </c>
      <c r="J1068" s="54">
        <v>2515.4</v>
      </c>
      <c r="K1068" s="54">
        <v>15484.6</v>
      </c>
      <c r="L1068" s="56" t="s">
        <v>25</v>
      </c>
    </row>
    <row r="1069" spans="2:12" x14ac:dyDescent="0.25">
      <c r="B1069" s="42" t="s">
        <v>1491</v>
      </c>
      <c r="C1069" s="42" t="s">
        <v>13</v>
      </c>
      <c r="D1069" s="57">
        <v>45951</v>
      </c>
      <c r="E1069" s="44" t="s">
        <v>29</v>
      </c>
      <c r="F1069" s="43" t="s">
        <v>52</v>
      </c>
      <c r="G1069" s="42" t="s">
        <v>53</v>
      </c>
      <c r="H1069" s="45">
        <v>1</v>
      </c>
      <c r="I1069" s="46">
        <v>149</v>
      </c>
      <c r="J1069" s="46">
        <v>2.82</v>
      </c>
      <c r="K1069" s="46">
        <v>146.18</v>
      </c>
      <c r="L1069" s="48" t="s">
        <v>49</v>
      </c>
    </row>
    <row r="1070" spans="2:12" x14ac:dyDescent="0.25">
      <c r="B1070" s="49" t="s">
        <v>1492</v>
      </c>
      <c r="C1070" s="49" t="s">
        <v>63</v>
      </c>
      <c r="D1070" s="58">
        <v>46009</v>
      </c>
      <c r="E1070" s="51" t="s">
        <v>22</v>
      </c>
      <c r="F1070" s="50" t="s">
        <v>52</v>
      </c>
      <c r="G1070" s="52" t="s">
        <v>53</v>
      </c>
      <c r="H1070" s="53">
        <v>5</v>
      </c>
      <c r="I1070" s="54">
        <v>149</v>
      </c>
      <c r="J1070" s="54">
        <v>88.19</v>
      </c>
      <c r="K1070" s="54">
        <v>656.81</v>
      </c>
      <c r="L1070" s="56" t="s">
        <v>18</v>
      </c>
    </row>
    <row r="1071" spans="2:12" x14ac:dyDescent="0.25">
      <c r="B1071" s="42" t="s">
        <v>1493</v>
      </c>
      <c r="C1071" s="42" t="s">
        <v>37</v>
      </c>
      <c r="D1071" s="57">
        <v>45729</v>
      </c>
      <c r="E1071" s="44" t="s">
        <v>39</v>
      </c>
      <c r="F1071" s="43" t="s">
        <v>16</v>
      </c>
      <c r="G1071" s="42" t="s">
        <v>103</v>
      </c>
      <c r="H1071" s="45">
        <v>3</v>
      </c>
      <c r="I1071" s="46">
        <v>89</v>
      </c>
      <c r="J1071" s="46">
        <v>0</v>
      </c>
      <c r="K1071" s="46">
        <v>267</v>
      </c>
      <c r="L1071" s="48" t="s">
        <v>49</v>
      </c>
    </row>
    <row r="1072" spans="2:12" x14ac:dyDescent="0.25">
      <c r="B1072" s="49" t="s">
        <v>1494</v>
      </c>
      <c r="C1072" s="49" t="s">
        <v>71</v>
      </c>
      <c r="D1072" s="58">
        <v>45831</v>
      </c>
      <c r="E1072" s="51" t="s">
        <v>15</v>
      </c>
      <c r="F1072" s="50" t="s">
        <v>30</v>
      </c>
      <c r="G1072" s="52" t="s">
        <v>31</v>
      </c>
      <c r="H1072" s="53">
        <v>2</v>
      </c>
      <c r="I1072" s="54">
        <v>2500</v>
      </c>
      <c r="J1072" s="54">
        <v>112.23</v>
      </c>
      <c r="K1072" s="54">
        <v>4887.7700000000004</v>
      </c>
      <c r="L1072" s="56" t="s">
        <v>25</v>
      </c>
    </row>
    <row r="1073" spans="2:12" x14ac:dyDescent="0.25">
      <c r="B1073" s="42" t="s">
        <v>1495</v>
      </c>
      <c r="C1073" s="42" t="s">
        <v>20</v>
      </c>
      <c r="D1073" s="57">
        <v>45973</v>
      </c>
      <c r="E1073" s="44" t="s">
        <v>15</v>
      </c>
      <c r="F1073" s="43" t="s">
        <v>23</v>
      </c>
      <c r="G1073" s="42" t="s">
        <v>88</v>
      </c>
      <c r="H1073" s="45">
        <v>3</v>
      </c>
      <c r="I1073" s="46">
        <v>650</v>
      </c>
      <c r="J1073" s="46">
        <v>234.28</v>
      </c>
      <c r="K1073" s="46">
        <v>1715.72</v>
      </c>
      <c r="L1073" s="48" t="s">
        <v>69</v>
      </c>
    </row>
    <row r="1074" spans="2:12" x14ac:dyDescent="0.25">
      <c r="B1074" s="49" t="s">
        <v>1496</v>
      </c>
      <c r="C1074" s="49" t="s">
        <v>95</v>
      </c>
      <c r="D1074" s="58">
        <v>45698</v>
      </c>
      <c r="E1074" s="51" t="s">
        <v>39</v>
      </c>
      <c r="F1074" s="50" t="s">
        <v>23</v>
      </c>
      <c r="G1074" s="52" t="s">
        <v>43</v>
      </c>
      <c r="H1074" s="53">
        <v>2</v>
      </c>
      <c r="I1074" s="54">
        <v>350</v>
      </c>
      <c r="J1074" s="54">
        <v>71.319999999999993</v>
      </c>
      <c r="K1074" s="54">
        <v>628.68000000000006</v>
      </c>
      <c r="L1074" s="56" t="s">
        <v>49</v>
      </c>
    </row>
    <row r="1075" spans="2:12" x14ac:dyDescent="0.25">
      <c r="B1075" s="42" t="s">
        <v>1497</v>
      </c>
      <c r="C1075" s="42" t="s">
        <v>63</v>
      </c>
      <c r="D1075" s="57">
        <v>45975</v>
      </c>
      <c r="E1075" s="44" t="s">
        <v>22</v>
      </c>
      <c r="F1075" s="43" t="s">
        <v>52</v>
      </c>
      <c r="G1075" s="42" t="s">
        <v>75</v>
      </c>
      <c r="H1075" s="45">
        <v>5</v>
      </c>
      <c r="I1075" s="46">
        <v>249</v>
      </c>
      <c r="J1075" s="46">
        <v>0</v>
      </c>
      <c r="K1075" s="46">
        <v>1245</v>
      </c>
      <c r="L1075" s="48" t="s">
        <v>69</v>
      </c>
    </row>
    <row r="1076" spans="2:12" x14ac:dyDescent="0.25">
      <c r="B1076" s="49" t="s">
        <v>1498</v>
      </c>
      <c r="C1076" s="49" t="s">
        <v>34</v>
      </c>
      <c r="D1076" s="58">
        <v>46053</v>
      </c>
      <c r="E1076" s="51" t="s">
        <v>15</v>
      </c>
      <c r="F1076" s="50" t="s">
        <v>52</v>
      </c>
      <c r="G1076" s="52" t="s">
        <v>99</v>
      </c>
      <c r="H1076" s="53">
        <v>4</v>
      </c>
      <c r="I1076" s="54">
        <v>79</v>
      </c>
      <c r="J1076" s="54">
        <v>15.05</v>
      </c>
      <c r="K1076" s="54">
        <v>300.95</v>
      </c>
      <c r="L1076" s="56" t="s">
        <v>49</v>
      </c>
    </row>
    <row r="1077" spans="2:12" x14ac:dyDescent="0.25">
      <c r="B1077" s="42" t="s">
        <v>1499</v>
      </c>
      <c r="C1077" s="42" t="s">
        <v>55</v>
      </c>
      <c r="D1077" s="57">
        <v>45693</v>
      </c>
      <c r="E1077" s="44" t="s">
        <v>39</v>
      </c>
      <c r="F1077" s="43" t="s">
        <v>52</v>
      </c>
      <c r="G1077" s="42" t="s">
        <v>75</v>
      </c>
      <c r="H1077" s="45">
        <v>2</v>
      </c>
      <c r="I1077" s="46">
        <v>249</v>
      </c>
      <c r="J1077" s="46">
        <v>0</v>
      </c>
      <c r="K1077" s="46">
        <v>498</v>
      </c>
      <c r="L1077" s="48" t="s">
        <v>32</v>
      </c>
    </row>
    <row r="1078" spans="2:12" x14ac:dyDescent="0.25">
      <c r="B1078" s="49" t="s">
        <v>1500</v>
      </c>
      <c r="C1078" s="49" t="s">
        <v>55</v>
      </c>
      <c r="D1078" s="58">
        <v>45831</v>
      </c>
      <c r="E1078" s="51" t="s">
        <v>47</v>
      </c>
      <c r="F1078" s="50" t="s">
        <v>52</v>
      </c>
      <c r="G1078" s="52" t="s">
        <v>53</v>
      </c>
      <c r="H1078" s="53">
        <v>4</v>
      </c>
      <c r="I1078" s="54">
        <v>149</v>
      </c>
      <c r="J1078" s="54">
        <v>0</v>
      </c>
      <c r="K1078" s="54">
        <v>596</v>
      </c>
      <c r="L1078" s="56" t="s">
        <v>49</v>
      </c>
    </row>
    <row r="1079" spans="2:12" x14ac:dyDescent="0.25">
      <c r="B1079" s="42" t="s">
        <v>1501</v>
      </c>
      <c r="C1079" s="42" t="s">
        <v>34</v>
      </c>
      <c r="D1079" s="57">
        <v>45781</v>
      </c>
      <c r="E1079" s="44" t="s">
        <v>22</v>
      </c>
      <c r="F1079" s="43" t="s">
        <v>23</v>
      </c>
      <c r="G1079" s="42" t="s">
        <v>43</v>
      </c>
      <c r="H1079" s="45">
        <v>1</v>
      </c>
      <c r="I1079" s="46">
        <v>350</v>
      </c>
      <c r="J1079" s="46">
        <v>48.09</v>
      </c>
      <c r="K1079" s="46">
        <v>301.90999999999997</v>
      </c>
      <c r="L1079" s="48" t="s">
        <v>49</v>
      </c>
    </row>
    <row r="1080" spans="2:12" x14ac:dyDescent="0.25">
      <c r="B1080" s="49" t="s">
        <v>1502</v>
      </c>
      <c r="C1080" s="49" t="s">
        <v>63</v>
      </c>
      <c r="D1080" s="58">
        <v>45775</v>
      </c>
      <c r="E1080" s="51" t="s">
        <v>29</v>
      </c>
      <c r="F1080" s="50" t="s">
        <v>30</v>
      </c>
      <c r="G1080" s="52" t="s">
        <v>152</v>
      </c>
      <c r="H1080" s="53">
        <v>1</v>
      </c>
      <c r="I1080" s="54">
        <v>4500</v>
      </c>
      <c r="J1080" s="54">
        <v>36.81</v>
      </c>
      <c r="K1080" s="54">
        <v>4463.1899999999996</v>
      </c>
      <c r="L1080" s="56" t="s">
        <v>49</v>
      </c>
    </row>
    <row r="1081" spans="2:12" x14ac:dyDescent="0.25">
      <c r="B1081" s="42" t="s">
        <v>1503</v>
      </c>
      <c r="C1081" s="42" t="s">
        <v>55</v>
      </c>
      <c r="D1081" s="57">
        <v>45722</v>
      </c>
      <c r="E1081" s="44" t="s">
        <v>39</v>
      </c>
      <c r="F1081" s="43" t="s">
        <v>23</v>
      </c>
      <c r="G1081" s="42" t="s">
        <v>24</v>
      </c>
      <c r="H1081" s="45">
        <v>2</v>
      </c>
      <c r="I1081" s="46">
        <v>180</v>
      </c>
      <c r="J1081" s="46">
        <v>48.27</v>
      </c>
      <c r="K1081" s="46">
        <v>311.73</v>
      </c>
      <c r="L1081" s="48" t="s">
        <v>69</v>
      </c>
    </row>
    <row r="1082" spans="2:12" x14ac:dyDescent="0.25">
      <c r="B1082" s="49" t="s">
        <v>1504</v>
      </c>
      <c r="C1082" s="49" t="s">
        <v>34</v>
      </c>
      <c r="D1082" s="58">
        <v>45781</v>
      </c>
      <c r="E1082" s="51" t="s">
        <v>39</v>
      </c>
      <c r="F1082" s="50" t="s">
        <v>52</v>
      </c>
      <c r="G1082" s="52" t="s">
        <v>75</v>
      </c>
      <c r="H1082" s="53">
        <v>1</v>
      </c>
      <c r="I1082" s="54">
        <v>249</v>
      </c>
      <c r="J1082" s="54">
        <v>30.87</v>
      </c>
      <c r="K1082" s="54">
        <v>218.13</v>
      </c>
      <c r="L1082" s="56" t="s">
        <v>25</v>
      </c>
    </row>
    <row r="1083" spans="2:12" x14ac:dyDescent="0.25">
      <c r="B1083" s="42" t="s">
        <v>1505</v>
      </c>
      <c r="C1083" s="42" t="s">
        <v>71</v>
      </c>
      <c r="D1083" s="57">
        <v>45902</v>
      </c>
      <c r="E1083" s="44" t="s">
        <v>39</v>
      </c>
      <c r="F1083" s="43" t="s">
        <v>52</v>
      </c>
      <c r="G1083" s="42" t="s">
        <v>99</v>
      </c>
      <c r="H1083" s="45">
        <v>2</v>
      </c>
      <c r="I1083" s="46">
        <v>79</v>
      </c>
      <c r="J1083" s="46">
        <v>10.71</v>
      </c>
      <c r="K1083" s="46">
        <v>147.29</v>
      </c>
      <c r="L1083" s="48" t="s">
        <v>65</v>
      </c>
    </row>
    <row r="1084" spans="2:12" x14ac:dyDescent="0.25">
      <c r="B1084" s="49" t="s">
        <v>1506</v>
      </c>
      <c r="C1084" s="49" t="s">
        <v>37</v>
      </c>
      <c r="D1084" s="58">
        <v>45900</v>
      </c>
      <c r="E1084" s="51" t="s">
        <v>15</v>
      </c>
      <c r="F1084" s="50" t="s">
        <v>30</v>
      </c>
      <c r="G1084" s="52" t="s">
        <v>152</v>
      </c>
      <c r="H1084" s="53">
        <v>4</v>
      </c>
      <c r="I1084" s="54">
        <v>4500</v>
      </c>
      <c r="J1084" s="54">
        <v>63.97</v>
      </c>
      <c r="K1084" s="54">
        <v>17936.03</v>
      </c>
      <c r="L1084" s="56" t="s">
        <v>89</v>
      </c>
    </row>
    <row r="1085" spans="2:12" x14ac:dyDescent="0.25">
      <c r="B1085" s="42" t="s">
        <v>1507</v>
      </c>
      <c r="C1085" s="42" t="s">
        <v>63</v>
      </c>
      <c r="D1085" s="57">
        <v>45988</v>
      </c>
      <c r="E1085" s="44" t="s">
        <v>29</v>
      </c>
      <c r="F1085" s="43" t="s">
        <v>16</v>
      </c>
      <c r="G1085" s="42" t="s">
        <v>103</v>
      </c>
      <c r="H1085" s="45">
        <v>4</v>
      </c>
      <c r="I1085" s="46">
        <v>89</v>
      </c>
      <c r="J1085" s="46">
        <v>0</v>
      </c>
      <c r="K1085" s="46">
        <v>356</v>
      </c>
      <c r="L1085" s="48" t="s">
        <v>18</v>
      </c>
    </row>
    <row r="1086" spans="2:12" x14ac:dyDescent="0.25">
      <c r="B1086" s="49" t="s">
        <v>1508</v>
      </c>
      <c r="C1086" s="49" t="s">
        <v>110</v>
      </c>
      <c r="D1086" s="58">
        <v>45845</v>
      </c>
      <c r="E1086" s="51" t="s">
        <v>47</v>
      </c>
      <c r="F1086" s="50" t="s">
        <v>23</v>
      </c>
      <c r="G1086" s="52" t="s">
        <v>88</v>
      </c>
      <c r="H1086" s="53">
        <v>5</v>
      </c>
      <c r="I1086" s="54">
        <v>650</v>
      </c>
      <c r="J1086" s="54">
        <v>427.4</v>
      </c>
      <c r="K1086" s="54">
        <v>2822.6</v>
      </c>
      <c r="L1086" s="56" t="s">
        <v>89</v>
      </c>
    </row>
    <row r="1087" spans="2:12" x14ac:dyDescent="0.25">
      <c r="B1087" s="42" t="s">
        <v>1509</v>
      </c>
      <c r="C1087" s="42" t="s">
        <v>95</v>
      </c>
      <c r="D1087" s="57">
        <v>45844</v>
      </c>
      <c r="E1087" s="44" t="s">
        <v>15</v>
      </c>
      <c r="F1087" s="43" t="s">
        <v>23</v>
      </c>
      <c r="G1087" s="42" t="s">
        <v>43</v>
      </c>
      <c r="H1087" s="45">
        <v>3</v>
      </c>
      <c r="I1087" s="46">
        <v>350</v>
      </c>
      <c r="J1087" s="46">
        <v>0</v>
      </c>
      <c r="K1087" s="46">
        <v>1050</v>
      </c>
      <c r="L1087" s="48" t="s">
        <v>25</v>
      </c>
    </row>
    <row r="1088" spans="2:12" x14ac:dyDescent="0.25">
      <c r="B1088" s="49" t="s">
        <v>1510</v>
      </c>
      <c r="C1088" s="49" t="s">
        <v>41</v>
      </c>
      <c r="D1088" s="58">
        <v>45852</v>
      </c>
      <c r="E1088" s="51" t="s">
        <v>29</v>
      </c>
      <c r="F1088" s="50" t="s">
        <v>16</v>
      </c>
      <c r="G1088" s="52" t="s">
        <v>78</v>
      </c>
      <c r="H1088" s="53">
        <v>3</v>
      </c>
      <c r="I1088" s="54">
        <v>59</v>
      </c>
      <c r="J1088" s="54">
        <v>21.25</v>
      </c>
      <c r="K1088" s="54">
        <v>155.75</v>
      </c>
      <c r="L1088" s="56" t="s">
        <v>89</v>
      </c>
    </row>
    <row r="1089" spans="2:12" x14ac:dyDescent="0.25">
      <c r="B1089" s="42" t="s">
        <v>1511</v>
      </c>
      <c r="C1089" s="42" t="s">
        <v>110</v>
      </c>
      <c r="D1089" s="57">
        <v>45974</v>
      </c>
      <c r="E1089" s="44" t="s">
        <v>22</v>
      </c>
      <c r="F1089" s="43" t="s">
        <v>23</v>
      </c>
      <c r="G1089" s="42" t="s">
        <v>24</v>
      </c>
      <c r="H1089" s="45">
        <v>5</v>
      </c>
      <c r="I1089" s="46">
        <v>180</v>
      </c>
      <c r="J1089" s="46">
        <v>97.38</v>
      </c>
      <c r="K1089" s="46">
        <v>802.62</v>
      </c>
      <c r="L1089" s="48" t="s">
        <v>18</v>
      </c>
    </row>
    <row r="1090" spans="2:12" x14ac:dyDescent="0.25">
      <c r="B1090" s="49" t="s">
        <v>1512</v>
      </c>
      <c r="C1090" s="49" t="s">
        <v>13</v>
      </c>
      <c r="D1090" s="58">
        <v>45766</v>
      </c>
      <c r="E1090" s="51" t="s">
        <v>29</v>
      </c>
      <c r="F1090" s="50" t="s">
        <v>52</v>
      </c>
      <c r="G1090" s="52" t="s">
        <v>99</v>
      </c>
      <c r="H1090" s="53">
        <v>3</v>
      </c>
      <c r="I1090" s="54">
        <v>79</v>
      </c>
      <c r="J1090" s="54">
        <v>0</v>
      </c>
      <c r="K1090" s="54">
        <v>237</v>
      </c>
      <c r="L1090" s="56" t="s">
        <v>44</v>
      </c>
    </row>
    <row r="1091" spans="2:12" x14ac:dyDescent="0.25">
      <c r="B1091" s="42" t="s">
        <v>1513</v>
      </c>
      <c r="C1091" s="42" t="s">
        <v>20</v>
      </c>
      <c r="D1091" s="57">
        <v>45667</v>
      </c>
      <c r="E1091" s="44" t="s">
        <v>15</v>
      </c>
      <c r="F1091" s="43" t="s">
        <v>23</v>
      </c>
      <c r="G1091" s="42" t="s">
        <v>24</v>
      </c>
      <c r="H1091" s="45">
        <v>4</v>
      </c>
      <c r="I1091" s="46">
        <v>180</v>
      </c>
      <c r="J1091" s="46">
        <v>76.069999999999993</v>
      </c>
      <c r="K1091" s="46">
        <v>643.93000000000006</v>
      </c>
      <c r="L1091" s="48" t="s">
        <v>32</v>
      </c>
    </row>
    <row r="1092" spans="2:12" x14ac:dyDescent="0.25">
      <c r="B1092" s="49" t="s">
        <v>1514</v>
      </c>
      <c r="C1092" s="49" t="s">
        <v>13</v>
      </c>
      <c r="D1092" s="58">
        <v>45683</v>
      </c>
      <c r="E1092" s="51" t="s">
        <v>29</v>
      </c>
      <c r="F1092" s="50" t="s">
        <v>23</v>
      </c>
      <c r="G1092" s="52" t="s">
        <v>48</v>
      </c>
      <c r="H1092" s="53">
        <v>3</v>
      </c>
      <c r="I1092" s="54">
        <v>450</v>
      </c>
      <c r="J1092" s="54">
        <v>57.06</v>
      </c>
      <c r="K1092" s="54">
        <v>1292.94</v>
      </c>
      <c r="L1092" s="56" t="s">
        <v>49</v>
      </c>
    </row>
    <row r="1093" spans="2:12" x14ac:dyDescent="0.25">
      <c r="B1093" s="42" t="s">
        <v>1515</v>
      </c>
      <c r="C1093" s="42" t="s">
        <v>41</v>
      </c>
      <c r="D1093" s="57">
        <v>45910</v>
      </c>
      <c r="E1093" s="44" t="s">
        <v>29</v>
      </c>
      <c r="F1093" s="43" t="s">
        <v>30</v>
      </c>
      <c r="G1093" s="42" t="s">
        <v>106</v>
      </c>
      <c r="H1093" s="45">
        <v>3</v>
      </c>
      <c r="I1093" s="46">
        <v>299</v>
      </c>
      <c r="J1093" s="46">
        <v>0</v>
      </c>
      <c r="K1093" s="46">
        <v>897</v>
      </c>
      <c r="L1093" s="48" t="s">
        <v>89</v>
      </c>
    </row>
    <row r="1094" spans="2:12" x14ac:dyDescent="0.25">
      <c r="B1094" s="49" t="s">
        <v>1517</v>
      </c>
      <c r="C1094" s="49" t="s">
        <v>34</v>
      </c>
      <c r="D1094" s="58">
        <v>45884</v>
      </c>
      <c r="E1094" s="51" t="s">
        <v>47</v>
      </c>
      <c r="F1094" s="50" t="s">
        <v>52</v>
      </c>
      <c r="G1094" s="52" t="s">
        <v>53</v>
      </c>
      <c r="H1094" s="53">
        <v>5</v>
      </c>
      <c r="I1094" s="54">
        <v>149</v>
      </c>
      <c r="J1094" s="54">
        <v>0</v>
      </c>
      <c r="K1094" s="54">
        <v>745</v>
      </c>
      <c r="L1094" s="56" t="s">
        <v>69</v>
      </c>
    </row>
    <row r="1095" spans="2:12" x14ac:dyDescent="0.25">
      <c r="B1095" s="42" t="s">
        <v>1518</v>
      </c>
      <c r="C1095" s="42" t="s">
        <v>37</v>
      </c>
      <c r="D1095" s="57">
        <v>45662</v>
      </c>
      <c r="E1095" s="44" t="s">
        <v>39</v>
      </c>
      <c r="F1095" s="43" t="s">
        <v>30</v>
      </c>
      <c r="G1095" s="42" t="s">
        <v>106</v>
      </c>
      <c r="H1095" s="45">
        <v>1</v>
      </c>
      <c r="I1095" s="46">
        <v>299</v>
      </c>
      <c r="J1095" s="46">
        <v>27.17</v>
      </c>
      <c r="K1095" s="46">
        <v>271.83</v>
      </c>
      <c r="L1095" s="48" t="s">
        <v>89</v>
      </c>
    </row>
    <row r="1096" spans="2:12" x14ac:dyDescent="0.25">
      <c r="B1096" s="49" t="s">
        <v>1519</v>
      </c>
      <c r="C1096" s="49" t="s">
        <v>13</v>
      </c>
      <c r="D1096" s="58">
        <v>45761</v>
      </c>
      <c r="E1096" s="51" t="s">
        <v>39</v>
      </c>
      <c r="F1096" s="50" t="s">
        <v>52</v>
      </c>
      <c r="G1096" s="52" t="s">
        <v>75</v>
      </c>
      <c r="H1096" s="53">
        <v>4</v>
      </c>
      <c r="I1096" s="54">
        <v>249</v>
      </c>
      <c r="J1096" s="54">
        <v>0</v>
      </c>
      <c r="K1096" s="54">
        <v>996</v>
      </c>
      <c r="L1096" s="56" t="s">
        <v>49</v>
      </c>
    </row>
    <row r="1097" spans="2:12" x14ac:dyDescent="0.25">
      <c r="B1097" s="42" t="s">
        <v>1520</v>
      </c>
      <c r="C1097" s="42" t="s">
        <v>110</v>
      </c>
      <c r="D1097" s="57">
        <v>45916</v>
      </c>
      <c r="E1097" s="44" t="s">
        <v>29</v>
      </c>
      <c r="F1097" s="43" t="s">
        <v>16</v>
      </c>
      <c r="G1097" s="42" t="s">
        <v>17</v>
      </c>
      <c r="H1097" s="45">
        <v>1</v>
      </c>
      <c r="I1097" s="46">
        <v>39</v>
      </c>
      <c r="J1097" s="46">
        <v>0</v>
      </c>
      <c r="K1097" s="46">
        <v>39</v>
      </c>
      <c r="L1097" s="48" t="s">
        <v>89</v>
      </c>
    </row>
    <row r="1098" spans="2:12" x14ac:dyDescent="0.25">
      <c r="B1098" s="49" t="s">
        <v>1521</v>
      </c>
      <c r="C1098" s="49" t="s">
        <v>27</v>
      </c>
      <c r="D1098" s="58">
        <v>45678</v>
      </c>
      <c r="E1098" s="51" t="s">
        <v>22</v>
      </c>
      <c r="F1098" s="50" t="s">
        <v>52</v>
      </c>
      <c r="G1098" s="52" t="s">
        <v>61</v>
      </c>
      <c r="H1098" s="53">
        <v>1</v>
      </c>
      <c r="I1098" s="54">
        <v>199</v>
      </c>
      <c r="J1098" s="54">
        <v>0</v>
      </c>
      <c r="K1098" s="54">
        <v>199</v>
      </c>
      <c r="L1098" s="56" t="s">
        <v>44</v>
      </c>
    </row>
    <row r="1099" spans="2:12" x14ac:dyDescent="0.25">
      <c r="B1099" s="42" t="s">
        <v>1521</v>
      </c>
      <c r="C1099" s="42" t="s">
        <v>27</v>
      </c>
      <c r="D1099" s="57">
        <v>45678</v>
      </c>
      <c r="E1099" s="44" t="s">
        <v>29</v>
      </c>
      <c r="F1099" s="43" t="s">
        <v>30</v>
      </c>
      <c r="G1099" s="42" t="s">
        <v>106</v>
      </c>
      <c r="H1099" s="45">
        <v>2</v>
      </c>
      <c r="I1099" s="46">
        <v>299</v>
      </c>
      <c r="J1099" s="46">
        <v>69.010000000000005</v>
      </c>
      <c r="K1099" s="46">
        <v>528.99</v>
      </c>
      <c r="L1099" s="48" t="s">
        <v>49</v>
      </c>
    </row>
    <row r="1100" spans="2:12" x14ac:dyDescent="0.25">
      <c r="B1100" s="49" t="s">
        <v>1522</v>
      </c>
      <c r="C1100" s="49" t="s">
        <v>34</v>
      </c>
      <c r="D1100" s="58">
        <v>45708</v>
      </c>
      <c r="E1100" s="51" t="s">
        <v>15</v>
      </c>
      <c r="F1100" s="50" t="s">
        <v>52</v>
      </c>
      <c r="G1100" s="52" t="s">
        <v>61</v>
      </c>
      <c r="H1100" s="53">
        <v>2</v>
      </c>
      <c r="I1100" s="54">
        <v>199</v>
      </c>
      <c r="J1100" s="54">
        <v>0</v>
      </c>
      <c r="K1100" s="54">
        <v>398</v>
      </c>
      <c r="L1100" s="56" t="s">
        <v>44</v>
      </c>
    </row>
    <row r="1101" spans="2:12" x14ac:dyDescent="0.25">
      <c r="B1101" s="42" t="s">
        <v>1523</v>
      </c>
      <c r="C1101" s="42" t="s">
        <v>95</v>
      </c>
      <c r="D1101" s="57">
        <v>45706</v>
      </c>
      <c r="E1101" s="44" t="s">
        <v>47</v>
      </c>
      <c r="F1101" s="43" t="s">
        <v>23</v>
      </c>
      <c r="G1101" s="42" t="s">
        <v>24</v>
      </c>
      <c r="H1101" s="45">
        <v>5</v>
      </c>
      <c r="I1101" s="46">
        <v>180</v>
      </c>
      <c r="J1101" s="46">
        <v>0</v>
      </c>
      <c r="K1101" s="46">
        <v>900</v>
      </c>
      <c r="L1101" s="48" t="s">
        <v>89</v>
      </c>
    </row>
    <row r="1102" spans="2:12" x14ac:dyDescent="0.25">
      <c r="B1102" s="49" t="s">
        <v>1524</v>
      </c>
      <c r="C1102" s="49" t="s">
        <v>37</v>
      </c>
      <c r="D1102" s="58">
        <v>45760</v>
      </c>
      <c r="E1102" s="51" t="s">
        <v>29</v>
      </c>
      <c r="F1102" s="50" t="s">
        <v>30</v>
      </c>
      <c r="G1102" s="52" t="s">
        <v>106</v>
      </c>
      <c r="H1102" s="53">
        <v>3</v>
      </c>
      <c r="I1102" s="54">
        <v>299</v>
      </c>
      <c r="J1102" s="54">
        <v>0</v>
      </c>
      <c r="K1102" s="54">
        <v>897</v>
      </c>
      <c r="L1102" s="56" t="s">
        <v>89</v>
      </c>
    </row>
    <row r="1103" spans="2:12" x14ac:dyDescent="0.25">
      <c r="B1103" s="42" t="s">
        <v>1525</v>
      </c>
      <c r="C1103" s="42" t="s">
        <v>71</v>
      </c>
      <c r="D1103" s="57">
        <v>45697</v>
      </c>
      <c r="E1103" s="44" t="s">
        <v>15</v>
      </c>
      <c r="F1103" s="43" t="s">
        <v>52</v>
      </c>
      <c r="G1103" s="42" t="s">
        <v>61</v>
      </c>
      <c r="H1103" s="45">
        <v>1</v>
      </c>
      <c r="I1103" s="46">
        <v>199</v>
      </c>
      <c r="J1103" s="46">
        <v>0</v>
      </c>
      <c r="K1103" s="46">
        <v>199</v>
      </c>
      <c r="L1103" s="48" t="s">
        <v>89</v>
      </c>
    </row>
    <row r="1104" spans="2:12" x14ac:dyDescent="0.25">
      <c r="B1104" s="49" t="s">
        <v>1526</v>
      </c>
      <c r="C1104" s="49" t="s">
        <v>71</v>
      </c>
      <c r="D1104" s="58">
        <v>45843</v>
      </c>
      <c r="E1104" s="51" t="s">
        <v>15</v>
      </c>
      <c r="F1104" s="50" t="s">
        <v>23</v>
      </c>
      <c r="G1104" s="52" t="s">
        <v>43</v>
      </c>
      <c r="H1104" s="53">
        <v>2</v>
      </c>
      <c r="I1104" s="54">
        <v>350</v>
      </c>
      <c r="J1104" s="54">
        <v>0</v>
      </c>
      <c r="K1104" s="54">
        <v>700</v>
      </c>
      <c r="L1104" s="56" t="s">
        <v>65</v>
      </c>
    </row>
    <row r="1105" spans="2:12" x14ac:dyDescent="0.25">
      <c r="B1105" s="42" t="s">
        <v>1527</v>
      </c>
      <c r="C1105" s="42" t="s">
        <v>101</v>
      </c>
      <c r="D1105" s="57">
        <v>45783</v>
      </c>
      <c r="E1105" s="44" t="s">
        <v>39</v>
      </c>
      <c r="F1105" s="43" t="s">
        <v>23</v>
      </c>
      <c r="G1105" s="42" t="s">
        <v>88</v>
      </c>
      <c r="H1105" s="45">
        <v>2</v>
      </c>
      <c r="I1105" s="46">
        <v>650</v>
      </c>
      <c r="J1105" s="46">
        <v>185.2</v>
      </c>
      <c r="K1105" s="46">
        <v>1114.8</v>
      </c>
      <c r="L1105" s="48" t="s">
        <v>25</v>
      </c>
    </row>
    <row r="1106" spans="2:12" x14ac:dyDescent="0.25">
      <c r="B1106" s="49" t="s">
        <v>1528</v>
      </c>
      <c r="C1106" s="49" t="s">
        <v>34</v>
      </c>
      <c r="D1106" s="58">
        <v>45715</v>
      </c>
      <c r="E1106" s="51" t="s">
        <v>29</v>
      </c>
      <c r="F1106" s="50" t="s">
        <v>30</v>
      </c>
      <c r="G1106" s="52" t="s">
        <v>106</v>
      </c>
      <c r="H1106" s="53">
        <v>1</v>
      </c>
      <c r="I1106" s="54">
        <v>299</v>
      </c>
      <c r="J1106" s="54">
        <v>9.1999999999999993</v>
      </c>
      <c r="K1106" s="54">
        <v>289.8</v>
      </c>
      <c r="L1106" s="56" t="s">
        <v>44</v>
      </c>
    </row>
    <row r="1107" spans="2:12" x14ac:dyDescent="0.25">
      <c r="B1107" s="42" t="s">
        <v>1529</v>
      </c>
      <c r="C1107" s="42" t="s">
        <v>55</v>
      </c>
      <c r="D1107" s="57">
        <v>45738</v>
      </c>
      <c r="E1107" s="44" t="s">
        <v>39</v>
      </c>
      <c r="F1107" s="43" t="s">
        <v>23</v>
      </c>
      <c r="G1107" s="42" t="s">
        <v>88</v>
      </c>
      <c r="H1107" s="45">
        <v>3</v>
      </c>
      <c r="I1107" s="46">
        <v>650</v>
      </c>
      <c r="J1107" s="46">
        <v>0</v>
      </c>
      <c r="K1107" s="46">
        <v>1950</v>
      </c>
      <c r="L1107" s="48" t="s">
        <v>18</v>
      </c>
    </row>
    <row r="1108" spans="2:12" x14ac:dyDescent="0.25">
      <c r="B1108" s="49" t="s">
        <v>1530</v>
      </c>
      <c r="C1108" s="49" t="s">
        <v>27</v>
      </c>
      <c r="D1108" s="58">
        <v>45772</v>
      </c>
      <c r="E1108" s="51" t="s">
        <v>29</v>
      </c>
      <c r="F1108" s="50" t="s">
        <v>16</v>
      </c>
      <c r="G1108" s="52" t="s">
        <v>103</v>
      </c>
      <c r="H1108" s="53">
        <v>1</v>
      </c>
      <c r="I1108" s="54">
        <v>89</v>
      </c>
      <c r="J1108" s="54">
        <v>0</v>
      </c>
      <c r="K1108" s="54">
        <v>89</v>
      </c>
      <c r="L1108" s="56" t="s">
        <v>65</v>
      </c>
    </row>
    <row r="1109" spans="2:12" x14ac:dyDescent="0.25">
      <c r="B1109" s="42" t="s">
        <v>1531</v>
      </c>
      <c r="C1109" s="42" t="s">
        <v>71</v>
      </c>
      <c r="D1109" s="57">
        <v>45950</v>
      </c>
      <c r="E1109" s="44" t="s">
        <v>15</v>
      </c>
      <c r="F1109" s="43" t="s">
        <v>30</v>
      </c>
      <c r="G1109" s="42" t="s">
        <v>68</v>
      </c>
      <c r="H1109" s="45">
        <v>1</v>
      </c>
      <c r="I1109" s="46">
        <v>799</v>
      </c>
      <c r="J1109" s="46">
        <v>92.28</v>
      </c>
      <c r="K1109" s="46">
        <v>706.72</v>
      </c>
      <c r="L1109" s="48" t="s">
        <v>89</v>
      </c>
    </row>
    <row r="1110" spans="2:12" x14ac:dyDescent="0.25">
      <c r="B1110" s="49" t="s">
        <v>1532</v>
      </c>
      <c r="C1110" s="49" t="s">
        <v>55</v>
      </c>
      <c r="D1110" s="58">
        <v>45763</v>
      </c>
      <c r="E1110" s="51" t="s">
        <v>15</v>
      </c>
      <c r="F1110" s="50" t="s">
        <v>52</v>
      </c>
      <c r="G1110" s="52" t="s">
        <v>61</v>
      </c>
      <c r="H1110" s="53">
        <v>4</v>
      </c>
      <c r="I1110" s="54">
        <v>199</v>
      </c>
      <c r="J1110" s="54">
        <v>0</v>
      </c>
      <c r="K1110" s="54">
        <v>796</v>
      </c>
      <c r="L1110" s="56" t="s">
        <v>25</v>
      </c>
    </row>
    <row r="1111" spans="2:12" x14ac:dyDescent="0.25">
      <c r="B1111" s="42" t="s">
        <v>1533</v>
      </c>
      <c r="C1111" s="42" t="s">
        <v>20</v>
      </c>
      <c r="D1111" s="57">
        <v>46021</v>
      </c>
      <c r="E1111" s="44" t="s">
        <v>29</v>
      </c>
      <c r="F1111" s="43" t="s">
        <v>16</v>
      </c>
      <c r="G1111" s="42" t="s">
        <v>78</v>
      </c>
      <c r="H1111" s="45">
        <v>1</v>
      </c>
      <c r="I1111" s="46">
        <v>59</v>
      </c>
      <c r="J1111" s="46">
        <v>0</v>
      </c>
      <c r="K1111" s="46">
        <v>59</v>
      </c>
      <c r="L1111" s="48" t="s">
        <v>65</v>
      </c>
    </row>
    <row r="1112" spans="2:12" x14ac:dyDescent="0.25">
      <c r="B1112" s="49" t="s">
        <v>1534</v>
      </c>
      <c r="C1112" s="49" t="s">
        <v>41</v>
      </c>
      <c r="D1112" s="58">
        <v>45944</v>
      </c>
      <c r="E1112" s="51" t="s">
        <v>39</v>
      </c>
      <c r="F1112" s="50" t="s">
        <v>23</v>
      </c>
      <c r="G1112" s="52" t="s">
        <v>43</v>
      </c>
      <c r="H1112" s="53">
        <v>2</v>
      </c>
      <c r="I1112" s="54">
        <v>350</v>
      </c>
      <c r="J1112" s="54">
        <v>71.5</v>
      </c>
      <c r="K1112" s="54">
        <v>628.5</v>
      </c>
      <c r="L1112" s="56" t="s">
        <v>69</v>
      </c>
    </row>
    <row r="1113" spans="2:12" x14ac:dyDescent="0.25">
      <c r="B1113" s="42" t="s">
        <v>1535</v>
      </c>
      <c r="C1113" s="42" t="s">
        <v>55</v>
      </c>
      <c r="D1113" s="57">
        <v>45679</v>
      </c>
      <c r="E1113" s="44" t="s">
        <v>39</v>
      </c>
      <c r="F1113" s="43" t="s">
        <v>30</v>
      </c>
      <c r="G1113" s="42" t="s">
        <v>31</v>
      </c>
      <c r="H1113" s="45">
        <v>1</v>
      </c>
      <c r="I1113" s="46">
        <v>2500</v>
      </c>
      <c r="J1113" s="46">
        <v>197.65</v>
      </c>
      <c r="K1113" s="46">
        <v>2302.35</v>
      </c>
      <c r="L1113" s="48" t="s">
        <v>32</v>
      </c>
    </row>
    <row r="1114" spans="2:12" x14ac:dyDescent="0.25">
      <c r="B1114" s="49" t="s">
        <v>1536</v>
      </c>
      <c r="C1114" s="49" t="s">
        <v>110</v>
      </c>
      <c r="D1114" s="58">
        <v>45752</v>
      </c>
      <c r="E1114" s="51" t="s">
        <v>47</v>
      </c>
      <c r="F1114" s="50" t="s">
        <v>23</v>
      </c>
      <c r="G1114" s="52" t="s">
        <v>24</v>
      </c>
      <c r="H1114" s="53">
        <v>1</v>
      </c>
      <c r="I1114" s="54">
        <v>180</v>
      </c>
      <c r="J1114" s="54">
        <v>24.59</v>
      </c>
      <c r="K1114" s="54">
        <v>155.41</v>
      </c>
      <c r="L1114" s="56" t="s">
        <v>18</v>
      </c>
    </row>
    <row r="1115" spans="2:12" x14ac:dyDescent="0.25">
      <c r="B1115" s="42" t="s">
        <v>1537</v>
      </c>
      <c r="C1115" s="42" t="s">
        <v>13</v>
      </c>
      <c r="D1115" s="57">
        <v>45744</v>
      </c>
      <c r="E1115" s="44" t="s">
        <v>29</v>
      </c>
      <c r="F1115" s="43" t="s">
        <v>30</v>
      </c>
      <c r="G1115" s="42" t="s">
        <v>152</v>
      </c>
      <c r="H1115" s="45">
        <v>2</v>
      </c>
      <c r="I1115" s="46">
        <v>4500</v>
      </c>
      <c r="J1115" s="46">
        <v>1249.77</v>
      </c>
      <c r="K1115" s="46">
        <v>7750.23</v>
      </c>
      <c r="L1115" s="48" t="s">
        <v>49</v>
      </c>
    </row>
    <row r="1116" spans="2:12" x14ac:dyDescent="0.25">
      <c r="B1116" s="49" t="s">
        <v>1538</v>
      </c>
      <c r="C1116" s="49" t="s">
        <v>101</v>
      </c>
      <c r="D1116" s="58">
        <v>45822</v>
      </c>
      <c r="E1116" s="51" t="s">
        <v>15</v>
      </c>
      <c r="F1116" s="50" t="s">
        <v>23</v>
      </c>
      <c r="G1116" s="52" t="s">
        <v>48</v>
      </c>
      <c r="H1116" s="53">
        <v>4</v>
      </c>
      <c r="I1116" s="54">
        <v>450</v>
      </c>
      <c r="J1116" s="54">
        <v>0</v>
      </c>
      <c r="K1116" s="54">
        <v>1800</v>
      </c>
      <c r="L1116" s="56" t="s">
        <v>65</v>
      </c>
    </row>
    <row r="1117" spans="2:12" x14ac:dyDescent="0.25">
      <c r="B1117" s="42" t="s">
        <v>1539</v>
      </c>
      <c r="C1117" s="42" t="s">
        <v>101</v>
      </c>
      <c r="D1117" s="57">
        <v>45861</v>
      </c>
      <c r="E1117" s="44" t="s">
        <v>22</v>
      </c>
      <c r="F1117" s="43" t="s">
        <v>23</v>
      </c>
      <c r="G1117" s="42" t="s">
        <v>43</v>
      </c>
      <c r="H1117" s="45">
        <v>1</v>
      </c>
      <c r="I1117" s="46">
        <v>350</v>
      </c>
      <c r="J1117" s="46">
        <v>0</v>
      </c>
      <c r="K1117" s="46">
        <v>350</v>
      </c>
      <c r="L1117" s="48" t="s">
        <v>44</v>
      </c>
    </row>
    <row r="1118" spans="2:12" x14ac:dyDescent="0.25">
      <c r="B1118" s="49" t="s">
        <v>1540</v>
      </c>
      <c r="C1118" s="49" t="s">
        <v>41</v>
      </c>
      <c r="D1118" s="58">
        <v>45666</v>
      </c>
      <c r="E1118" s="51" t="s">
        <v>47</v>
      </c>
      <c r="F1118" s="50" t="s">
        <v>23</v>
      </c>
      <c r="G1118" s="52" t="s">
        <v>48</v>
      </c>
      <c r="H1118" s="53">
        <v>3</v>
      </c>
      <c r="I1118" s="54">
        <v>450</v>
      </c>
      <c r="J1118" s="54">
        <v>0</v>
      </c>
      <c r="K1118" s="54">
        <v>1350</v>
      </c>
      <c r="L1118" s="56" t="s">
        <v>49</v>
      </c>
    </row>
    <row r="1119" spans="2:12" x14ac:dyDescent="0.25">
      <c r="B1119" s="42" t="s">
        <v>1541</v>
      </c>
      <c r="C1119" s="42" t="s">
        <v>34</v>
      </c>
      <c r="D1119" s="57">
        <v>45737</v>
      </c>
      <c r="E1119" s="44" t="s">
        <v>39</v>
      </c>
      <c r="F1119" s="43" t="s">
        <v>52</v>
      </c>
      <c r="G1119" s="42" t="s">
        <v>61</v>
      </c>
      <c r="H1119" s="45">
        <v>3</v>
      </c>
      <c r="I1119" s="46">
        <v>199</v>
      </c>
      <c r="J1119" s="46">
        <v>0</v>
      </c>
      <c r="K1119" s="46">
        <v>597</v>
      </c>
      <c r="L1119" s="48" t="s">
        <v>18</v>
      </c>
    </row>
    <row r="1120" spans="2:12" x14ac:dyDescent="0.25">
      <c r="B1120" s="49" t="s">
        <v>1543</v>
      </c>
      <c r="C1120" s="49" t="s">
        <v>41</v>
      </c>
      <c r="D1120" s="58">
        <v>45928</v>
      </c>
      <c r="E1120" s="51" t="s">
        <v>22</v>
      </c>
      <c r="F1120" s="50" t="s">
        <v>16</v>
      </c>
      <c r="G1120" s="52" t="s">
        <v>103</v>
      </c>
      <c r="H1120" s="53">
        <v>3</v>
      </c>
      <c r="I1120" s="54">
        <v>89</v>
      </c>
      <c r="J1120" s="54">
        <v>33.229999999999997</v>
      </c>
      <c r="K1120" s="54">
        <v>233.77</v>
      </c>
      <c r="L1120" s="56" t="s">
        <v>49</v>
      </c>
    </row>
    <row r="1121" spans="2:12" x14ac:dyDescent="0.25">
      <c r="B1121" s="42" t="s">
        <v>1544</v>
      </c>
      <c r="C1121" s="42" t="s">
        <v>63</v>
      </c>
      <c r="D1121" s="57">
        <v>45756</v>
      </c>
      <c r="E1121" s="44" t="s">
        <v>39</v>
      </c>
      <c r="F1121" s="43" t="s">
        <v>23</v>
      </c>
      <c r="G1121" s="42" t="s">
        <v>43</v>
      </c>
      <c r="H1121" s="45">
        <v>5</v>
      </c>
      <c r="I1121" s="46">
        <v>350</v>
      </c>
      <c r="J1121" s="46">
        <v>0</v>
      </c>
      <c r="K1121" s="46">
        <v>1750</v>
      </c>
      <c r="L1121" s="48" t="s">
        <v>18</v>
      </c>
    </row>
    <row r="1122" spans="2:12" x14ac:dyDescent="0.25">
      <c r="B1122" s="49" t="s">
        <v>1545</v>
      </c>
      <c r="C1122" s="49" t="s">
        <v>37</v>
      </c>
      <c r="D1122" s="58">
        <v>45795</v>
      </c>
      <c r="E1122" s="51" t="s">
        <v>29</v>
      </c>
      <c r="F1122" s="50" t="s">
        <v>52</v>
      </c>
      <c r="G1122" s="52" t="s">
        <v>75</v>
      </c>
      <c r="H1122" s="53">
        <v>1</v>
      </c>
      <c r="I1122" s="54">
        <v>249</v>
      </c>
      <c r="J1122" s="54">
        <v>8.74</v>
      </c>
      <c r="K1122" s="54">
        <v>240.26</v>
      </c>
      <c r="L1122" s="56" t="s">
        <v>89</v>
      </c>
    </row>
    <row r="1123" spans="2:12" x14ac:dyDescent="0.25">
      <c r="B1123" s="42" t="s">
        <v>1546</v>
      </c>
      <c r="C1123" s="42" t="s">
        <v>37</v>
      </c>
      <c r="D1123" s="57">
        <v>46011</v>
      </c>
      <c r="E1123" s="44" t="s">
        <v>29</v>
      </c>
      <c r="F1123" s="43" t="s">
        <v>30</v>
      </c>
      <c r="G1123" s="42" t="s">
        <v>68</v>
      </c>
      <c r="H1123" s="45">
        <v>2</v>
      </c>
      <c r="I1123" s="46">
        <v>799</v>
      </c>
      <c r="J1123" s="46">
        <v>0</v>
      </c>
      <c r="K1123" s="46">
        <v>1598</v>
      </c>
      <c r="L1123" s="48" t="s">
        <v>69</v>
      </c>
    </row>
    <row r="1124" spans="2:12" x14ac:dyDescent="0.25">
      <c r="B1124" s="49" t="s">
        <v>1547</v>
      </c>
      <c r="C1124" s="49" t="s">
        <v>34</v>
      </c>
      <c r="D1124" s="58">
        <v>45868</v>
      </c>
      <c r="E1124" s="51" t="s">
        <v>47</v>
      </c>
      <c r="F1124" s="50" t="s">
        <v>23</v>
      </c>
      <c r="G1124" s="52" t="s">
        <v>24</v>
      </c>
      <c r="H1124" s="53">
        <v>2</v>
      </c>
      <c r="I1124" s="54">
        <v>180</v>
      </c>
      <c r="J1124" s="54">
        <v>32.799999999999997</v>
      </c>
      <c r="K1124" s="54">
        <v>327.2</v>
      </c>
      <c r="L1124" s="56" t="s">
        <v>25</v>
      </c>
    </row>
    <row r="1125" spans="2:12" x14ac:dyDescent="0.25">
      <c r="B1125" s="42" t="s">
        <v>1548</v>
      </c>
      <c r="C1125" s="42" t="s">
        <v>20</v>
      </c>
      <c r="D1125" s="57">
        <v>45948</v>
      </c>
      <c r="E1125" s="44" t="s">
        <v>15</v>
      </c>
      <c r="F1125" s="43" t="s">
        <v>30</v>
      </c>
      <c r="G1125" s="42" t="s">
        <v>152</v>
      </c>
      <c r="H1125" s="45">
        <v>1</v>
      </c>
      <c r="I1125" s="46">
        <v>4500</v>
      </c>
      <c r="J1125" s="46">
        <v>0</v>
      </c>
      <c r="K1125" s="46">
        <v>4500</v>
      </c>
      <c r="L1125" s="48" t="s">
        <v>44</v>
      </c>
    </row>
    <row r="1126" spans="2:12" x14ac:dyDescent="0.25">
      <c r="B1126" s="49" t="s">
        <v>1549</v>
      </c>
      <c r="C1126" s="49" t="s">
        <v>95</v>
      </c>
      <c r="D1126" s="58">
        <v>45864</v>
      </c>
      <c r="E1126" s="51" t="s">
        <v>39</v>
      </c>
      <c r="F1126" s="50" t="s">
        <v>23</v>
      </c>
      <c r="G1126" s="52" t="s">
        <v>48</v>
      </c>
      <c r="H1126" s="53">
        <v>5</v>
      </c>
      <c r="I1126" s="54">
        <v>450</v>
      </c>
      <c r="J1126" s="54">
        <v>111.63</v>
      </c>
      <c r="K1126" s="54">
        <v>2138.37</v>
      </c>
      <c r="L1126" s="56" t="s">
        <v>25</v>
      </c>
    </row>
    <row r="1127" spans="2:12" x14ac:dyDescent="0.25">
      <c r="B1127" s="42" t="s">
        <v>1550</v>
      </c>
      <c r="C1127" s="42" t="s">
        <v>41</v>
      </c>
      <c r="D1127" s="57">
        <v>46023</v>
      </c>
      <c r="E1127" s="44" t="s">
        <v>29</v>
      </c>
      <c r="F1127" s="43" t="s">
        <v>52</v>
      </c>
      <c r="G1127" s="42" t="s">
        <v>61</v>
      </c>
      <c r="H1127" s="45">
        <v>5</v>
      </c>
      <c r="I1127" s="46">
        <v>199</v>
      </c>
      <c r="J1127" s="46">
        <v>90.53</v>
      </c>
      <c r="K1127" s="46">
        <v>904.47</v>
      </c>
      <c r="L1127" s="48" t="s">
        <v>25</v>
      </c>
    </row>
    <row r="1128" spans="2:12" x14ac:dyDescent="0.25">
      <c r="B1128" s="49" t="s">
        <v>1551</v>
      </c>
      <c r="C1128" s="49" t="s">
        <v>55</v>
      </c>
      <c r="D1128" s="58">
        <v>45895</v>
      </c>
      <c r="E1128" s="51" t="s">
        <v>47</v>
      </c>
      <c r="F1128" s="50" t="s">
        <v>23</v>
      </c>
      <c r="G1128" s="52" t="s">
        <v>88</v>
      </c>
      <c r="H1128" s="53">
        <v>5</v>
      </c>
      <c r="I1128" s="54">
        <v>650</v>
      </c>
      <c r="J1128" s="54">
        <v>0</v>
      </c>
      <c r="K1128" s="54">
        <v>3250</v>
      </c>
      <c r="L1128" s="56" t="s">
        <v>32</v>
      </c>
    </row>
    <row r="1129" spans="2:12" x14ac:dyDescent="0.25">
      <c r="B1129" s="42" t="s">
        <v>1552</v>
      </c>
      <c r="C1129" s="42" t="s">
        <v>13</v>
      </c>
      <c r="D1129" s="57">
        <v>46010</v>
      </c>
      <c r="E1129" s="44" t="s">
        <v>15</v>
      </c>
      <c r="F1129" s="43" t="s">
        <v>16</v>
      </c>
      <c r="G1129" s="42" t="s">
        <v>103</v>
      </c>
      <c r="H1129" s="45">
        <v>3</v>
      </c>
      <c r="I1129" s="46">
        <v>89</v>
      </c>
      <c r="J1129" s="46">
        <v>4.68</v>
      </c>
      <c r="K1129" s="46">
        <v>262.32</v>
      </c>
      <c r="L1129" s="48" t="s">
        <v>49</v>
      </c>
    </row>
    <row r="1130" spans="2:12" x14ac:dyDescent="0.25">
      <c r="B1130" s="49" t="s">
        <v>1554</v>
      </c>
      <c r="C1130" s="49" t="s">
        <v>101</v>
      </c>
      <c r="D1130" s="58">
        <v>45930</v>
      </c>
      <c r="E1130" s="51" t="s">
        <v>15</v>
      </c>
      <c r="F1130" s="50" t="s">
        <v>30</v>
      </c>
      <c r="G1130" s="52" t="s">
        <v>106</v>
      </c>
      <c r="H1130" s="53">
        <v>3</v>
      </c>
      <c r="I1130" s="54">
        <v>299</v>
      </c>
      <c r="J1130" s="54">
        <v>0</v>
      </c>
      <c r="K1130" s="54">
        <v>897</v>
      </c>
      <c r="L1130" s="56" t="s">
        <v>89</v>
      </c>
    </row>
    <row r="1131" spans="2:12" x14ac:dyDescent="0.25">
      <c r="B1131" s="42" t="s">
        <v>1556</v>
      </c>
      <c r="C1131" s="42" t="s">
        <v>37</v>
      </c>
      <c r="D1131" s="57">
        <v>45765</v>
      </c>
      <c r="E1131" s="44" t="s">
        <v>29</v>
      </c>
      <c r="F1131" s="43" t="s">
        <v>16</v>
      </c>
      <c r="G1131" s="42" t="s">
        <v>17</v>
      </c>
      <c r="H1131" s="45">
        <v>1</v>
      </c>
      <c r="I1131" s="46">
        <v>39</v>
      </c>
      <c r="J1131" s="46">
        <v>0</v>
      </c>
      <c r="K1131" s="46">
        <v>39</v>
      </c>
      <c r="L1131" s="48" t="s">
        <v>65</v>
      </c>
    </row>
    <row r="1132" spans="2:12" x14ac:dyDescent="0.25">
      <c r="B1132" s="49" t="s">
        <v>1557</v>
      </c>
      <c r="C1132" s="49" t="s">
        <v>34</v>
      </c>
      <c r="D1132" s="58">
        <v>45896</v>
      </c>
      <c r="E1132" s="51" t="s">
        <v>15</v>
      </c>
      <c r="F1132" s="50" t="s">
        <v>23</v>
      </c>
      <c r="G1132" s="52" t="s">
        <v>88</v>
      </c>
      <c r="H1132" s="53">
        <v>5</v>
      </c>
      <c r="I1132" s="54">
        <v>650</v>
      </c>
      <c r="J1132" s="54">
        <v>145.6</v>
      </c>
      <c r="K1132" s="54">
        <v>3104.4</v>
      </c>
      <c r="L1132" s="56" t="s">
        <v>49</v>
      </c>
    </row>
    <row r="1133" spans="2:12" x14ac:dyDescent="0.25">
      <c r="B1133" s="42" t="s">
        <v>1558</v>
      </c>
      <c r="C1133" s="42" t="s">
        <v>55</v>
      </c>
      <c r="D1133" s="57">
        <v>45910</v>
      </c>
      <c r="E1133" s="44" t="s">
        <v>15</v>
      </c>
      <c r="F1133" s="43" t="s">
        <v>52</v>
      </c>
      <c r="G1133" s="42" t="s">
        <v>53</v>
      </c>
      <c r="H1133" s="45">
        <v>3</v>
      </c>
      <c r="I1133" s="46">
        <v>149</v>
      </c>
      <c r="J1133" s="46">
        <v>6.29</v>
      </c>
      <c r="K1133" s="46">
        <v>440.71</v>
      </c>
      <c r="L1133" s="48" t="s">
        <v>32</v>
      </c>
    </row>
    <row r="1134" spans="2:12" x14ac:dyDescent="0.25">
      <c r="B1134" s="49" t="s">
        <v>1559</v>
      </c>
      <c r="C1134" s="49" t="s">
        <v>20</v>
      </c>
      <c r="D1134" s="58">
        <v>45731</v>
      </c>
      <c r="E1134" s="51" t="s">
        <v>29</v>
      </c>
      <c r="F1134" s="50" t="s">
        <v>16</v>
      </c>
      <c r="G1134" s="52" t="s">
        <v>17</v>
      </c>
      <c r="H1134" s="53">
        <v>4</v>
      </c>
      <c r="I1134" s="54">
        <v>39</v>
      </c>
      <c r="J1134" s="54">
        <v>0</v>
      </c>
      <c r="K1134" s="54">
        <v>156</v>
      </c>
      <c r="L1134" s="56" t="s">
        <v>49</v>
      </c>
    </row>
    <row r="1135" spans="2:12" x14ac:dyDescent="0.25">
      <c r="B1135" s="42" t="s">
        <v>1560</v>
      </c>
      <c r="C1135" s="42" t="s">
        <v>95</v>
      </c>
      <c r="D1135" s="57">
        <v>45781</v>
      </c>
      <c r="E1135" s="44" t="s">
        <v>39</v>
      </c>
      <c r="F1135" s="43" t="s">
        <v>23</v>
      </c>
      <c r="G1135" s="42" t="s">
        <v>88</v>
      </c>
      <c r="H1135" s="45">
        <v>1</v>
      </c>
      <c r="I1135" s="46">
        <v>650</v>
      </c>
      <c r="J1135" s="46">
        <v>60.23</v>
      </c>
      <c r="K1135" s="46">
        <v>589.77</v>
      </c>
      <c r="L1135" s="48" t="s">
        <v>18</v>
      </c>
    </row>
    <row r="1136" spans="2:12" x14ac:dyDescent="0.25">
      <c r="B1136" s="49" t="s">
        <v>1561</v>
      </c>
      <c r="C1136" s="49" t="s">
        <v>37</v>
      </c>
      <c r="D1136" s="58">
        <v>45818</v>
      </c>
      <c r="E1136" s="51" t="s">
        <v>47</v>
      </c>
      <c r="F1136" s="50" t="s">
        <v>23</v>
      </c>
      <c r="G1136" s="52" t="s">
        <v>48</v>
      </c>
      <c r="H1136" s="53">
        <v>2</v>
      </c>
      <c r="I1136" s="54">
        <v>450</v>
      </c>
      <c r="J1136" s="54">
        <v>0</v>
      </c>
      <c r="K1136" s="54">
        <v>900</v>
      </c>
      <c r="L1136" s="56" t="s">
        <v>65</v>
      </c>
    </row>
    <row r="1137" spans="2:12" x14ac:dyDescent="0.25">
      <c r="B1137" s="42" t="s">
        <v>1562</v>
      </c>
      <c r="C1137" s="42" t="s">
        <v>101</v>
      </c>
      <c r="D1137" s="57">
        <v>45837</v>
      </c>
      <c r="E1137" s="44" t="s">
        <v>29</v>
      </c>
      <c r="F1137" s="43" t="s">
        <v>16</v>
      </c>
      <c r="G1137" s="42" t="s">
        <v>17</v>
      </c>
      <c r="H1137" s="45">
        <v>4</v>
      </c>
      <c r="I1137" s="46">
        <v>39</v>
      </c>
      <c r="J1137" s="46">
        <v>5.92</v>
      </c>
      <c r="K1137" s="46">
        <v>150.08000000000001</v>
      </c>
      <c r="L1137" s="48" t="s">
        <v>44</v>
      </c>
    </row>
    <row r="1138" spans="2:12" x14ac:dyDescent="0.25">
      <c r="B1138" s="49" t="s">
        <v>1563</v>
      </c>
      <c r="C1138" s="49" t="s">
        <v>101</v>
      </c>
      <c r="D1138" s="58">
        <v>46024</v>
      </c>
      <c r="E1138" s="51" t="s">
        <v>47</v>
      </c>
      <c r="F1138" s="50" t="s">
        <v>52</v>
      </c>
      <c r="G1138" s="52" t="s">
        <v>75</v>
      </c>
      <c r="H1138" s="53">
        <v>4</v>
      </c>
      <c r="I1138" s="54">
        <v>249</v>
      </c>
      <c r="J1138" s="54">
        <v>132.52000000000001</v>
      </c>
      <c r="K1138" s="54">
        <v>863.48</v>
      </c>
      <c r="L1138" s="56" t="s">
        <v>65</v>
      </c>
    </row>
    <row r="1139" spans="2:12" x14ac:dyDescent="0.25">
      <c r="B1139" s="42" t="s">
        <v>1564</v>
      </c>
      <c r="C1139" s="42" t="s">
        <v>37</v>
      </c>
      <c r="D1139" s="57">
        <v>45904</v>
      </c>
      <c r="E1139" s="44" t="s">
        <v>22</v>
      </c>
      <c r="F1139" s="43" t="s">
        <v>52</v>
      </c>
      <c r="G1139" s="42" t="s">
        <v>75</v>
      </c>
      <c r="H1139" s="45">
        <v>3</v>
      </c>
      <c r="I1139" s="46">
        <v>249</v>
      </c>
      <c r="J1139" s="46">
        <v>111.89</v>
      </c>
      <c r="K1139" s="46">
        <v>635.11</v>
      </c>
      <c r="L1139" s="48" t="s">
        <v>44</v>
      </c>
    </row>
    <row r="1140" spans="2:12" x14ac:dyDescent="0.25">
      <c r="B1140" s="49" t="s">
        <v>1565</v>
      </c>
      <c r="C1140" s="49" t="s">
        <v>95</v>
      </c>
      <c r="D1140" s="58">
        <v>45942</v>
      </c>
      <c r="E1140" s="51" t="s">
        <v>47</v>
      </c>
      <c r="F1140" s="50" t="s">
        <v>30</v>
      </c>
      <c r="G1140" s="52" t="s">
        <v>106</v>
      </c>
      <c r="H1140" s="53">
        <v>4</v>
      </c>
      <c r="I1140" s="54">
        <v>299</v>
      </c>
      <c r="J1140" s="54">
        <v>0</v>
      </c>
      <c r="K1140" s="54">
        <v>1196</v>
      </c>
      <c r="L1140" s="56" t="s">
        <v>69</v>
      </c>
    </row>
    <row r="1141" spans="2:12" x14ac:dyDescent="0.25">
      <c r="B1141" s="42" t="s">
        <v>1566</v>
      </c>
      <c r="C1141" s="42" t="s">
        <v>95</v>
      </c>
      <c r="D1141" s="57">
        <v>45767</v>
      </c>
      <c r="E1141" s="44" t="s">
        <v>29</v>
      </c>
      <c r="F1141" s="43" t="s">
        <v>52</v>
      </c>
      <c r="G1141" s="42" t="s">
        <v>53</v>
      </c>
      <c r="H1141" s="45">
        <v>5</v>
      </c>
      <c r="I1141" s="46">
        <v>149</v>
      </c>
      <c r="J1141" s="46">
        <v>11.26</v>
      </c>
      <c r="K1141" s="46">
        <v>733.74</v>
      </c>
      <c r="L1141" s="48" t="s">
        <v>44</v>
      </c>
    </row>
    <row r="1142" spans="2:12" x14ac:dyDescent="0.25">
      <c r="B1142" s="49" t="s">
        <v>1567</v>
      </c>
      <c r="C1142" s="49" t="s">
        <v>71</v>
      </c>
      <c r="D1142" s="58">
        <v>45842</v>
      </c>
      <c r="E1142" s="51" t="s">
        <v>29</v>
      </c>
      <c r="F1142" s="50" t="s">
        <v>16</v>
      </c>
      <c r="G1142" s="52" t="s">
        <v>17</v>
      </c>
      <c r="H1142" s="53">
        <v>3</v>
      </c>
      <c r="I1142" s="54">
        <v>39</v>
      </c>
      <c r="J1142" s="54">
        <v>16.72</v>
      </c>
      <c r="K1142" s="54">
        <v>100.28</v>
      </c>
      <c r="L1142" s="56" t="s">
        <v>44</v>
      </c>
    </row>
    <row r="1143" spans="2:12" x14ac:dyDescent="0.25">
      <c r="B1143" s="42" t="s">
        <v>1568</v>
      </c>
      <c r="C1143" s="42" t="s">
        <v>37</v>
      </c>
      <c r="D1143" s="57">
        <v>45707</v>
      </c>
      <c r="E1143" s="44" t="s">
        <v>29</v>
      </c>
      <c r="F1143" s="43" t="s">
        <v>16</v>
      </c>
      <c r="G1143" s="42" t="s">
        <v>17</v>
      </c>
      <c r="H1143" s="45">
        <v>2</v>
      </c>
      <c r="I1143" s="46">
        <v>39</v>
      </c>
      <c r="J1143" s="46">
        <v>9.3699999999999992</v>
      </c>
      <c r="K1143" s="46">
        <v>68.63</v>
      </c>
      <c r="L1143" s="48" t="s">
        <v>25</v>
      </c>
    </row>
    <row r="1144" spans="2:12" x14ac:dyDescent="0.25">
      <c r="B1144" s="49" t="s">
        <v>1569</v>
      </c>
      <c r="C1144" s="49" t="s">
        <v>110</v>
      </c>
      <c r="D1144" s="58">
        <v>45787</v>
      </c>
      <c r="E1144" s="51" t="s">
        <v>39</v>
      </c>
      <c r="F1144" s="50" t="s">
        <v>16</v>
      </c>
      <c r="G1144" s="52" t="s">
        <v>103</v>
      </c>
      <c r="H1144" s="53">
        <v>4</v>
      </c>
      <c r="I1144" s="54">
        <v>89</v>
      </c>
      <c r="J1144" s="54">
        <v>0</v>
      </c>
      <c r="K1144" s="54">
        <v>356</v>
      </c>
      <c r="L1144" s="56" t="s">
        <v>69</v>
      </c>
    </row>
    <row r="1145" spans="2:12" x14ac:dyDescent="0.25">
      <c r="B1145" s="42" t="s">
        <v>1570</v>
      </c>
      <c r="C1145" s="42" t="s">
        <v>110</v>
      </c>
      <c r="D1145" s="57">
        <v>45857</v>
      </c>
      <c r="E1145" s="44" t="s">
        <v>39</v>
      </c>
      <c r="F1145" s="43" t="s">
        <v>30</v>
      </c>
      <c r="G1145" s="42" t="s">
        <v>68</v>
      </c>
      <c r="H1145" s="45">
        <v>1</v>
      </c>
      <c r="I1145" s="46">
        <v>799</v>
      </c>
      <c r="J1145" s="46">
        <v>0</v>
      </c>
      <c r="K1145" s="46">
        <v>799</v>
      </c>
      <c r="L1145" s="48" t="s">
        <v>49</v>
      </c>
    </row>
    <row r="1146" spans="2:12" x14ac:dyDescent="0.25">
      <c r="B1146" s="49" t="s">
        <v>1571</v>
      </c>
      <c r="C1146" s="49" t="s">
        <v>63</v>
      </c>
      <c r="D1146" s="58">
        <v>45938</v>
      </c>
      <c r="E1146" s="51" t="s">
        <v>29</v>
      </c>
      <c r="F1146" s="50" t="s">
        <v>16</v>
      </c>
      <c r="G1146" s="52" t="s">
        <v>17</v>
      </c>
      <c r="H1146" s="53">
        <v>1</v>
      </c>
      <c r="I1146" s="54">
        <v>39</v>
      </c>
      <c r="J1146" s="54">
        <v>0.99</v>
      </c>
      <c r="K1146" s="54">
        <v>38.01</v>
      </c>
      <c r="L1146" s="56" t="s">
        <v>32</v>
      </c>
    </row>
    <row r="1147" spans="2:12" x14ac:dyDescent="0.25">
      <c r="B1147" s="42" t="s">
        <v>1572</v>
      </c>
      <c r="C1147" s="42" t="s">
        <v>13</v>
      </c>
      <c r="D1147" s="57">
        <v>45697</v>
      </c>
      <c r="E1147" s="44" t="s">
        <v>15</v>
      </c>
      <c r="F1147" s="43" t="s">
        <v>16</v>
      </c>
      <c r="G1147" s="42" t="s">
        <v>116</v>
      </c>
      <c r="H1147" s="45">
        <v>4</v>
      </c>
      <c r="I1147" s="46">
        <v>45</v>
      </c>
      <c r="J1147" s="46">
        <v>0</v>
      </c>
      <c r="K1147" s="46">
        <v>180</v>
      </c>
      <c r="L1147" s="48" t="s">
        <v>89</v>
      </c>
    </row>
    <row r="1148" spans="2:12" x14ac:dyDescent="0.25">
      <c r="B1148" s="49" t="s">
        <v>1573</v>
      </c>
      <c r="C1148" s="49" t="s">
        <v>13</v>
      </c>
      <c r="D1148" s="58">
        <v>46020</v>
      </c>
      <c r="E1148" s="51" t="s">
        <v>22</v>
      </c>
      <c r="F1148" s="50" t="s">
        <v>23</v>
      </c>
      <c r="G1148" s="52" t="s">
        <v>43</v>
      </c>
      <c r="H1148" s="53">
        <v>2</v>
      </c>
      <c r="I1148" s="54">
        <v>350</v>
      </c>
      <c r="J1148" s="54">
        <v>66.7</v>
      </c>
      <c r="K1148" s="54">
        <v>633.29999999999995</v>
      </c>
      <c r="L1148" s="56" t="s">
        <v>49</v>
      </c>
    </row>
    <row r="1149" spans="2:12" x14ac:dyDescent="0.25">
      <c r="B1149" s="42" t="s">
        <v>1574</v>
      </c>
      <c r="C1149" s="42" t="s">
        <v>20</v>
      </c>
      <c r="D1149" s="57">
        <v>45965</v>
      </c>
      <c r="E1149" s="44" t="s">
        <v>22</v>
      </c>
      <c r="F1149" s="43" t="s">
        <v>23</v>
      </c>
      <c r="G1149" s="42" t="s">
        <v>48</v>
      </c>
      <c r="H1149" s="45">
        <v>5</v>
      </c>
      <c r="I1149" s="46">
        <v>450</v>
      </c>
      <c r="J1149" s="46">
        <v>303.27</v>
      </c>
      <c r="K1149" s="46">
        <v>1946.73</v>
      </c>
      <c r="L1149" s="48" t="s">
        <v>69</v>
      </c>
    </row>
    <row r="1150" spans="2:12" x14ac:dyDescent="0.25">
      <c r="B1150" s="49" t="s">
        <v>1575</v>
      </c>
      <c r="C1150" s="49" t="s">
        <v>27</v>
      </c>
      <c r="D1150" s="58">
        <v>45768</v>
      </c>
      <c r="E1150" s="51" t="s">
        <v>29</v>
      </c>
      <c r="F1150" s="50" t="s">
        <v>30</v>
      </c>
      <c r="G1150" s="52" t="s">
        <v>106</v>
      </c>
      <c r="H1150" s="53">
        <v>1</v>
      </c>
      <c r="I1150" s="54">
        <v>299</v>
      </c>
      <c r="J1150" s="54">
        <v>0</v>
      </c>
      <c r="K1150" s="54">
        <v>299</v>
      </c>
      <c r="L1150" s="56" t="s">
        <v>69</v>
      </c>
    </row>
    <row r="1151" spans="2:12" x14ac:dyDescent="0.25">
      <c r="B1151" s="42" t="s">
        <v>1576</v>
      </c>
      <c r="C1151" s="42" t="s">
        <v>13</v>
      </c>
      <c r="D1151" s="57">
        <v>45972</v>
      </c>
      <c r="E1151" s="44" t="s">
        <v>15</v>
      </c>
      <c r="F1151" s="43" t="s">
        <v>30</v>
      </c>
      <c r="G1151" s="42" t="s">
        <v>106</v>
      </c>
      <c r="H1151" s="45">
        <v>2</v>
      </c>
      <c r="I1151" s="46">
        <v>299</v>
      </c>
      <c r="J1151" s="46">
        <v>0</v>
      </c>
      <c r="K1151" s="46">
        <v>598</v>
      </c>
      <c r="L1151" s="48" t="s">
        <v>49</v>
      </c>
    </row>
    <row r="1152" spans="2:12" x14ac:dyDescent="0.25">
      <c r="B1152" s="49" t="s">
        <v>1577</v>
      </c>
      <c r="C1152" s="49" t="s">
        <v>63</v>
      </c>
      <c r="D1152" s="58">
        <v>45841</v>
      </c>
      <c r="E1152" s="51" t="s">
        <v>39</v>
      </c>
      <c r="F1152" s="50" t="s">
        <v>23</v>
      </c>
      <c r="G1152" s="52" t="s">
        <v>43</v>
      </c>
      <c r="H1152" s="53">
        <v>4</v>
      </c>
      <c r="I1152" s="54">
        <v>350</v>
      </c>
      <c r="J1152" s="54">
        <v>72.650000000000006</v>
      </c>
      <c r="K1152" s="54">
        <v>1327.35</v>
      </c>
      <c r="L1152" s="56" t="s">
        <v>32</v>
      </c>
    </row>
    <row r="1153" spans="2:12" x14ac:dyDescent="0.25">
      <c r="B1153" s="42" t="s">
        <v>1579</v>
      </c>
      <c r="C1153" s="42" t="s">
        <v>20</v>
      </c>
      <c r="D1153" s="57">
        <v>45845</v>
      </c>
      <c r="E1153" s="44" t="s">
        <v>29</v>
      </c>
      <c r="F1153" s="43" t="s">
        <v>16</v>
      </c>
      <c r="G1153" s="42" t="s">
        <v>78</v>
      </c>
      <c r="H1153" s="45">
        <v>4</v>
      </c>
      <c r="I1153" s="46">
        <v>59</v>
      </c>
      <c r="J1153" s="46">
        <v>0</v>
      </c>
      <c r="K1153" s="46">
        <v>236</v>
      </c>
      <c r="L1153" s="48" t="s">
        <v>65</v>
      </c>
    </row>
    <row r="1154" spans="2:12" x14ac:dyDescent="0.25">
      <c r="B1154" s="49" t="s">
        <v>1580</v>
      </c>
      <c r="C1154" s="49" t="s">
        <v>63</v>
      </c>
      <c r="D1154" s="58">
        <v>46031</v>
      </c>
      <c r="E1154" s="51" t="s">
        <v>22</v>
      </c>
      <c r="F1154" s="50" t="s">
        <v>23</v>
      </c>
      <c r="G1154" s="52" t="s">
        <v>43</v>
      </c>
      <c r="H1154" s="53">
        <v>1</v>
      </c>
      <c r="I1154" s="54">
        <v>350</v>
      </c>
      <c r="J1154" s="54">
        <v>0</v>
      </c>
      <c r="K1154" s="54">
        <v>350</v>
      </c>
      <c r="L1154" s="56" t="s">
        <v>18</v>
      </c>
    </row>
    <row r="1155" spans="2:12" x14ac:dyDescent="0.25">
      <c r="B1155" s="42" t="s">
        <v>1581</v>
      </c>
      <c r="C1155" s="42" t="s">
        <v>13</v>
      </c>
      <c r="D1155" s="57">
        <v>45749</v>
      </c>
      <c r="E1155" s="44" t="s">
        <v>47</v>
      </c>
      <c r="F1155" s="43" t="s">
        <v>52</v>
      </c>
      <c r="G1155" s="42" t="s">
        <v>53</v>
      </c>
      <c r="H1155" s="45">
        <v>1</v>
      </c>
      <c r="I1155" s="46">
        <v>149</v>
      </c>
      <c r="J1155" s="46">
        <v>0</v>
      </c>
      <c r="K1155" s="46">
        <v>149</v>
      </c>
      <c r="L1155" s="48" t="s">
        <v>89</v>
      </c>
    </row>
    <row r="1156" spans="2:12" x14ac:dyDescent="0.25">
      <c r="B1156" s="49" t="s">
        <v>1582</v>
      </c>
      <c r="C1156" s="49" t="s">
        <v>27</v>
      </c>
      <c r="D1156" s="58">
        <v>46027</v>
      </c>
      <c r="E1156" s="51" t="s">
        <v>15</v>
      </c>
      <c r="F1156" s="50" t="s">
        <v>52</v>
      </c>
      <c r="G1156" s="52" t="s">
        <v>99</v>
      </c>
      <c r="H1156" s="53">
        <v>5</v>
      </c>
      <c r="I1156" s="54">
        <v>79</v>
      </c>
      <c r="J1156" s="54">
        <v>28.65</v>
      </c>
      <c r="K1156" s="54">
        <v>366.35</v>
      </c>
      <c r="L1156" s="56" t="s">
        <v>49</v>
      </c>
    </row>
    <row r="1157" spans="2:12" x14ac:dyDescent="0.25">
      <c r="B1157" s="42" t="s">
        <v>1584</v>
      </c>
      <c r="C1157" s="42" t="s">
        <v>110</v>
      </c>
      <c r="D1157" s="57">
        <v>45679</v>
      </c>
      <c r="E1157" s="44" t="s">
        <v>22</v>
      </c>
      <c r="F1157" s="43" t="s">
        <v>23</v>
      </c>
      <c r="G1157" s="42" t="s">
        <v>43</v>
      </c>
      <c r="H1157" s="45">
        <v>5</v>
      </c>
      <c r="I1157" s="46">
        <v>350</v>
      </c>
      <c r="J1157" s="46">
        <v>101.87</v>
      </c>
      <c r="K1157" s="46">
        <v>1648.13</v>
      </c>
      <c r="L1157" s="48" t="s">
        <v>18</v>
      </c>
    </row>
    <row r="1158" spans="2:12" x14ac:dyDescent="0.25">
      <c r="B1158" s="49" t="s">
        <v>1585</v>
      </c>
      <c r="C1158" s="49" t="s">
        <v>34</v>
      </c>
      <c r="D1158" s="58">
        <v>45667</v>
      </c>
      <c r="E1158" s="51" t="s">
        <v>47</v>
      </c>
      <c r="F1158" s="50" t="s">
        <v>52</v>
      </c>
      <c r="G1158" s="52" t="s">
        <v>99</v>
      </c>
      <c r="H1158" s="53">
        <v>3</v>
      </c>
      <c r="I1158" s="54">
        <v>79</v>
      </c>
      <c r="J1158" s="54">
        <v>0</v>
      </c>
      <c r="K1158" s="54">
        <v>237</v>
      </c>
      <c r="L1158" s="56" t="s">
        <v>65</v>
      </c>
    </row>
    <row r="1159" spans="2:12" x14ac:dyDescent="0.25">
      <c r="B1159" s="42" t="s">
        <v>1586</v>
      </c>
      <c r="C1159" s="42" t="s">
        <v>95</v>
      </c>
      <c r="D1159" s="57">
        <v>45914</v>
      </c>
      <c r="E1159" s="44" t="s">
        <v>15</v>
      </c>
      <c r="F1159" s="43" t="s">
        <v>52</v>
      </c>
      <c r="G1159" s="42" t="s">
        <v>99</v>
      </c>
      <c r="H1159" s="45">
        <v>1</v>
      </c>
      <c r="I1159" s="46">
        <v>79</v>
      </c>
      <c r="J1159" s="46">
        <v>0</v>
      </c>
      <c r="K1159" s="46">
        <v>79</v>
      </c>
      <c r="L1159" s="48" t="s">
        <v>18</v>
      </c>
    </row>
    <row r="1160" spans="2:12" x14ac:dyDescent="0.25">
      <c r="B1160" s="49" t="s">
        <v>1587</v>
      </c>
      <c r="C1160" s="49" t="s">
        <v>41</v>
      </c>
      <c r="D1160" s="58">
        <v>45939</v>
      </c>
      <c r="E1160" s="51" t="s">
        <v>22</v>
      </c>
      <c r="F1160" s="50" t="s">
        <v>23</v>
      </c>
      <c r="G1160" s="52" t="s">
        <v>24</v>
      </c>
      <c r="H1160" s="53">
        <v>1</v>
      </c>
      <c r="I1160" s="54">
        <v>180</v>
      </c>
      <c r="J1160" s="54">
        <v>26.3</v>
      </c>
      <c r="K1160" s="54">
        <v>153.69999999999999</v>
      </c>
      <c r="L1160" s="56" t="s">
        <v>49</v>
      </c>
    </row>
    <row r="1161" spans="2:12" x14ac:dyDescent="0.25">
      <c r="B1161" s="42" t="s">
        <v>1588</v>
      </c>
      <c r="C1161" s="42" t="s">
        <v>110</v>
      </c>
      <c r="D1161" s="57">
        <v>46028</v>
      </c>
      <c r="E1161" s="44" t="s">
        <v>22</v>
      </c>
      <c r="F1161" s="43" t="s">
        <v>16</v>
      </c>
      <c r="G1161" s="42" t="s">
        <v>116</v>
      </c>
      <c r="H1161" s="45">
        <v>1</v>
      </c>
      <c r="I1161" s="46">
        <v>45</v>
      </c>
      <c r="J1161" s="46">
        <v>1.56</v>
      </c>
      <c r="K1161" s="46">
        <v>43.44</v>
      </c>
      <c r="L1161" s="48" t="s">
        <v>44</v>
      </c>
    </row>
    <row r="1162" spans="2:12" x14ac:dyDescent="0.25">
      <c r="B1162" s="49" t="s">
        <v>1590</v>
      </c>
      <c r="C1162" s="49" t="s">
        <v>55</v>
      </c>
      <c r="D1162" s="58">
        <v>45735</v>
      </c>
      <c r="E1162" s="51" t="s">
        <v>29</v>
      </c>
      <c r="F1162" s="50" t="s">
        <v>52</v>
      </c>
      <c r="G1162" s="52" t="s">
        <v>75</v>
      </c>
      <c r="H1162" s="53">
        <v>5</v>
      </c>
      <c r="I1162" s="54">
        <v>249</v>
      </c>
      <c r="J1162" s="54">
        <v>177.14</v>
      </c>
      <c r="K1162" s="54">
        <v>1067.8600000000001</v>
      </c>
      <c r="L1162" s="56" t="s">
        <v>18</v>
      </c>
    </row>
    <row r="1163" spans="2:12" x14ac:dyDescent="0.25">
      <c r="B1163" s="42" t="s">
        <v>1591</v>
      </c>
      <c r="C1163" s="42" t="s">
        <v>37</v>
      </c>
      <c r="D1163" s="57">
        <v>46010</v>
      </c>
      <c r="E1163" s="44" t="s">
        <v>22</v>
      </c>
      <c r="F1163" s="43" t="s">
        <v>52</v>
      </c>
      <c r="G1163" s="42" t="s">
        <v>53</v>
      </c>
      <c r="H1163" s="45">
        <v>3</v>
      </c>
      <c r="I1163" s="46">
        <v>149</v>
      </c>
      <c r="J1163" s="46">
        <v>41.24</v>
      </c>
      <c r="K1163" s="46">
        <v>405.76</v>
      </c>
      <c r="L1163" s="48" t="s">
        <v>89</v>
      </c>
    </row>
    <row r="1164" spans="2:12" x14ac:dyDescent="0.25">
      <c r="B1164" s="49" t="s">
        <v>1592</v>
      </c>
      <c r="C1164" s="49" t="s">
        <v>41</v>
      </c>
      <c r="D1164" s="58">
        <v>45767</v>
      </c>
      <c r="E1164" s="51" t="s">
        <v>47</v>
      </c>
      <c r="F1164" s="50" t="s">
        <v>23</v>
      </c>
      <c r="G1164" s="52" t="s">
        <v>88</v>
      </c>
      <c r="H1164" s="53">
        <v>1</v>
      </c>
      <c r="I1164" s="54">
        <v>650</v>
      </c>
      <c r="J1164" s="54">
        <v>0</v>
      </c>
      <c r="K1164" s="54">
        <v>650</v>
      </c>
      <c r="L1164" s="56" t="s">
        <v>49</v>
      </c>
    </row>
    <row r="1165" spans="2:12" x14ac:dyDescent="0.25">
      <c r="B1165" s="42" t="s">
        <v>1593</v>
      </c>
      <c r="C1165" s="42" t="s">
        <v>101</v>
      </c>
      <c r="D1165" s="57">
        <v>45685</v>
      </c>
      <c r="E1165" s="44" t="s">
        <v>29</v>
      </c>
      <c r="F1165" s="43" t="s">
        <v>23</v>
      </c>
      <c r="G1165" s="42" t="s">
        <v>24</v>
      </c>
      <c r="H1165" s="45">
        <v>1</v>
      </c>
      <c r="I1165" s="46">
        <v>180</v>
      </c>
      <c r="J1165" s="46">
        <v>0</v>
      </c>
      <c r="K1165" s="46">
        <v>180</v>
      </c>
      <c r="L1165" s="48" t="s">
        <v>65</v>
      </c>
    </row>
    <row r="1166" spans="2:12" x14ac:dyDescent="0.25">
      <c r="B1166" s="49" t="s">
        <v>1594</v>
      </c>
      <c r="C1166" s="49" t="s">
        <v>55</v>
      </c>
      <c r="D1166" s="58">
        <v>45917</v>
      </c>
      <c r="E1166" s="51" t="s">
        <v>39</v>
      </c>
      <c r="F1166" s="50" t="s">
        <v>23</v>
      </c>
      <c r="G1166" s="52" t="s">
        <v>48</v>
      </c>
      <c r="H1166" s="53">
        <v>5</v>
      </c>
      <c r="I1166" s="54">
        <v>450</v>
      </c>
      <c r="J1166" s="54">
        <v>0</v>
      </c>
      <c r="K1166" s="54">
        <v>2250</v>
      </c>
      <c r="L1166" s="56" t="s">
        <v>49</v>
      </c>
    </row>
    <row r="1167" spans="2:12" x14ac:dyDescent="0.25">
      <c r="B1167" s="42" t="s">
        <v>1595</v>
      </c>
      <c r="C1167" s="42" t="s">
        <v>27</v>
      </c>
      <c r="D1167" s="57">
        <v>45870</v>
      </c>
      <c r="E1167" s="44" t="s">
        <v>29</v>
      </c>
      <c r="F1167" s="43" t="s">
        <v>23</v>
      </c>
      <c r="G1167" s="42" t="s">
        <v>48</v>
      </c>
      <c r="H1167" s="45">
        <v>3</v>
      </c>
      <c r="I1167" s="46">
        <v>450</v>
      </c>
      <c r="J1167" s="46">
        <v>96.99</v>
      </c>
      <c r="K1167" s="46">
        <v>1253.01</v>
      </c>
      <c r="L1167" s="48" t="s">
        <v>32</v>
      </c>
    </row>
    <row r="1168" spans="2:12" x14ac:dyDescent="0.25">
      <c r="B1168" s="49" t="s">
        <v>1596</v>
      </c>
      <c r="C1168" s="49" t="s">
        <v>110</v>
      </c>
      <c r="D1168" s="58">
        <v>45694</v>
      </c>
      <c r="E1168" s="51" t="s">
        <v>22</v>
      </c>
      <c r="F1168" s="50" t="s">
        <v>23</v>
      </c>
      <c r="G1168" s="52" t="s">
        <v>24</v>
      </c>
      <c r="H1168" s="53">
        <v>4</v>
      </c>
      <c r="I1168" s="54">
        <v>180</v>
      </c>
      <c r="J1168" s="54">
        <v>49.01</v>
      </c>
      <c r="K1168" s="54">
        <v>670.99</v>
      </c>
      <c r="L1168" s="56" t="s">
        <v>89</v>
      </c>
    </row>
    <row r="1169" spans="2:12" x14ac:dyDescent="0.25">
      <c r="B1169" s="42" t="s">
        <v>1597</v>
      </c>
      <c r="C1169" s="42" t="s">
        <v>71</v>
      </c>
      <c r="D1169" s="57">
        <v>45690</v>
      </c>
      <c r="E1169" s="44" t="s">
        <v>39</v>
      </c>
      <c r="F1169" s="43" t="s">
        <v>30</v>
      </c>
      <c r="G1169" s="42" t="s">
        <v>106</v>
      </c>
      <c r="H1169" s="45">
        <v>3</v>
      </c>
      <c r="I1169" s="46">
        <v>299</v>
      </c>
      <c r="J1169" s="46">
        <v>116.55</v>
      </c>
      <c r="K1169" s="46">
        <v>780.45</v>
      </c>
      <c r="L1169" s="48" t="s">
        <v>65</v>
      </c>
    </row>
    <row r="1170" spans="2:12" x14ac:dyDescent="0.25">
      <c r="B1170" s="49" t="s">
        <v>1598</v>
      </c>
      <c r="C1170" s="49" t="s">
        <v>55</v>
      </c>
      <c r="D1170" s="58">
        <v>45702</v>
      </c>
      <c r="E1170" s="51" t="s">
        <v>39</v>
      </c>
      <c r="F1170" s="50" t="s">
        <v>23</v>
      </c>
      <c r="G1170" s="52" t="s">
        <v>88</v>
      </c>
      <c r="H1170" s="53">
        <v>5</v>
      </c>
      <c r="I1170" s="54">
        <v>650</v>
      </c>
      <c r="J1170" s="54">
        <v>351.53</v>
      </c>
      <c r="K1170" s="54">
        <v>2898.4700000000003</v>
      </c>
      <c r="L1170" s="56" t="s">
        <v>49</v>
      </c>
    </row>
    <row r="1171" spans="2:12" x14ac:dyDescent="0.25">
      <c r="B1171" s="42" t="s">
        <v>1599</v>
      </c>
      <c r="C1171" s="42" t="s">
        <v>110</v>
      </c>
      <c r="D1171" s="57">
        <v>45944</v>
      </c>
      <c r="E1171" s="44" t="s">
        <v>15</v>
      </c>
      <c r="F1171" s="43" t="s">
        <v>52</v>
      </c>
      <c r="G1171" s="42" t="s">
        <v>99</v>
      </c>
      <c r="H1171" s="45">
        <v>2</v>
      </c>
      <c r="I1171" s="46">
        <v>79</v>
      </c>
      <c r="J1171" s="46">
        <v>0</v>
      </c>
      <c r="K1171" s="46">
        <v>158</v>
      </c>
      <c r="L1171" s="48" t="s">
        <v>89</v>
      </c>
    </row>
    <row r="1172" spans="2:12" x14ac:dyDescent="0.25">
      <c r="B1172" s="49" t="s">
        <v>1600</v>
      </c>
      <c r="C1172" s="49" t="s">
        <v>27</v>
      </c>
      <c r="D1172" s="58">
        <v>45879</v>
      </c>
      <c r="E1172" s="51" t="s">
        <v>47</v>
      </c>
      <c r="F1172" s="50" t="s">
        <v>23</v>
      </c>
      <c r="G1172" s="52" t="s">
        <v>88</v>
      </c>
      <c r="H1172" s="53">
        <v>3</v>
      </c>
      <c r="I1172" s="54">
        <v>650</v>
      </c>
      <c r="J1172" s="54">
        <v>205.7</v>
      </c>
      <c r="K1172" s="54">
        <v>1744.3</v>
      </c>
      <c r="L1172" s="56" t="s">
        <v>69</v>
      </c>
    </row>
    <row r="1173" spans="2:12" x14ac:dyDescent="0.25">
      <c r="B1173" s="42" t="s">
        <v>1601</v>
      </c>
      <c r="C1173" s="42" t="s">
        <v>71</v>
      </c>
      <c r="D1173" s="57">
        <v>45824</v>
      </c>
      <c r="E1173" s="44" t="s">
        <v>15</v>
      </c>
      <c r="F1173" s="43" t="s">
        <v>16</v>
      </c>
      <c r="G1173" s="42" t="s">
        <v>78</v>
      </c>
      <c r="H1173" s="45">
        <v>4</v>
      </c>
      <c r="I1173" s="46">
        <v>59</v>
      </c>
      <c r="J1173" s="46">
        <v>7.0000000000000007E-2</v>
      </c>
      <c r="K1173" s="46">
        <v>235.93</v>
      </c>
      <c r="L1173" s="48" t="s">
        <v>32</v>
      </c>
    </row>
    <row r="1174" spans="2:12" x14ac:dyDescent="0.25">
      <c r="B1174" s="49" t="s">
        <v>1602</v>
      </c>
      <c r="C1174" s="49" t="s">
        <v>13</v>
      </c>
      <c r="D1174" s="58">
        <v>46056</v>
      </c>
      <c r="E1174" s="51" t="s">
        <v>47</v>
      </c>
      <c r="F1174" s="50" t="s">
        <v>23</v>
      </c>
      <c r="G1174" s="52" t="s">
        <v>88</v>
      </c>
      <c r="H1174" s="53">
        <v>2</v>
      </c>
      <c r="I1174" s="54">
        <v>650</v>
      </c>
      <c r="J1174" s="54">
        <v>0</v>
      </c>
      <c r="K1174" s="54">
        <v>1300</v>
      </c>
      <c r="L1174" s="56" t="s">
        <v>89</v>
      </c>
    </row>
    <row r="1175" spans="2:12" x14ac:dyDescent="0.25">
      <c r="B1175" s="42" t="s">
        <v>1603</v>
      </c>
      <c r="C1175" s="42" t="s">
        <v>63</v>
      </c>
      <c r="D1175" s="57">
        <v>45690</v>
      </c>
      <c r="E1175" s="44" t="s">
        <v>47</v>
      </c>
      <c r="F1175" s="43" t="s">
        <v>23</v>
      </c>
      <c r="G1175" s="42" t="s">
        <v>24</v>
      </c>
      <c r="H1175" s="45">
        <v>5</v>
      </c>
      <c r="I1175" s="46">
        <v>180</v>
      </c>
      <c r="J1175" s="46">
        <v>0</v>
      </c>
      <c r="K1175" s="46">
        <v>900</v>
      </c>
      <c r="L1175" s="48" t="s">
        <v>18</v>
      </c>
    </row>
    <row r="1176" spans="2:12" x14ac:dyDescent="0.25">
      <c r="B1176" s="49" t="s">
        <v>1604</v>
      </c>
      <c r="C1176" s="49" t="s">
        <v>20</v>
      </c>
      <c r="D1176" s="58">
        <v>45970</v>
      </c>
      <c r="E1176" s="51" t="s">
        <v>39</v>
      </c>
      <c r="F1176" s="50" t="s">
        <v>23</v>
      </c>
      <c r="G1176" s="52" t="s">
        <v>88</v>
      </c>
      <c r="H1176" s="53">
        <v>5</v>
      </c>
      <c r="I1176" s="54">
        <v>650</v>
      </c>
      <c r="J1176" s="54">
        <v>5.86</v>
      </c>
      <c r="K1176" s="54">
        <v>3244.14</v>
      </c>
      <c r="L1176" s="56" t="s">
        <v>89</v>
      </c>
    </row>
    <row r="1177" spans="2:12" x14ac:dyDescent="0.25">
      <c r="B1177" s="42" t="s">
        <v>1605</v>
      </c>
      <c r="C1177" s="42" t="s">
        <v>55</v>
      </c>
      <c r="D1177" s="57">
        <v>45764</v>
      </c>
      <c r="E1177" s="44" t="s">
        <v>15</v>
      </c>
      <c r="F1177" s="43" t="s">
        <v>23</v>
      </c>
      <c r="G1177" s="42" t="s">
        <v>88</v>
      </c>
      <c r="H1177" s="45">
        <v>3</v>
      </c>
      <c r="I1177" s="46">
        <v>650</v>
      </c>
      <c r="J1177" s="46">
        <v>0</v>
      </c>
      <c r="K1177" s="46">
        <v>1950</v>
      </c>
      <c r="L1177" s="48" t="s">
        <v>89</v>
      </c>
    </row>
    <row r="1178" spans="2:12" x14ac:dyDescent="0.25">
      <c r="B1178" s="49" t="s">
        <v>1607</v>
      </c>
      <c r="C1178" s="49" t="s">
        <v>34</v>
      </c>
      <c r="D1178" s="58">
        <v>45918</v>
      </c>
      <c r="E1178" s="51" t="s">
        <v>22</v>
      </c>
      <c r="F1178" s="50" t="s">
        <v>30</v>
      </c>
      <c r="G1178" s="52" t="s">
        <v>106</v>
      </c>
      <c r="H1178" s="53">
        <v>4</v>
      </c>
      <c r="I1178" s="54">
        <v>299</v>
      </c>
      <c r="J1178" s="54">
        <v>0</v>
      </c>
      <c r="K1178" s="54">
        <v>1196</v>
      </c>
      <c r="L1178" s="56" t="s">
        <v>49</v>
      </c>
    </row>
    <row r="1179" spans="2:12" x14ac:dyDescent="0.25">
      <c r="B1179" s="42" t="s">
        <v>1608</v>
      </c>
      <c r="C1179" s="42" t="s">
        <v>34</v>
      </c>
      <c r="D1179" s="57">
        <v>45731</v>
      </c>
      <c r="E1179" s="44" t="s">
        <v>47</v>
      </c>
      <c r="F1179" s="43" t="s">
        <v>16</v>
      </c>
      <c r="G1179" s="42" t="s">
        <v>116</v>
      </c>
      <c r="H1179" s="45">
        <v>2</v>
      </c>
      <c r="I1179" s="46">
        <v>45</v>
      </c>
      <c r="J1179" s="46">
        <v>0</v>
      </c>
      <c r="K1179" s="46">
        <v>90</v>
      </c>
      <c r="L1179" s="48" t="s">
        <v>32</v>
      </c>
    </row>
    <row r="1180" spans="2:12" x14ac:dyDescent="0.25">
      <c r="B1180" s="49" t="s">
        <v>1609</v>
      </c>
      <c r="C1180" s="49" t="s">
        <v>34</v>
      </c>
      <c r="D1180" s="58">
        <v>45939</v>
      </c>
      <c r="E1180" s="51" t="s">
        <v>29</v>
      </c>
      <c r="F1180" s="50" t="s">
        <v>16</v>
      </c>
      <c r="G1180" s="52" t="s">
        <v>116</v>
      </c>
      <c r="H1180" s="53">
        <v>5</v>
      </c>
      <c r="I1180" s="54">
        <v>45</v>
      </c>
      <c r="J1180" s="54">
        <v>14.49</v>
      </c>
      <c r="K1180" s="54">
        <v>210.51</v>
      </c>
      <c r="L1180" s="56" t="s">
        <v>89</v>
      </c>
    </row>
    <row r="1181" spans="2:12" x14ac:dyDescent="0.25">
      <c r="B1181" s="42" t="s">
        <v>1610</v>
      </c>
      <c r="C1181" s="42" t="s">
        <v>55</v>
      </c>
      <c r="D1181" s="57">
        <v>45923</v>
      </c>
      <c r="E1181" s="44" t="s">
        <v>15</v>
      </c>
      <c r="F1181" s="43" t="s">
        <v>16</v>
      </c>
      <c r="G1181" s="42" t="s">
        <v>78</v>
      </c>
      <c r="H1181" s="45">
        <v>2</v>
      </c>
      <c r="I1181" s="46">
        <v>59</v>
      </c>
      <c r="J1181" s="46">
        <v>0</v>
      </c>
      <c r="K1181" s="46">
        <v>118</v>
      </c>
      <c r="L1181" s="48" t="s">
        <v>49</v>
      </c>
    </row>
    <row r="1182" spans="2:12" x14ac:dyDescent="0.25">
      <c r="B1182" s="49" t="s">
        <v>1611</v>
      </c>
      <c r="C1182" s="49" t="s">
        <v>20</v>
      </c>
      <c r="D1182" s="58">
        <v>45940</v>
      </c>
      <c r="E1182" s="51" t="s">
        <v>47</v>
      </c>
      <c r="F1182" s="50" t="s">
        <v>16</v>
      </c>
      <c r="G1182" s="52" t="s">
        <v>103</v>
      </c>
      <c r="H1182" s="53">
        <v>2</v>
      </c>
      <c r="I1182" s="54">
        <v>89</v>
      </c>
      <c r="J1182" s="54">
        <v>6.62</v>
      </c>
      <c r="K1182" s="54">
        <v>171.38</v>
      </c>
      <c r="L1182" s="56" t="s">
        <v>32</v>
      </c>
    </row>
    <row r="1183" spans="2:12" x14ac:dyDescent="0.25">
      <c r="B1183" s="42" t="s">
        <v>1612</v>
      </c>
      <c r="C1183" s="42" t="s">
        <v>55</v>
      </c>
      <c r="D1183" s="57">
        <v>46039</v>
      </c>
      <c r="E1183" s="44" t="s">
        <v>22</v>
      </c>
      <c r="F1183" s="43" t="s">
        <v>30</v>
      </c>
      <c r="G1183" s="42" t="s">
        <v>152</v>
      </c>
      <c r="H1183" s="45">
        <v>5</v>
      </c>
      <c r="I1183" s="46">
        <v>4500</v>
      </c>
      <c r="J1183" s="46">
        <v>0</v>
      </c>
      <c r="K1183" s="46">
        <v>22500</v>
      </c>
      <c r="L1183" s="48" t="s">
        <v>65</v>
      </c>
    </row>
    <row r="1184" spans="2:12" x14ac:dyDescent="0.25">
      <c r="B1184" s="49" t="s">
        <v>1613</v>
      </c>
      <c r="C1184" s="49" t="s">
        <v>13</v>
      </c>
      <c r="D1184" s="58">
        <v>45727</v>
      </c>
      <c r="E1184" s="51" t="s">
        <v>47</v>
      </c>
      <c r="F1184" s="50" t="s">
        <v>52</v>
      </c>
      <c r="G1184" s="52" t="s">
        <v>53</v>
      </c>
      <c r="H1184" s="53">
        <v>4</v>
      </c>
      <c r="I1184" s="54">
        <v>149</v>
      </c>
      <c r="J1184" s="54">
        <v>26.52</v>
      </c>
      <c r="K1184" s="54">
        <v>569.48</v>
      </c>
      <c r="L1184" s="56" t="s">
        <v>69</v>
      </c>
    </row>
    <row r="1185" spans="2:12" x14ac:dyDescent="0.25">
      <c r="B1185" s="42" t="s">
        <v>1614</v>
      </c>
      <c r="C1185" s="42" t="s">
        <v>37</v>
      </c>
      <c r="D1185" s="57">
        <v>45875</v>
      </c>
      <c r="E1185" s="44" t="s">
        <v>29</v>
      </c>
      <c r="F1185" s="43" t="s">
        <v>30</v>
      </c>
      <c r="G1185" s="42" t="s">
        <v>152</v>
      </c>
      <c r="H1185" s="45">
        <v>2</v>
      </c>
      <c r="I1185" s="46">
        <v>4500</v>
      </c>
      <c r="J1185" s="46">
        <v>0</v>
      </c>
      <c r="K1185" s="46">
        <v>9000</v>
      </c>
      <c r="L1185" s="48" t="s">
        <v>49</v>
      </c>
    </row>
    <row r="1186" spans="2:12" x14ac:dyDescent="0.25">
      <c r="B1186" s="49" t="s">
        <v>1615</v>
      </c>
      <c r="C1186" s="49" t="s">
        <v>55</v>
      </c>
      <c r="D1186" s="58">
        <v>45926</v>
      </c>
      <c r="E1186" s="51" t="s">
        <v>39</v>
      </c>
      <c r="F1186" s="50" t="s">
        <v>23</v>
      </c>
      <c r="G1186" s="52" t="s">
        <v>24</v>
      </c>
      <c r="H1186" s="53">
        <v>4</v>
      </c>
      <c r="I1186" s="54">
        <v>180</v>
      </c>
      <c r="J1186" s="54">
        <v>0</v>
      </c>
      <c r="K1186" s="54">
        <v>720</v>
      </c>
      <c r="L1186" s="56" t="s">
        <v>25</v>
      </c>
    </row>
    <row r="1187" spans="2:12" x14ac:dyDescent="0.25">
      <c r="B1187" s="42" t="s">
        <v>1616</v>
      </c>
      <c r="C1187" s="42" t="s">
        <v>41</v>
      </c>
      <c r="D1187" s="57">
        <v>45988</v>
      </c>
      <c r="E1187" s="44" t="s">
        <v>15</v>
      </c>
      <c r="F1187" s="43" t="s">
        <v>16</v>
      </c>
      <c r="G1187" s="42" t="s">
        <v>17</v>
      </c>
      <c r="H1187" s="45">
        <v>2</v>
      </c>
      <c r="I1187" s="46">
        <v>39</v>
      </c>
      <c r="J1187" s="46">
        <v>7.72</v>
      </c>
      <c r="K1187" s="46">
        <v>70.28</v>
      </c>
      <c r="L1187" s="48" t="s">
        <v>69</v>
      </c>
    </row>
    <row r="1188" spans="2:12" x14ac:dyDescent="0.25">
      <c r="B1188" s="49" t="s">
        <v>1617</v>
      </c>
      <c r="C1188" s="49" t="s">
        <v>20</v>
      </c>
      <c r="D1188" s="58">
        <v>45816</v>
      </c>
      <c r="E1188" s="51" t="s">
        <v>15</v>
      </c>
      <c r="F1188" s="50" t="s">
        <v>52</v>
      </c>
      <c r="G1188" s="52" t="s">
        <v>61</v>
      </c>
      <c r="H1188" s="53">
        <v>1</v>
      </c>
      <c r="I1188" s="54">
        <v>199</v>
      </c>
      <c r="J1188" s="54">
        <v>0</v>
      </c>
      <c r="K1188" s="54">
        <v>199</v>
      </c>
      <c r="L1188" s="56" t="s">
        <v>32</v>
      </c>
    </row>
    <row r="1189" spans="2:12" x14ac:dyDescent="0.25">
      <c r="B1189" s="42" t="s">
        <v>1618</v>
      </c>
      <c r="C1189" s="42" t="s">
        <v>34</v>
      </c>
      <c r="D1189" s="57">
        <v>45799</v>
      </c>
      <c r="E1189" s="44" t="s">
        <v>29</v>
      </c>
      <c r="F1189" s="43" t="s">
        <v>52</v>
      </c>
      <c r="G1189" s="42" t="s">
        <v>53</v>
      </c>
      <c r="H1189" s="45">
        <v>3</v>
      </c>
      <c r="I1189" s="46">
        <v>149</v>
      </c>
      <c r="J1189" s="46">
        <v>0</v>
      </c>
      <c r="K1189" s="46">
        <v>447</v>
      </c>
      <c r="L1189" s="48" t="s">
        <v>89</v>
      </c>
    </row>
    <row r="1190" spans="2:12" x14ac:dyDescent="0.25">
      <c r="B1190" s="49" t="s">
        <v>1619</v>
      </c>
      <c r="C1190" s="49" t="s">
        <v>37</v>
      </c>
      <c r="D1190" s="58">
        <v>45845</v>
      </c>
      <c r="E1190" s="51" t="s">
        <v>47</v>
      </c>
      <c r="F1190" s="50" t="s">
        <v>23</v>
      </c>
      <c r="G1190" s="52" t="s">
        <v>43</v>
      </c>
      <c r="H1190" s="53">
        <v>5</v>
      </c>
      <c r="I1190" s="54">
        <v>350</v>
      </c>
      <c r="J1190" s="54">
        <v>84.9</v>
      </c>
      <c r="K1190" s="54">
        <v>1665.1</v>
      </c>
      <c r="L1190" s="56" t="s">
        <v>32</v>
      </c>
    </row>
    <row r="1191" spans="2:12" x14ac:dyDescent="0.25">
      <c r="B1191" s="42" t="s">
        <v>1620</v>
      </c>
      <c r="C1191" s="42" t="s">
        <v>95</v>
      </c>
      <c r="D1191" s="57">
        <v>45707</v>
      </c>
      <c r="E1191" s="44" t="s">
        <v>47</v>
      </c>
      <c r="F1191" s="43" t="s">
        <v>52</v>
      </c>
      <c r="G1191" s="42" t="s">
        <v>61</v>
      </c>
      <c r="H1191" s="45">
        <v>1</v>
      </c>
      <c r="I1191" s="46">
        <v>199</v>
      </c>
      <c r="J1191" s="46">
        <v>28.61</v>
      </c>
      <c r="K1191" s="46">
        <v>170.39</v>
      </c>
      <c r="L1191" s="48" t="s">
        <v>18</v>
      </c>
    </row>
    <row r="1192" spans="2:12" x14ac:dyDescent="0.25">
      <c r="B1192" s="49" t="s">
        <v>1620</v>
      </c>
      <c r="C1192" s="49" t="s">
        <v>95</v>
      </c>
      <c r="D1192" s="58">
        <v>46023</v>
      </c>
      <c r="E1192" s="51" t="s">
        <v>29</v>
      </c>
      <c r="F1192" s="50" t="s">
        <v>16</v>
      </c>
      <c r="G1192" s="52" t="s">
        <v>116</v>
      </c>
      <c r="H1192" s="53">
        <v>1</v>
      </c>
      <c r="I1192" s="54">
        <v>45</v>
      </c>
      <c r="J1192" s="54">
        <v>3.01</v>
      </c>
      <c r="K1192" s="54">
        <v>41.99</v>
      </c>
      <c r="L1192" s="56" t="s">
        <v>65</v>
      </c>
    </row>
    <row r="1193" spans="2:12" x14ac:dyDescent="0.25">
      <c r="B1193" s="42" t="s">
        <v>1621</v>
      </c>
      <c r="C1193" s="42" t="s">
        <v>20</v>
      </c>
      <c r="D1193" s="57">
        <v>45839</v>
      </c>
      <c r="E1193" s="44" t="s">
        <v>15</v>
      </c>
      <c r="F1193" s="43" t="s">
        <v>30</v>
      </c>
      <c r="G1193" s="42" t="s">
        <v>68</v>
      </c>
      <c r="H1193" s="45">
        <v>5</v>
      </c>
      <c r="I1193" s="46">
        <v>799</v>
      </c>
      <c r="J1193" s="46">
        <v>594.23</v>
      </c>
      <c r="K1193" s="46">
        <v>3400.77</v>
      </c>
      <c r="L1193" s="48" t="s">
        <v>69</v>
      </c>
    </row>
    <row r="1194" spans="2:12" x14ac:dyDescent="0.25">
      <c r="B1194" s="49" t="s">
        <v>1622</v>
      </c>
      <c r="C1194" s="49" t="s">
        <v>37</v>
      </c>
      <c r="D1194" s="58">
        <v>46051</v>
      </c>
      <c r="E1194" s="51" t="s">
        <v>39</v>
      </c>
      <c r="F1194" s="50" t="s">
        <v>30</v>
      </c>
      <c r="G1194" s="52" t="s">
        <v>31</v>
      </c>
      <c r="H1194" s="53">
        <v>4</v>
      </c>
      <c r="I1194" s="54">
        <v>2500</v>
      </c>
      <c r="J1194" s="54">
        <v>572.13</v>
      </c>
      <c r="K1194" s="54">
        <v>9427.8700000000008</v>
      </c>
      <c r="L1194" s="56" t="s">
        <v>25</v>
      </c>
    </row>
    <row r="1195" spans="2:12" x14ac:dyDescent="0.25">
      <c r="B1195" s="42" t="s">
        <v>1624</v>
      </c>
      <c r="C1195" s="42" t="s">
        <v>101</v>
      </c>
      <c r="D1195" s="57">
        <v>45922</v>
      </c>
      <c r="E1195" s="44" t="s">
        <v>15</v>
      </c>
      <c r="F1195" s="43" t="s">
        <v>23</v>
      </c>
      <c r="G1195" s="42" t="s">
        <v>24</v>
      </c>
      <c r="H1195" s="45">
        <v>2</v>
      </c>
      <c r="I1195" s="46">
        <v>180</v>
      </c>
      <c r="J1195" s="46">
        <v>0</v>
      </c>
      <c r="K1195" s="46">
        <v>360</v>
      </c>
      <c r="L1195" s="48" t="s">
        <v>89</v>
      </c>
    </row>
    <row r="1196" spans="2:12" x14ac:dyDescent="0.25">
      <c r="B1196" s="49" t="s">
        <v>1625</v>
      </c>
      <c r="C1196" s="49" t="s">
        <v>101</v>
      </c>
      <c r="D1196" s="58">
        <v>45685</v>
      </c>
      <c r="E1196" s="51" t="s">
        <v>22</v>
      </c>
      <c r="F1196" s="50" t="s">
        <v>16</v>
      </c>
      <c r="G1196" s="52" t="s">
        <v>78</v>
      </c>
      <c r="H1196" s="53">
        <v>2</v>
      </c>
      <c r="I1196" s="54">
        <v>59</v>
      </c>
      <c r="J1196" s="54">
        <v>11.75</v>
      </c>
      <c r="K1196" s="54">
        <v>106.25</v>
      </c>
      <c r="L1196" s="56" t="s">
        <v>65</v>
      </c>
    </row>
    <row r="1197" spans="2:12" x14ac:dyDescent="0.25">
      <c r="B1197" s="42" t="s">
        <v>1626</v>
      </c>
      <c r="C1197" s="42" t="s">
        <v>101</v>
      </c>
      <c r="D1197" s="57">
        <v>45776</v>
      </c>
      <c r="E1197" s="44" t="s">
        <v>47</v>
      </c>
      <c r="F1197" s="43" t="s">
        <v>30</v>
      </c>
      <c r="G1197" s="42" t="s">
        <v>31</v>
      </c>
      <c r="H1197" s="45">
        <v>3</v>
      </c>
      <c r="I1197" s="46">
        <v>2500</v>
      </c>
      <c r="J1197" s="46">
        <v>0</v>
      </c>
      <c r="K1197" s="46">
        <v>7500</v>
      </c>
      <c r="L1197" s="48" t="s">
        <v>89</v>
      </c>
    </row>
    <row r="1198" spans="2:12" x14ac:dyDescent="0.25">
      <c r="B1198" s="49" t="s">
        <v>1627</v>
      </c>
      <c r="C1198" s="49" t="s">
        <v>55</v>
      </c>
      <c r="D1198" s="58">
        <v>45714</v>
      </c>
      <c r="E1198" s="51" t="s">
        <v>39</v>
      </c>
      <c r="F1198" s="50" t="s">
        <v>16</v>
      </c>
      <c r="G1198" s="52" t="s">
        <v>17</v>
      </c>
      <c r="H1198" s="53">
        <v>5</v>
      </c>
      <c r="I1198" s="54">
        <v>39</v>
      </c>
      <c r="J1198" s="54">
        <v>8.7100000000000009</v>
      </c>
      <c r="K1198" s="54">
        <v>186.29</v>
      </c>
      <c r="L1198" s="56" t="s">
        <v>89</v>
      </c>
    </row>
    <row r="1199" spans="2:12" x14ac:dyDescent="0.25">
      <c r="B1199" s="42" t="s">
        <v>1628</v>
      </c>
      <c r="C1199" s="42" t="s">
        <v>20</v>
      </c>
      <c r="D1199" s="57">
        <v>45845</v>
      </c>
      <c r="E1199" s="44" t="s">
        <v>15</v>
      </c>
      <c r="F1199" s="43" t="s">
        <v>23</v>
      </c>
      <c r="G1199" s="42" t="s">
        <v>88</v>
      </c>
      <c r="H1199" s="45">
        <v>5</v>
      </c>
      <c r="I1199" s="46">
        <v>650</v>
      </c>
      <c r="J1199" s="46">
        <v>79.400000000000006</v>
      </c>
      <c r="K1199" s="46">
        <v>3170.6</v>
      </c>
      <c r="L1199" s="48" t="s">
        <v>18</v>
      </c>
    </row>
    <row r="1200" spans="2:12" x14ac:dyDescent="0.25">
      <c r="B1200" s="49" t="s">
        <v>1629</v>
      </c>
      <c r="C1200" s="49" t="s">
        <v>95</v>
      </c>
      <c r="D1200" s="58">
        <v>45897</v>
      </c>
      <c r="E1200" s="51" t="s">
        <v>22</v>
      </c>
      <c r="F1200" s="50" t="s">
        <v>16</v>
      </c>
      <c r="G1200" s="52" t="s">
        <v>17</v>
      </c>
      <c r="H1200" s="53">
        <v>3</v>
      </c>
      <c r="I1200" s="54">
        <v>39</v>
      </c>
      <c r="J1200" s="54">
        <v>16.420000000000002</v>
      </c>
      <c r="K1200" s="54">
        <v>100.58</v>
      </c>
      <c r="L1200" s="56" t="s">
        <v>49</v>
      </c>
    </row>
    <row r="1201" spans="2:12" x14ac:dyDescent="0.25">
      <c r="B1201" s="42" t="s">
        <v>1630</v>
      </c>
      <c r="C1201" s="42" t="s">
        <v>41</v>
      </c>
      <c r="D1201" s="57">
        <v>45706</v>
      </c>
      <c r="E1201" s="44" t="s">
        <v>29</v>
      </c>
      <c r="F1201" s="43" t="s">
        <v>30</v>
      </c>
      <c r="G1201" s="42" t="s">
        <v>68</v>
      </c>
      <c r="H1201" s="45">
        <v>4</v>
      </c>
      <c r="I1201" s="46">
        <v>799</v>
      </c>
      <c r="J1201" s="46">
        <v>0</v>
      </c>
      <c r="K1201" s="46">
        <v>3196</v>
      </c>
      <c r="L1201" s="48" t="s">
        <v>89</v>
      </c>
    </row>
    <row r="1202" spans="2:12" x14ac:dyDescent="0.25">
      <c r="B1202" s="49" t="s">
        <v>1631</v>
      </c>
      <c r="C1202" s="49" t="s">
        <v>13</v>
      </c>
      <c r="D1202" s="58">
        <v>45898</v>
      </c>
      <c r="E1202" s="51" t="s">
        <v>47</v>
      </c>
      <c r="F1202" s="50" t="s">
        <v>23</v>
      </c>
      <c r="G1202" s="52" t="s">
        <v>48</v>
      </c>
      <c r="H1202" s="53">
        <v>3</v>
      </c>
      <c r="I1202" s="54">
        <v>450</v>
      </c>
      <c r="J1202" s="54">
        <v>0</v>
      </c>
      <c r="K1202" s="54">
        <v>1350</v>
      </c>
      <c r="L1202" s="56" t="s">
        <v>32</v>
      </c>
    </row>
    <row r="1203" spans="2:12" x14ac:dyDescent="0.25">
      <c r="B1203" s="42" t="s">
        <v>1633</v>
      </c>
      <c r="C1203" s="42" t="s">
        <v>101</v>
      </c>
      <c r="D1203" s="57">
        <v>45902</v>
      </c>
      <c r="E1203" s="44" t="s">
        <v>22</v>
      </c>
      <c r="F1203" s="43" t="s">
        <v>30</v>
      </c>
      <c r="G1203" s="42" t="s">
        <v>106</v>
      </c>
      <c r="H1203" s="45">
        <v>5</v>
      </c>
      <c r="I1203" s="46">
        <v>299</v>
      </c>
      <c r="J1203" s="46">
        <v>0</v>
      </c>
      <c r="K1203" s="46">
        <v>1495</v>
      </c>
      <c r="L1203" s="48" t="s">
        <v>44</v>
      </c>
    </row>
    <row r="1204" spans="2:12" x14ac:dyDescent="0.25">
      <c r="B1204" s="49" t="s">
        <v>1634</v>
      </c>
      <c r="C1204" s="49" t="s">
        <v>101</v>
      </c>
      <c r="D1204" s="58">
        <v>45979</v>
      </c>
      <c r="E1204" s="51" t="s">
        <v>39</v>
      </c>
      <c r="F1204" s="50" t="s">
        <v>23</v>
      </c>
      <c r="G1204" s="52" t="s">
        <v>88</v>
      </c>
      <c r="H1204" s="53">
        <v>4</v>
      </c>
      <c r="I1204" s="54">
        <v>650</v>
      </c>
      <c r="J1204" s="54">
        <v>368.7</v>
      </c>
      <c r="K1204" s="54">
        <v>2231.3000000000002</v>
      </c>
      <c r="L1204" s="56" t="s">
        <v>32</v>
      </c>
    </row>
    <row r="1205" spans="2:12" x14ac:dyDescent="0.25">
      <c r="B1205" s="42" t="s">
        <v>1635</v>
      </c>
      <c r="C1205" s="42" t="s">
        <v>34</v>
      </c>
      <c r="D1205" s="57">
        <v>45670</v>
      </c>
      <c r="E1205" s="44" t="s">
        <v>29</v>
      </c>
      <c r="F1205" s="43" t="s">
        <v>30</v>
      </c>
      <c r="G1205" s="42" t="s">
        <v>68</v>
      </c>
      <c r="H1205" s="45">
        <v>3</v>
      </c>
      <c r="I1205" s="46">
        <v>799</v>
      </c>
      <c r="J1205" s="46">
        <v>0</v>
      </c>
      <c r="K1205" s="46">
        <v>2397</v>
      </c>
      <c r="L1205" s="48" t="s">
        <v>49</v>
      </c>
    </row>
    <row r="1206" spans="2:12" x14ac:dyDescent="0.25">
      <c r="B1206" s="49" t="s">
        <v>1636</v>
      </c>
      <c r="C1206" s="49" t="s">
        <v>95</v>
      </c>
      <c r="D1206" s="58">
        <v>45900</v>
      </c>
      <c r="E1206" s="51" t="s">
        <v>29</v>
      </c>
      <c r="F1206" s="50" t="s">
        <v>23</v>
      </c>
      <c r="G1206" s="52" t="s">
        <v>48</v>
      </c>
      <c r="H1206" s="53">
        <v>1</v>
      </c>
      <c r="I1206" s="54">
        <v>450</v>
      </c>
      <c r="J1206" s="54">
        <v>0</v>
      </c>
      <c r="K1206" s="54">
        <v>450</v>
      </c>
      <c r="L1206" s="56" t="s">
        <v>49</v>
      </c>
    </row>
    <row r="1207" spans="2:12" x14ac:dyDescent="0.25">
      <c r="B1207" s="42" t="s">
        <v>1637</v>
      </c>
      <c r="C1207" s="42" t="s">
        <v>13</v>
      </c>
      <c r="D1207" s="57">
        <v>45834</v>
      </c>
      <c r="E1207" s="44" t="s">
        <v>39</v>
      </c>
      <c r="F1207" s="43" t="s">
        <v>52</v>
      </c>
      <c r="G1207" s="42" t="s">
        <v>53</v>
      </c>
      <c r="H1207" s="45">
        <v>4</v>
      </c>
      <c r="I1207" s="46">
        <v>149</v>
      </c>
      <c r="J1207" s="46">
        <v>0</v>
      </c>
      <c r="K1207" s="46">
        <v>596</v>
      </c>
      <c r="L1207" s="48" t="s">
        <v>44</v>
      </c>
    </row>
    <row r="1208" spans="2:12" x14ac:dyDescent="0.25">
      <c r="B1208" s="49" t="s">
        <v>1638</v>
      </c>
      <c r="C1208" s="49" t="s">
        <v>101</v>
      </c>
      <c r="D1208" s="58">
        <v>45727</v>
      </c>
      <c r="E1208" s="51" t="s">
        <v>47</v>
      </c>
      <c r="F1208" s="50" t="s">
        <v>52</v>
      </c>
      <c r="G1208" s="52" t="s">
        <v>99</v>
      </c>
      <c r="H1208" s="53">
        <v>5</v>
      </c>
      <c r="I1208" s="54">
        <v>79</v>
      </c>
      <c r="J1208" s="54">
        <v>0</v>
      </c>
      <c r="K1208" s="54">
        <v>395</v>
      </c>
      <c r="L1208" s="56" t="s">
        <v>89</v>
      </c>
    </row>
    <row r="1209" spans="2:12" x14ac:dyDescent="0.25">
      <c r="B1209" s="42" t="s">
        <v>1639</v>
      </c>
      <c r="C1209" s="42" t="s">
        <v>63</v>
      </c>
      <c r="D1209" s="57">
        <v>45819</v>
      </c>
      <c r="E1209" s="44" t="s">
        <v>29</v>
      </c>
      <c r="F1209" s="43" t="s">
        <v>52</v>
      </c>
      <c r="G1209" s="42" t="s">
        <v>61</v>
      </c>
      <c r="H1209" s="45">
        <v>2</v>
      </c>
      <c r="I1209" s="46">
        <v>199</v>
      </c>
      <c r="J1209" s="46">
        <v>37.93</v>
      </c>
      <c r="K1209" s="46">
        <v>360.07</v>
      </c>
      <c r="L1209" s="48" t="s">
        <v>49</v>
      </c>
    </row>
    <row r="1210" spans="2:12" x14ac:dyDescent="0.25">
      <c r="B1210" s="49" t="s">
        <v>1640</v>
      </c>
      <c r="C1210" s="49" t="s">
        <v>34</v>
      </c>
      <c r="D1210" s="58">
        <v>45820</v>
      </c>
      <c r="E1210" s="51" t="s">
        <v>22</v>
      </c>
      <c r="F1210" s="50" t="s">
        <v>16</v>
      </c>
      <c r="G1210" s="52" t="s">
        <v>78</v>
      </c>
      <c r="H1210" s="53">
        <v>5</v>
      </c>
      <c r="I1210" s="54">
        <v>59</v>
      </c>
      <c r="J1210" s="54">
        <v>0</v>
      </c>
      <c r="K1210" s="54">
        <v>295</v>
      </c>
      <c r="L1210" s="56" t="s">
        <v>65</v>
      </c>
    </row>
    <row r="1211" spans="2:12" x14ac:dyDescent="0.25">
      <c r="B1211" s="42" t="s">
        <v>1641</v>
      </c>
      <c r="C1211" s="42" t="s">
        <v>37</v>
      </c>
      <c r="D1211" s="57">
        <v>45984</v>
      </c>
      <c r="E1211" s="44" t="s">
        <v>47</v>
      </c>
      <c r="F1211" s="43" t="s">
        <v>30</v>
      </c>
      <c r="G1211" s="42" t="s">
        <v>152</v>
      </c>
      <c r="H1211" s="45">
        <v>1</v>
      </c>
      <c r="I1211" s="46">
        <v>4500</v>
      </c>
      <c r="J1211" s="46">
        <v>668.36</v>
      </c>
      <c r="K1211" s="46">
        <v>3831.64</v>
      </c>
      <c r="L1211" s="48" t="s">
        <v>89</v>
      </c>
    </row>
    <row r="1212" spans="2:12" x14ac:dyDescent="0.25">
      <c r="B1212" s="49" t="s">
        <v>1642</v>
      </c>
      <c r="C1212" s="49" t="s">
        <v>110</v>
      </c>
      <c r="D1212" s="58">
        <v>45771</v>
      </c>
      <c r="E1212" s="51" t="s">
        <v>22</v>
      </c>
      <c r="F1212" s="50" t="s">
        <v>30</v>
      </c>
      <c r="G1212" s="52" t="s">
        <v>152</v>
      </c>
      <c r="H1212" s="53">
        <v>1</v>
      </c>
      <c r="I1212" s="54">
        <v>4500</v>
      </c>
      <c r="J1212" s="54">
        <v>0</v>
      </c>
      <c r="K1212" s="54">
        <v>4500</v>
      </c>
      <c r="L1212" s="56" t="s">
        <v>18</v>
      </c>
    </row>
    <row r="1213" spans="2:12" x14ac:dyDescent="0.25">
      <c r="B1213" s="42" t="s">
        <v>1643</v>
      </c>
      <c r="C1213" s="42" t="s">
        <v>13</v>
      </c>
      <c r="D1213" s="57">
        <v>45662</v>
      </c>
      <c r="E1213" s="44" t="s">
        <v>39</v>
      </c>
      <c r="F1213" s="43" t="s">
        <v>52</v>
      </c>
      <c r="G1213" s="42" t="s">
        <v>99</v>
      </c>
      <c r="H1213" s="45">
        <v>2</v>
      </c>
      <c r="I1213" s="46">
        <v>79</v>
      </c>
      <c r="J1213" s="46">
        <v>13.49</v>
      </c>
      <c r="K1213" s="46">
        <v>144.51</v>
      </c>
      <c r="L1213" s="48" t="s">
        <v>69</v>
      </c>
    </row>
    <row r="1214" spans="2:12" x14ac:dyDescent="0.25">
      <c r="B1214" s="49" t="s">
        <v>1644</v>
      </c>
      <c r="C1214" s="49" t="s">
        <v>95</v>
      </c>
      <c r="D1214" s="58">
        <v>45825</v>
      </c>
      <c r="E1214" s="51" t="s">
        <v>15</v>
      </c>
      <c r="F1214" s="50" t="s">
        <v>52</v>
      </c>
      <c r="G1214" s="52" t="s">
        <v>61</v>
      </c>
      <c r="H1214" s="53">
        <v>4</v>
      </c>
      <c r="I1214" s="54">
        <v>199</v>
      </c>
      <c r="J1214" s="54">
        <v>0</v>
      </c>
      <c r="K1214" s="54">
        <v>796</v>
      </c>
      <c r="L1214" s="56" t="s">
        <v>25</v>
      </c>
    </row>
    <row r="1215" spans="2:12" x14ac:dyDescent="0.25">
      <c r="B1215" s="42" t="s">
        <v>1645</v>
      </c>
      <c r="C1215" s="42" t="s">
        <v>37</v>
      </c>
      <c r="D1215" s="57">
        <v>45820</v>
      </c>
      <c r="E1215" s="44" t="s">
        <v>47</v>
      </c>
      <c r="F1215" s="43" t="s">
        <v>52</v>
      </c>
      <c r="G1215" s="42" t="s">
        <v>75</v>
      </c>
      <c r="H1215" s="45">
        <v>4</v>
      </c>
      <c r="I1215" s="46">
        <v>249</v>
      </c>
      <c r="J1215" s="46">
        <v>55.15</v>
      </c>
      <c r="K1215" s="46">
        <v>940.85</v>
      </c>
      <c r="L1215" s="48" t="s">
        <v>25</v>
      </c>
    </row>
    <row r="1216" spans="2:12" x14ac:dyDescent="0.25">
      <c r="B1216" s="49" t="s">
        <v>1646</v>
      </c>
      <c r="C1216" s="49" t="s">
        <v>95</v>
      </c>
      <c r="D1216" s="58">
        <v>45947</v>
      </c>
      <c r="E1216" s="51" t="s">
        <v>22</v>
      </c>
      <c r="F1216" s="50" t="s">
        <v>23</v>
      </c>
      <c r="G1216" s="52" t="s">
        <v>24</v>
      </c>
      <c r="H1216" s="53">
        <v>4</v>
      </c>
      <c r="I1216" s="54">
        <v>180</v>
      </c>
      <c r="J1216" s="54">
        <v>21.59</v>
      </c>
      <c r="K1216" s="54">
        <v>698.41</v>
      </c>
      <c r="L1216" s="56" t="s">
        <v>89</v>
      </c>
    </row>
    <row r="1217" spans="2:12" x14ac:dyDescent="0.25">
      <c r="B1217" s="42" t="s">
        <v>1647</v>
      </c>
      <c r="C1217" s="42" t="s">
        <v>37</v>
      </c>
      <c r="D1217" s="57">
        <v>45885</v>
      </c>
      <c r="E1217" s="44" t="s">
        <v>29</v>
      </c>
      <c r="F1217" s="43" t="s">
        <v>52</v>
      </c>
      <c r="G1217" s="42" t="s">
        <v>53</v>
      </c>
      <c r="H1217" s="45">
        <v>2</v>
      </c>
      <c r="I1217" s="46">
        <v>149</v>
      </c>
      <c r="J1217" s="46">
        <v>0</v>
      </c>
      <c r="K1217" s="46">
        <v>298</v>
      </c>
      <c r="L1217" s="48" t="s">
        <v>69</v>
      </c>
    </row>
    <row r="1218" spans="2:12" x14ac:dyDescent="0.25">
      <c r="B1218" s="49" t="s">
        <v>1648</v>
      </c>
      <c r="C1218" s="49" t="s">
        <v>71</v>
      </c>
      <c r="D1218" s="58">
        <v>45754</v>
      </c>
      <c r="E1218" s="51" t="s">
        <v>39</v>
      </c>
      <c r="F1218" s="50" t="s">
        <v>52</v>
      </c>
      <c r="G1218" s="52" t="s">
        <v>61</v>
      </c>
      <c r="H1218" s="53">
        <v>3</v>
      </c>
      <c r="I1218" s="54">
        <v>199</v>
      </c>
      <c r="J1218" s="54">
        <v>42.97</v>
      </c>
      <c r="K1218" s="54">
        <v>554.03</v>
      </c>
      <c r="L1218" s="56" t="s">
        <v>89</v>
      </c>
    </row>
    <row r="1219" spans="2:12" x14ac:dyDescent="0.25">
      <c r="B1219" s="42" t="s">
        <v>1649</v>
      </c>
      <c r="C1219" s="42" t="s">
        <v>34</v>
      </c>
      <c r="D1219" s="57">
        <v>45804</v>
      </c>
      <c r="E1219" s="44" t="s">
        <v>22</v>
      </c>
      <c r="F1219" s="43" t="s">
        <v>23</v>
      </c>
      <c r="G1219" s="42" t="s">
        <v>48</v>
      </c>
      <c r="H1219" s="45">
        <v>4</v>
      </c>
      <c r="I1219" s="46">
        <v>450</v>
      </c>
      <c r="J1219" s="46">
        <v>135.16999999999999</v>
      </c>
      <c r="K1219" s="46">
        <v>1664.83</v>
      </c>
      <c r="L1219" s="48" t="s">
        <v>89</v>
      </c>
    </row>
    <row r="1220" spans="2:12" x14ac:dyDescent="0.25">
      <c r="B1220" s="49" t="s">
        <v>1650</v>
      </c>
      <c r="C1220" s="49" t="s">
        <v>37</v>
      </c>
      <c r="D1220" s="58">
        <v>46042</v>
      </c>
      <c r="E1220" s="51" t="s">
        <v>15</v>
      </c>
      <c r="F1220" s="50" t="s">
        <v>23</v>
      </c>
      <c r="G1220" s="52" t="s">
        <v>48</v>
      </c>
      <c r="H1220" s="53">
        <v>1</v>
      </c>
      <c r="I1220" s="54">
        <v>450</v>
      </c>
      <c r="J1220" s="54">
        <v>37.08</v>
      </c>
      <c r="K1220" s="54">
        <v>412.92</v>
      </c>
      <c r="L1220" s="56" t="s">
        <v>25</v>
      </c>
    </row>
    <row r="1221" spans="2:12" x14ac:dyDescent="0.25">
      <c r="B1221" s="42" t="s">
        <v>1651</v>
      </c>
      <c r="C1221" s="42" t="s">
        <v>20</v>
      </c>
      <c r="D1221" s="57">
        <v>45881</v>
      </c>
      <c r="E1221" s="44" t="s">
        <v>22</v>
      </c>
      <c r="F1221" s="43" t="s">
        <v>30</v>
      </c>
      <c r="G1221" s="42" t="s">
        <v>31</v>
      </c>
      <c r="H1221" s="45">
        <v>3</v>
      </c>
      <c r="I1221" s="46">
        <v>2500</v>
      </c>
      <c r="J1221" s="46">
        <v>35.43</v>
      </c>
      <c r="K1221" s="46">
        <v>7464.57</v>
      </c>
      <c r="L1221" s="48" t="s">
        <v>69</v>
      </c>
    </row>
    <row r="1222" spans="2:12" x14ac:dyDescent="0.25">
      <c r="B1222" s="49" t="s">
        <v>1652</v>
      </c>
      <c r="C1222" s="49" t="s">
        <v>37</v>
      </c>
      <c r="D1222" s="58">
        <v>45903</v>
      </c>
      <c r="E1222" s="51" t="s">
        <v>39</v>
      </c>
      <c r="F1222" s="50" t="s">
        <v>30</v>
      </c>
      <c r="G1222" s="52" t="s">
        <v>31</v>
      </c>
      <c r="H1222" s="53">
        <v>2</v>
      </c>
      <c r="I1222" s="54">
        <v>2500</v>
      </c>
      <c r="J1222" s="54">
        <v>0</v>
      </c>
      <c r="K1222" s="54">
        <v>5000</v>
      </c>
      <c r="L1222" s="56" t="s">
        <v>32</v>
      </c>
    </row>
    <row r="1223" spans="2:12" x14ac:dyDescent="0.25">
      <c r="B1223" s="42" t="s">
        <v>1653</v>
      </c>
      <c r="C1223" s="42" t="s">
        <v>41</v>
      </c>
      <c r="D1223" s="57">
        <v>45795</v>
      </c>
      <c r="E1223" s="44" t="s">
        <v>15</v>
      </c>
      <c r="F1223" s="43" t="s">
        <v>23</v>
      </c>
      <c r="G1223" s="42" t="s">
        <v>88</v>
      </c>
      <c r="H1223" s="45">
        <v>1</v>
      </c>
      <c r="I1223" s="46">
        <v>650</v>
      </c>
      <c r="J1223" s="46">
        <v>13.19</v>
      </c>
      <c r="K1223" s="46">
        <v>636.80999999999995</v>
      </c>
      <c r="L1223" s="48" t="s">
        <v>18</v>
      </c>
    </row>
    <row r="1224" spans="2:12" x14ac:dyDescent="0.25">
      <c r="B1224" s="49" t="s">
        <v>1653</v>
      </c>
      <c r="C1224" s="49" t="s">
        <v>41</v>
      </c>
      <c r="D1224" s="58">
        <v>45795</v>
      </c>
      <c r="E1224" s="51" t="s">
        <v>15</v>
      </c>
      <c r="F1224" s="50" t="s">
        <v>16</v>
      </c>
      <c r="G1224" s="52" t="s">
        <v>17</v>
      </c>
      <c r="H1224" s="53">
        <v>5</v>
      </c>
      <c r="I1224" s="54">
        <v>39</v>
      </c>
      <c r="J1224" s="54">
        <v>0</v>
      </c>
      <c r="K1224" s="54">
        <v>195</v>
      </c>
      <c r="L1224" s="56" t="s">
        <v>18</v>
      </c>
    </row>
    <row r="1225" spans="2:12" x14ac:dyDescent="0.25">
      <c r="B1225" s="42" t="s">
        <v>1654</v>
      </c>
      <c r="C1225" s="42" t="s">
        <v>20</v>
      </c>
      <c r="D1225" s="57">
        <v>46004</v>
      </c>
      <c r="E1225" s="44" t="s">
        <v>29</v>
      </c>
      <c r="F1225" s="43" t="s">
        <v>23</v>
      </c>
      <c r="G1225" s="42" t="s">
        <v>48</v>
      </c>
      <c r="H1225" s="45">
        <v>4</v>
      </c>
      <c r="I1225" s="46">
        <v>450</v>
      </c>
      <c r="J1225" s="46">
        <v>234.28</v>
      </c>
      <c r="K1225" s="46">
        <v>1565.72</v>
      </c>
      <c r="L1225" s="48" t="s">
        <v>25</v>
      </c>
    </row>
    <row r="1226" spans="2:12" x14ac:dyDescent="0.25">
      <c r="B1226" s="49" t="s">
        <v>1655</v>
      </c>
      <c r="C1226" s="49" t="s">
        <v>101</v>
      </c>
      <c r="D1226" s="58">
        <v>45756</v>
      </c>
      <c r="E1226" s="51" t="s">
        <v>47</v>
      </c>
      <c r="F1226" s="50" t="s">
        <v>23</v>
      </c>
      <c r="G1226" s="52" t="s">
        <v>48</v>
      </c>
      <c r="H1226" s="53">
        <v>1</v>
      </c>
      <c r="I1226" s="54">
        <v>450</v>
      </c>
      <c r="J1226" s="54">
        <v>0</v>
      </c>
      <c r="K1226" s="54">
        <v>450</v>
      </c>
      <c r="L1226" s="56" t="s">
        <v>69</v>
      </c>
    </row>
    <row r="1227" spans="2:12" x14ac:dyDescent="0.25">
      <c r="B1227" s="42" t="s">
        <v>1656</v>
      </c>
      <c r="C1227" s="42" t="s">
        <v>95</v>
      </c>
      <c r="D1227" s="57">
        <v>45957</v>
      </c>
      <c r="E1227" s="44" t="s">
        <v>39</v>
      </c>
      <c r="F1227" s="43" t="s">
        <v>52</v>
      </c>
      <c r="G1227" s="42" t="s">
        <v>53</v>
      </c>
      <c r="H1227" s="45">
        <v>2</v>
      </c>
      <c r="I1227" s="46">
        <v>149</v>
      </c>
      <c r="J1227" s="46">
        <v>0</v>
      </c>
      <c r="K1227" s="46">
        <v>298</v>
      </c>
      <c r="L1227" s="48" t="s">
        <v>49</v>
      </c>
    </row>
    <row r="1228" spans="2:12" x14ac:dyDescent="0.25">
      <c r="B1228" s="49" t="s">
        <v>1657</v>
      </c>
      <c r="C1228" s="49" t="s">
        <v>41</v>
      </c>
      <c r="D1228" s="58">
        <v>45717</v>
      </c>
      <c r="E1228" s="51" t="s">
        <v>15</v>
      </c>
      <c r="F1228" s="50" t="s">
        <v>16</v>
      </c>
      <c r="G1228" s="52" t="s">
        <v>103</v>
      </c>
      <c r="H1228" s="53">
        <v>3</v>
      </c>
      <c r="I1228" s="54">
        <v>89</v>
      </c>
      <c r="J1228" s="54">
        <v>0</v>
      </c>
      <c r="K1228" s="54">
        <v>267</v>
      </c>
      <c r="L1228" s="56" t="s">
        <v>89</v>
      </c>
    </row>
    <row r="1229" spans="2:12" x14ac:dyDescent="0.25">
      <c r="B1229" s="42" t="s">
        <v>1658</v>
      </c>
      <c r="C1229" s="42" t="s">
        <v>20</v>
      </c>
      <c r="D1229" s="57">
        <v>45808</v>
      </c>
      <c r="E1229" s="44" t="s">
        <v>47</v>
      </c>
      <c r="F1229" s="43" t="s">
        <v>23</v>
      </c>
      <c r="G1229" s="42" t="s">
        <v>48</v>
      </c>
      <c r="H1229" s="45">
        <v>5</v>
      </c>
      <c r="I1229" s="46">
        <v>450</v>
      </c>
      <c r="J1229" s="46">
        <v>0</v>
      </c>
      <c r="K1229" s="46">
        <v>2250</v>
      </c>
      <c r="L1229" s="48" t="s">
        <v>25</v>
      </c>
    </row>
    <row r="1230" spans="2:12" x14ac:dyDescent="0.25">
      <c r="B1230" s="49" t="s">
        <v>1659</v>
      </c>
      <c r="C1230" s="49" t="s">
        <v>95</v>
      </c>
      <c r="D1230" s="58">
        <v>46057</v>
      </c>
      <c r="E1230" s="51" t="s">
        <v>39</v>
      </c>
      <c r="F1230" s="50" t="s">
        <v>52</v>
      </c>
      <c r="G1230" s="52" t="s">
        <v>61</v>
      </c>
      <c r="H1230" s="53">
        <v>2</v>
      </c>
      <c r="I1230" s="54">
        <v>199</v>
      </c>
      <c r="J1230" s="54">
        <v>52.41</v>
      </c>
      <c r="K1230" s="54">
        <v>345.59000000000003</v>
      </c>
      <c r="L1230" s="56" t="s">
        <v>65</v>
      </c>
    </row>
    <row r="1231" spans="2:12" x14ac:dyDescent="0.25">
      <c r="B1231" s="42" t="s">
        <v>1660</v>
      </c>
      <c r="C1231" s="42" t="s">
        <v>37</v>
      </c>
      <c r="D1231" s="57">
        <v>45934</v>
      </c>
      <c r="E1231" s="44" t="s">
        <v>47</v>
      </c>
      <c r="F1231" s="43" t="s">
        <v>23</v>
      </c>
      <c r="G1231" s="42" t="s">
        <v>48</v>
      </c>
      <c r="H1231" s="45">
        <v>4</v>
      </c>
      <c r="I1231" s="46">
        <v>450</v>
      </c>
      <c r="J1231" s="46">
        <v>0</v>
      </c>
      <c r="K1231" s="46">
        <v>1800</v>
      </c>
      <c r="L1231" s="48" t="s">
        <v>18</v>
      </c>
    </row>
    <row r="1232" spans="2:12" x14ac:dyDescent="0.25">
      <c r="B1232" s="49" t="s">
        <v>1661</v>
      </c>
      <c r="C1232" s="49" t="s">
        <v>34</v>
      </c>
      <c r="D1232" s="58">
        <v>46016</v>
      </c>
      <c r="E1232" s="51" t="s">
        <v>22</v>
      </c>
      <c r="F1232" s="50" t="s">
        <v>16</v>
      </c>
      <c r="G1232" s="52" t="s">
        <v>78</v>
      </c>
      <c r="H1232" s="53">
        <v>1</v>
      </c>
      <c r="I1232" s="54">
        <v>59</v>
      </c>
      <c r="J1232" s="54">
        <v>8.6199999999999992</v>
      </c>
      <c r="K1232" s="54">
        <v>50.38</v>
      </c>
      <c r="L1232" s="56" t="s">
        <v>65</v>
      </c>
    </row>
    <row r="1233" spans="2:12" x14ac:dyDescent="0.25">
      <c r="B1233" s="42" t="s">
        <v>1662</v>
      </c>
      <c r="C1233" s="42" t="s">
        <v>63</v>
      </c>
      <c r="D1233" s="57">
        <v>45873</v>
      </c>
      <c r="E1233" s="44" t="s">
        <v>22</v>
      </c>
      <c r="F1233" s="43" t="s">
        <v>52</v>
      </c>
      <c r="G1233" s="42" t="s">
        <v>53</v>
      </c>
      <c r="H1233" s="45">
        <v>3</v>
      </c>
      <c r="I1233" s="46">
        <v>149</v>
      </c>
      <c r="J1233" s="46">
        <v>0</v>
      </c>
      <c r="K1233" s="46">
        <v>447</v>
      </c>
      <c r="L1233" s="48" t="s">
        <v>18</v>
      </c>
    </row>
    <row r="1234" spans="2:12" x14ac:dyDescent="0.25">
      <c r="B1234" s="49" t="s">
        <v>1663</v>
      </c>
      <c r="C1234" s="49" t="s">
        <v>101</v>
      </c>
      <c r="D1234" s="58">
        <v>45764</v>
      </c>
      <c r="E1234" s="51" t="s">
        <v>29</v>
      </c>
      <c r="F1234" s="50" t="s">
        <v>52</v>
      </c>
      <c r="G1234" s="52" t="s">
        <v>99</v>
      </c>
      <c r="H1234" s="53">
        <v>2</v>
      </c>
      <c r="I1234" s="54">
        <v>79</v>
      </c>
      <c r="J1234" s="54">
        <v>6.51</v>
      </c>
      <c r="K1234" s="54">
        <v>151.49</v>
      </c>
      <c r="L1234" s="56" t="s">
        <v>25</v>
      </c>
    </row>
    <row r="1235" spans="2:12" x14ac:dyDescent="0.25">
      <c r="B1235" s="42" t="s">
        <v>1664</v>
      </c>
      <c r="C1235" s="42" t="s">
        <v>101</v>
      </c>
      <c r="D1235" s="57">
        <v>45892</v>
      </c>
      <c r="E1235" s="44" t="s">
        <v>47</v>
      </c>
      <c r="F1235" s="43" t="s">
        <v>52</v>
      </c>
      <c r="G1235" s="42" t="s">
        <v>75</v>
      </c>
      <c r="H1235" s="45">
        <v>4</v>
      </c>
      <c r="I1235" s="46">
        <v>249</v>
      </c>
      <c r="J1235" s="46">
        <v>0</v>
      </c>
      <c r="K1235" s="46">
        <v>996</v>
      </c>
      <c r="L1235" s="48" t="s">
        <v>89</v>
      </c>
    </row>
    <row r="1236" spans="2:12" x14ac:dyDescent="0.25">
      <c r="B1236" s="49" t="s">
        <v>1665</v>
      </c>
      <c r="C1236" s="49" t="s">
        <v>71</v>
      </c>
      <c r="D1236" s="58">
        <v>45824</v>
      </c>
      <c r="E1236" s="51" t="s">
        <v>22</v>
      </c>
      <c r="F1236" s="50" t="s">
        <v>52</v>
      </c>
      <c r="G1236" s="52" t="s">
        <v>75</v>
      </c>
      <c r="H1236" s="53">
        <v>5</v>
      </c>
      <c r="I1236" s="54">
        <v>249</v>
      </c>
      <c r="J1236" s="54">
        <v>0</v>
      </c>
      <c r="K1236" s="54">
        <v>1245</v>
      </c>
      <c r="L1236" s="56" t="s">
        <v>44</v>
      </c>
    </row>
    <row r="1237" spans="2:12" x14ac:dyDescent="0.25">
      <c r="B1237" s="42" t="s">
        <v>1666</v>
      </c>
      <c r="C1237" s="42" t="s">
        <v>41</v>
      </c>
      <c r="D1237" s="57">
        <v>45990</v>
      </c>
      <c r="E1237" s="44" t="s">
        <v>15</v>
      </c>
      <c r="F1237" s="43" t="s">
        <v>30</v>
      </c>
      <c r="G1237" s="42" t="s">
        <v>152</v>
      </c>
      <c r="H1237" s="45">
        <v>5</v>
      </c>
      <c r="I1237" s="46">
        <v>4500</v>
      </c>
      <c r="J1237" s="46">
        <v>0</v>
      </c>
      <c r="K1237" s="46">
        <v>22500</v>
      </c>
      <c r="L1237" s="48" t="s">
        <v>18</v>
      </c>
    </row>
    <row r="1238" spans="2:12" x14ac:dyDescent="0.25">
      <c r="B1238" s="49" t="s">
        <v>1667</v>
      </c>
      <c r="C1238" s="49" t="s">
        <v>110</v>
      </c>
      <c r="D1238" s="58">
        <v>45843</v>
      </c>
      <c r="E1238" s="51" t="s">
        <v>39</v>
      </c>
      <c r="F1238" s="50" t="s">
        <v>23</v>
      </c>
      <c r="G1238" s="52" t="s">
        <v>24</v>
      </c>
      <c r="H1238" s="53">
        <v>5</v>
      </c>
      <c r="I1238" s="54">
        <v>180</v>
      </c>
      <c r="J1238" s="54">
        <v>0</v>
      </c>
      <c r="K1238" s="54">
        <v>900</v>
      </c>
      <c r="L1238" s="56" t="s">
        <v>44</v>
      </c>
    </row>
    <row r="1239" spans="2:12" x14ac:dyDescent="0.25">
      <c r="B1239" s="42" t="s">
        <v>1668</v>
      </c>
      <c r="C1239" s="42" t="s">
        <v>71</v>
      </c>
      <c r="D1239" s="57">
        <v>45904</v>
      </c>
      <c r="E1239" s="44" t="s">
        <v>47</v>
      </c>
      <c r="F1239" s="43" t="s">
        <v>30</v>
      </c>
      <c r="G1239" s="42" t="s">
        <v>31</v>
      </c>
      <c r="H1239" s="45">
        <v>4</v>
      </c>
      <c r="I1239" s="46">
        <v>2500</v>
      </c>
      <c r="J1239" s="46">
        <v>1030.42</v>
      </c>
      <c r="K1239" s="46">
        <v>8969.58</v>
      </c>
      <c r="L1239" s="48" t="s">
        <v>65</v>
      </c>
    </row>
    <row r="1240" spans="2:12" x14ac:dyDescent="0.25">
      <c r="B1240" s="49" t="s">
        <v>1669</v>
      </c>
      <c r="C1240" s="49" t="s">
        <v>95</v>
      </c>
      <c r="D1240" s="58">
        <v>45681</v>
      </c>
      <c r="E1240" s="51" t="s">
        <v>29</v>
      </c>
      <c r="F1240" s="50" t="s">
        <v>23</v>
      </c>
      <c r="G1240" s="52" t="s">
        <v>24</v>
      </c>
      <c r="H1240" s="53">
        <v>2</v>
      </c>
      <c r="I1240" s="54">
        <v>180</v>
      </c>
      <c r="J1240" s="54">
        <v>0</v>
      </c>
      <c r="K1240" s="54">
        <v>360</v>
      </c>
      <c r="L1240" s="56" t="s">
        <v>18</v>
      </c>
    </row>
    <row r="1241" spans="2:12" x14ac:dyDescent="0.25">
      <c r="B1241" s="42" t="s">
        <v>1670</v>
      </c>
      <c r="C1241" s="42" t="s">
        <v>95</v>
      </c>
      <c r="D1241" s="57">
        <v>45749</v>
      </c>
      <c r="E1241" s="44" t="s">
        <v>47</v>
      </c>
      <c r="F1241" s="43" t="s">
        <v>16</v>
      </c>
      <c r="G1241" s="42" t="s">
        <v>78</v>
      </c>
      <c r="H1241" s="45">
        <v>4</v>
      </c>
      <c r="I1241" s="46">
        <v>59</v>
      </c>
      <c r="J1241" s="46">
        <v>30.76</v>
      </c>
      <c r="K1241" s="46">
        <v>205.24</v>
      </c>
      <c r="L1241" s="48" t="s">
        <v>69</v>
      </c>
    </row>
    <row r="1242" spans="2:12" x14ac:dyDescent="0.25">
      <c r="B1242" s="49" t="s">
        <v>1671</v>
      </c>
      <c r="C1242" s="49" t="s">
        <v>110</v>
      </c>
      <c r="D1242" s="58">
        <v>45854</v>
      </c>
      <c r="E1242" s="51" t="s">
        <v>22</v>
      </c>
      <c r="F1242" s="50" t="s">
        <v>16</v>
      </c>
      <c r="G1242" s="52" t="s">
        <v>78</v>
      </c>
      <c r="H1242" s="53">
        <v>4</v>
      </c>
      <c r="I1242" s="54">
        <v>59</v>
      </c>
      <c r="J1242" s="54">
        <v>25</v>
      </c>
      <c r="K1242" s="54">
        <v>211</v>
      </c>
      <c r="L1242" s="56" t="s">
        <v>49</v>
      </c>
    </row>
    <row r="1243" spans="2:12" x14ac:dyDescent="0.25">
      <c r="B1243" s="42" t="s">
        <v>1672</v>
      </c>
      <c r="C1243" s="42" t="s">
        <v>63</v>
      </c>
      <c r="D1243" s="57">
        <v>45963</v>
      </c>
      <c r="E1243" s="44" t="s">
        <v>29</v>
      </c>
      <c r="F1243" s="43" t="s">
        <v>52</v>
      </c>
      <c r="G1243" s="42" t="s">
        <v>61</v>
      </c>
      <c r="H1243" s="45">
        <v>2</v>
      </c>
      <c r="I1243" s="46">
        <v>199</v>
      </c>
      <c r="J1243" s="46">
        <v>12.68</v>
      </c>
      <c r="K1243" s="46">
        <v>385.32</v>
      </c>
      <c r="L1243" s="48" t="s">
        <v>25</v>
      </c>
    </row>
    <row r="1244" spans="2:12" x14ac:dyDescent="0.25">
      <c r="B1244" s="49" t="s">
        <v>1674</v>
      </c>
      <c r="C1244" s="49" t="s">
        <v>37</v>
      </c>
      <c r="D1244" s="58">
        <v>45681</v>
      </c>
      <c r="E1244" s="51" t="s">
        <v>22</v>
      </c>
      <c r="F1244" s="50" t="s">
        <v>52</v>
      </c>
      <c r="G1244" s="52" t="s">
        <v>99</v>
      </c>
      <c r="H1244" s="53">
        <v>4</v>
      </c>
      <c r="I1244" s="54">
        <v>79</v>
      </c>
      <c r="J1244" s="54">
        <v>0</v>
      </c>
      <c r="K1244" s="54">
        <v>316</v>
      </c>
      <c r="L1244" s="56" t="s">
        <v>65</v>
      </c>
    </row>
    <row r="1245" spans="2:12" x14ac:dyDescent="0.25">
      <c r="B1245" s="42" t="s">
        <v>1675</v>
      </c>
      <c r="C1245" s="42" t="s">
        <v>63</v>
      </c>
      <c r="D1245" s="57">
        <v>45756</v>
      </c>
      <c r="E1245" s="44" t="s">
        <v>29</v>
      </c>
      <c r="F1245" s="43" t="s">
        <v>52</v>
      </c>
      <c r="G1245" s="42" t="s">
        <v>53</v>
      </c>
      <c r="H1245" s="45">
        <v>1</v>
      </c>
      <c r="I1245" s="46">
        <v>149</v>
      </c>
      <c r="J1245" s="46">
        <v>0</v>
      </c>
      <c r="K1245" s="46">
        <v>149</v>
      </c>
      <c r="L1245" s="48" t="s">
        <v>49</v>
      </c>
    </row>
    <row r="1246" spans="2:12" x14ac:dyDescent="0.25">
      <c r="B1246" s="49" t="s">
        <v>1676</v>
      </c>
      <c r="C1246" s="49" t="s">
        <v>13</v>
      </c>
      <c r="D1246" s="58">
        <v>45726</v>
      </c>
      <c r="E1246" s="51" t="s">
        <v>47</v>
      </c>
      <c r="F1246" s="50" t="s">
        <v>23</v>
      </c>
      <c r="G1246" s="52" t="s">
        <v>48</v>
      </c>
      <c r="H1246" s="53">
        <v>1</v>
      </c>
      <c r="I1246" s="54">
        <v>450</v>
      </c>
      <c r="J1246" s="54">
        <v>0</v>
      </c>
      <c r="K1246" s="54">
        <v>450</v>
      </c>
      <c r="L1246" s="56" t="s">
        <v>18</v>
      </c>
    </row>
    <row r="1247" spans="2:12" x14ac:dyDescent="0.25">
      <c r="B1247" s="42" t="s">
        <v>1677</v>
      </c>
      <c r="C1247" s="42" t="s">
        <v>41</v>
      </c>
      <c r="D1247" s="57">
        <v>45757</v>
      </c>
      <c r="E1247" s="44" t="s">
        <v>22</v>
      </c>
      <c r="F1247" s="43" t="s">
        <v>16</v>
      </c>
      <c r="G1247" s="42" t="s">
        <v>17</v>
      </c>
      <c r="H1247" s="45">
        <v>1</v>
      </c>
      <c r="I1247" s="46">
        <v>39</v>
      </c>
      <c r="J1247" s="46">
        <v>0</v>
      </c>
      <c r="K1247" s="46">
        <v>39</v>
      </c>
      <c r="L1247" s="48" t="s">
        <v>18</v>
      </c>
    </row>
    <row r="1248" spans="2:12" x14ac:dyDescent="0.25">
      <c r="B1248" s="49" t="s">
        <v>1678</v>
      </c>
      <c r="C1248" s="49" t="s">
        <v>34</v>
      </c>
      <c r="D1248" s="58">
        <v>45803</v>
      </c>
      <c r="E1248" s="51" t="s">
        <v>22</v>
      </c>
      <c r="F1248" s="50" t="s">
        <v>23</v>
      </c>
      <c r="G1248" s="52" t="s">
        <v>24</v>
      </c>
      <c r="H1248" s="53">
        <v>1</v>
      </c>
      <c r="I1248" s="54">
        <v>180</v>
      </c>
      <c r="J1248" s="54">
        <v>0</v>
      </c>
      <c r="K1248" s="54">
        <v>180</v>
      </c>
      <c r="L1248" s="56" t="s">
        <v>89</v>
      </c>
    </row>
    <row r="1249" spans="2:12" x14ac:dyDescent="0.25">
      <c r="B1249" s="42" t="s">
        <v>1679</v>
      </c>
      <c r="C1249" s="42" t="s">
        <v>63</v>
      </c>
      <c r="D1249" s="57">
        <v>46053</v>
      </c>
      <c r="E1249" s="44" t="s">
        <v>29</v>
      </c>
      <c r="F1249" s="43" t="s">
        <v>30</v>
      </c>
      <c r="G1249" s="42" t="s">
        <v>106</v>
      </c>
      <c r="H1249" s="45">
        <v>5</v>
      </c>
      <c r="I1249" s="46">
        <v>299</v>
      </c>
      <c r="J1249" s="46">
        <v>30.07</v>
      </c>
      <c r="K1249" s="46">
        <v>1464.93</v>
      </c>
      <c r="L1249" s="48" t="s">
        <v>69</v>
      </c>
    </row>
    <row r="1250" spans="2:12" x14ac:dyDescent="0.25">
      <c r="B1250" s="49" t="s">
        <v>1680</v>
      </c>
      <c r="C1250" s="49" t="s">
        <v>101</v>
      </c>
      <c r="D1250" s="58">
        <v>45765</v>
      </c>
      <c r="E1250" s="51" t="s">
        <v>47</v>
      </c>
      <c r="F1250" s="50" t="s">
        <v>23</v>
      </c>
      <c r="G1250" s="52" t="s">
        <v>43</v>
      </c>
      <c r="H1250" s="53">
        <v>2</v>
      </c>
      <c r="I1250" s="54">
        <v>350</v>
      </c>
      <c r="J1250" s="54">
        <v>45.7</v>
      </c>
      <c r="K1250" s="54">
        <v>654.29999999999995</v>
      </c>
      <c r="L1250" s="56" t="s">
        <v>49</v>
      </c>
    </row>
    <row r="1251" spans="2:12" x14ac:dyDescent="0.25">
      <c r="B1251" s="42" t="s">
        <v>1681</v>
      </c>
      <c r="C1251" s="42" t="s">
        <v>34</v>
      </c>
      <c r="D1251" s="57">
        <v>45748</v>
      </c>
      <c r="E1251" s="44" t="s">
        <v>15</v>
      </c>
      <c r="F1251" s="43" t="s">
        <v>52</v>
      </c>
      <c r="G1251" s="42" t="s">
        <v>75</v>
      </c>
      <c r="H1251" s="45">
        <v>3</v>
      </c>
      <c r="I1251" s="46">
        <v>249</v>
      </c>
      <c r="J1251" s="46">
        <v>31.68</v>
      </c>
      <c r="K1251" s="46">
        <v>715.32</v>
      </c>
      <c r="L1251" s="48" t="s">
        <v>69</v>
      </c>
    </row>
    <row r="1252" spans="2:12" x14ac:dyDescent="0.25">
      <c r="B1252" s="49" t="s">
        <v>1681</v>
      </c>
      <c r="C1252" s="49" t="s">
        <v>34</v>
      </c>
      <c r="D1252" s="58">
        <v>45748</v>
      </c>
      <c r="E1252" s="51" t="s">
        <v>47</v>
      </c>
      <c r="F1252" s="50" t="s">
        <v>30</v>
      </c>
      <c r="G1252" s="52" t="s">
        <v>31</v>
      </c>
      <c r="H1252" s="53">
        <v>4</v>
      </c>
      <c r="I1252" s="54">
        <v>2500</v>
      </c>
      <c r="J1252" s="54">
        <v>0</v>
      </c>
      <c r="K1252" s="54">
        <v>10000</v>
      </c>
      <c r="L1252" s="56" t="s">
        <v>69</v>
      </c>
    </row>
    <row r="1253" spans="2:12" x14ac:dyDescent="0.25">
      <c r="B1253" s="42" t="s">
        <v>1682</v>
      </c>
      <c r="C1253" s="42" t="s">
        <v>95</v>
      </c>
      <c r="D1253" s="57">
        <v>45996</v>
      </c>
      <c r="E1253" s="44" t="s">
        <v>22</v>
      </c>
      <c r="F1253" s="43" t="s">
        <v>16</v>
      </c>
      <c r="G1253" s="42" t="s">
        <v>116</v>
      </c>
      <c r="H1253" s="45">
        <v>5</v>
      </c>
      <c r="I1253" s="46">
        <v>45</v>
      </c>
      <c r="J1253" s="46">
        <v>8.09</v>
      </c>
      <c r="K1253" s="46">
        <v>216.91</v>
      </c>
      <c r="L1253" s="48" t="s">
        <v>32</v>
      </c>
    </row>
    <row r="1254" spans="2:12" x14ac:dyDescent="0.25">
      <c r="B1254" s="49" t="s">
        <v>1683</v>
      </c>
      <c r="C1254" s="49" t="s">
        <v>34</v>
      </c>
      <c r="D1254" s="58">
        <v>45947</v>
      </c>
      <c r="E1254" s="51" t="s">
        <v>22</v>
      </c>
      <c r="F1254" s="50" t="s">
        <v>30</v>
      </c>
      <c r="G1254" s="52" t="s">
        <v>31</v>
      </c>
      <c r="H1254" s="53">
        <v>5</v>
      </c>
      <c r="I1254" s="54">
        <v>2500</v>
      </c>
      <c r="J1254" s="54">
        <v>0</v>
      </c>
      <c r="K1254" s="54">
        <v>12500</v>
      </c>
      <c r="L1254" s="56" t="s">
        <v>89</v>
      </c>
    </row>
    <row r="1255" spans="2:12" x14ac:dyDescent="0.25">
      <c r="B1255" s="42" t="s">
        <v>1684</v>
      </c>
      <c r="C1255" s="42" t="s">
        <v>71</v>
      </c>
      <c r="D1255" s="57">
        <v>45810</v>
      </c>
      <c r="E1255" s="44" t="s">
        <v>22</v>
      </c>
      <c r="F1255" s="43" t="s">
        <v>30</v>
      </c>
      <c r="G1255" s="42" t="s">
        <v>106</v>
      </c>
      <c r="H1255" s="45">
        <v>3</v>
      </c>
      <c r="I1255" s="46">
        <v>299</v>
      </c>
      <c r="J1255" s="46">
        <v>61.02</v>
      </c>
      <c r="K1255" s="46">
        <v>835.98</v>
      </c>
      <c r="L1255" s="48" t="s">
        <v>18</v>
      </c>
    </row>
    <row r="1256" spans="2:12" x14ac:dyDescent="0.25">
      <c r="B1256" s="49" t="s">
        <v>1686</v>
      </c>
      <c r="C1256" s="49" t="s">
        <v>71</v>
      </c>
      <c r="D1256" s="58">
        <v>45808</v>
      </c>
      <c r="E1256" s="51" t="s">
        <v>47</v>
      </c>
      <c r="F1256" s="50" t="s">
        <v>30</v>
      </c>
      <c r="G1256" s="52" t="s">
        <v>31</v>
      </c>
      <c r="H1256" s="53">
        <v>3</v>
      </c>
      <c r="I1256" s="54">
        <v>2500</v>
      </c>
      <c r="J1256" s="54">
        <v>314.16000000000003</v>
      </c>
      <c r="K1256" s="54">
        <v>7185.84</v>
      </c>
      <c r="L1256" s="56" t="s">
        <v>65</v>
      </c>
    </row>
    <row r="1257" spans="2:12" x14ac:dyDescent="0.25">
      <c r="B1257" s="42" t="s">
        <v>1687</v>
      </c>
      <c r="C1257" s="42" t="s">
        <v>37</v>
      </c>
      <c r="D1257" s="57">
        <v>46054</v>
      </c>
      <c r="E1257" s="44" t="s">
        <v>15</v>
      </c>
      <c r="F1257" s="43" t="s">
        <v>52</v>
      </c>
      <c r="G1257" s="42" t="s">
        <v>53</v>
      </c>
      <c r="H1257" s="45">
        <v>3</v>
      </c>
      <c r="I1257" s="46">
        <v>149</v>
      </c>
      <c r="J1257" s="46">
        <v>19.920000000000002</v>
      </c>
      <c r="K1257" s="46">
        <v>427.08</v>
      </c>
      <c r="L1257" s="48" t="s">
        <v>44</v>
      </c>
    </row>
    <row r="1258" spans="2:12" x14ac:dyDescent="0.25">
      <c r="B1258" s="49" t="s">
        <v>1688</v>
      </c>
      <c r="C1258" s="49" t="s">
        <v>110</v>
      </c>
      <c r="D1258" s="58">
        <v>45836</v>
      </c>
      <c r="E1258" s="51" t="s">
        <v>22</v>
      </c>
      <c r="F1258" s="50" t="s">
        <v>23</v>
      </c>
      <c r="G1258" s="52" t="s">
        <v>48</v>
      </c>
      <c r="H1258" s="53">
        <v>4</v>
      </c>
      <c r="I1258" s="54">
        <v>450</v>
      </c>
      <c r="J1258" s="54">
        <v>123.46</v>
      </c>
      <c r="K1258" s="54">
        <v>1676.54</v>
      </c>
      <c r="L1258" s="56" t="s">
        <v>89</v>
      </c>
    </row>
  </sheetData>
  <autoFilter ref="B2:L1258" xr:uid="{F76FBD16-82C3-4C77-844B-68D193D9EE41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B011-FC09-491C-93AC-77DD25C7D17A}">
  <dimension ref="B2:C19"/>
  <sheetViews>
    <sheetView workbookViewId="0">
      <selection activeCell="K27" sqref="K27"/>
    </sheetView>
  </sheetViews>
  <sheetFormatPr defaultRowHeight="15" x14ac:dyDescent="0.25"/>
  <cols>
    <col min="2" max="2" width="14.28515625" bestFit="1" customWidth="1"/>
    <col min="3" max="3" width="21.85546875" style="19" bestFit="1" customWidth="1"/>
    <col min="4" max="9" width="6" bestFit="1" customWidth="1"/>
    <col min="10" max="10" width="6.140625" customWidth="1"/>
    <col min="11" max="18" width="6" bestFit="1" customWidth="1"/>
    <col min="19" max="19" width="5" bestFit="1" customWidth="1"/>
    <col min="20" max="20" width="3" bestFit="1" customWidth="1"/>
    <col min="21" max="28" width="6" bestFit="1" customWidth="1"/>
    <col min="29" max="29" width="3" bestFit="1" customWidth="1"/>
    <col min="30" max="40" width="6" bestFit="1" customWidth="1"/>
    <col min="41" max="41" width="5" bestFit="1" customWidth="1"/>
    <col min="42" max="47" width="6" bestFit="1" customWidth="1"/>
    <col min="48" max="48" width="5" bestFit="1" customWidth="1"/>
    <col min="49" max="50" width="6" bestFit="1" customWidth="1"/>
    <col min="51" max="51" width="3" bestFit="1" customWidth="1"/>
    <col min="52" max="52" width="6" bestFit="1" customWidth="1"/>
    <col min="53" max="53" width="3" bestFit="1" customWidth="1"/>
    <col min="54" max="60" width="6" bestFit="1" customWidth="1"/>
    <col min="61" max="61" width="5" bestFit="1" customWidth="1"/>
    <col min="62" max="62" width="6" bestFit="1" customWidth="1"/>
    <col min="63" max="64" width="3" bestFit="1" customWidth="1"/>
    <col min="65" max="84" width="7" bestFit="1" customWidth="1"/>
    <col min="85" max="85" width="4" bestFit="1" customWidth="1"/>
    <col min="86" max="86" width="7" bestFit="1" customWidth="1"/>
    <col min="87" max="87" width="4" bestFit="1" customWidth="1"/>
    <col min="88" max="91" width="7" bestFit="1" customWidth="1"/>
    <col min="92" max="92" width="6" bestFit="1" customWidth="1"/>
    <col min="93" max="97" width="7" bestFit="1" customWidth="1"/>
    <col min="98" max="98" width="4" bestFit="1" customWidth="1"/>
    <col min="99" max="109" width="7" bestFit="1" customWidth="1"/>
    <col min="110" max="110" width="4" bestFit="1" customWidth="1"/>
    <col min="111" max="116" width="7" bestFit="1" customWidth="1"/>
    <col min="117" max="117" width="6" bestFit="1" customWidth="1"/>
    <col min="118" max="122" width="7" bestFit="1" customWidth="1"/>
    <col min="123" max="123" width="4" bestFit="1" customWidth="1"/>
    <col min="124" max="125" width="7" bestFit="1" customWidth="1"/>
    <col min="126" max="126" width="6" bestFit="1" customWidth="1"/>
    <col min="127" max="127" width="4" bestFit="1" customWidth="1"/>
    <col min="128" max="138" width="7" bestFit="1" customWidth="1"/>
    <col min="139" max="139" width="4" bestFit="1" customWidth="1"/>
    <col min="140" max="151" width="7" bestFit="1" customWidth="1"/>
    <col min="152" max="152" width="4" bestFit="1" customWidth="1"/>
    <col min="153" max="153" width="6" bestFit="1" customWidth="1"/>
    <col min="154" max="154" width="7" bestFit="1" customWidth="1"/>
    <col min="155" max="155" width="6" bestFit="1" customWidth="1"/>
    <col min="156" max="156" width="4" bestFit="1" customWidth="1"/>
    <col min="157" max="158" width="7" bestFit="1" customWidth="1"/>
    <col min="159" max="159" width="4" bestFit="1" customWidth="1"/>
    <col min="160" max="166" width="7" bestFit="1" customWidth="1"/>
    <col min="167" max="167" width="4" bestFit="1" customWidth="1"/>
    <col min="168" max="170" width="7" bestFit="1" customWidth="1"/>
    <col min="171" max="171" width="4" bestFit="1" customWidth="1"/>
    <col min="172" max="173" width="7" bestFit="1" customWidth="1"/>
    <col min="174" max="174" width="6" bestFit="1" customWidth="1"/>
    <col min="175" max="182" width="7" bestFit="1" customWidth="1"/>
    <col min="183" max="183" width="4" bestFit="1" customWidth="1"/>
    <col min="184" max="186" width="7" bestFit="1" customWidth="1"/>
    <col min="187" max="187" width="6" bestFit="1" customWidth="1"/>
    <col min="188" max="193" width="7" bestFit="1" customWidth="1"/>
    <col min="194" max="194" width="6" bestFit="1" customWidth="1"/>
    <col min="195" max="200" width="7" bestFit="1" customWidth="1"/>
    <col min="201" max="201" width="4" bestFit="1" customWidth="1"/>
    <col min="202" max="209" width="7" bestFit="1" customWidth="1"/>
    <col min="210" max="210" width="4" bestFit="1" customWidth="1"/>
    <col min="211" max="211" width="7" bestFit="1" customWidth="1"/>
    <col min="212" max="212" width="4" bestFit="1" customWidth="1"/>
    <col min="213" max="214" width="7" bestFit="1" customWidth="1"/>
    <col min="215" max="215" width="4" bestFit="1" customWidth="1"/>
    <col min="216" max="222" width="7" bestFit="1" customWidth="1"/>
    <col min="223" max="223" width="4" bestFit="1" customWidth="1"/>
    <col min="224" max="234" width="7" bestFit="1" customWidth="1"/>
    <col min="235" max="235" width="6" bestFit="1" customWidth="1"/>
    <col min="236" max="246" width="7" bestFit="1" customWidth="1"/>
    <col min="247" max="247" width="6" bestFit="1" customWidth="1"/>
    <col min="248" max="249" width="7" bestFit="1" customWidth="1"/>
    <col min="250" max="250" width="4" bestFit="1" customWidth="1"/>
    <col min="251" max="252" width="7" bestFit="1" customWidth="1"/>
    <col min="253" max="254" width="4" bestFit="1" customWidth="1"/>
    <col min="255" max="260" width="7" bestFit="1" customWidth="1"/>
    <col min="261" max="261" width="4" bestFit="1" customWidth="1"/>
    <col min="262" max="265" width="7" bestFit="1" customWidth="1"/>
    <col min="266" max="266" width="6" bestFit="1" customWidth="1"/>
    <col min="267" max="276" width="7" bestFit="1" customWidth="1"/>
    <col min="277" max="277" width="6" bestFit="1" customWidth="1"/>
    <col min="278" max="279" width="7" bestFit="1" customWidth="1"/>
    <col min="280" max="280" width="4" bestFit="1" customWidth="1"/>
    <col min="281" max="281" width="7" bestFit="1" customWidth="1"/>
    <col min="282" max="282" width="4" bestFit="1" customWidth="1"/>
    <col min="283" max="284" width="6" bestFit="1" customWidth="1"/>
    <col min="285" max="285" width="4" bestFit="1" customWidth="1"/>
    <col min="286" max="291" width="7" bestFit="1" customWidth="1"/>
    <col min="292" max="292" width="6" bestFit="1" customWidth="1"/>
    <col min="293" max="298" width="7" bestFit="1" customWidth="1"/>
    <col min="299" max="299" width="4" bestFit="1" customWidth="1"/>
    <col min="300" max="300" width="7" bestFit="1" customWidth="1"/>
    <col min="301" max="301" width="4" bestFit="1" customWidth="1"/>
    <col min="302" max="306" width="7" bestFit="1" customWidth="1"/>
    <col min="307" max="307" width="6" bestFit="1" customWidth="1"/>
    <col min="308" max="316" width="7" bestFit="1" customWidth="1"/>
    <col min="317" max="317" width="4" bestFit="1" customWidth="1"/>
    <col min="318" max="321" width="7" bestFit="1" customWidth="1"/>
    <col min="322" max="322" width="4" bestFit="1" customWidth="1"/>
    <col min="323" max="323" width="7" bestFit="1" customWidth="1"/>
    <col min="324" max="325" width="4" bestFit="1" customWidth="1"/>
    <col min="326" max="327" width="7" bestFit="1" customWidth="1"/>
    <col min="328" max="328" width="6" bestFit="1" customWidth="1"/>
    <col min="329" max="332" width="7" bestFit="1" customWidth="1"/>
    <col min="333" max="333" width="6" bestFit="1" customWidth="1"/>
    <col min="334" max="334" width="4" bestFit="1" customWidth="1"/>
    <col min="335" max="337" width="7" bestFit="1" customWidth="1"/>
    <col min="338" max="338" width="6" bestFit="1" customWidth="1"/>
    <col min="339" max="346" width="7" bestFit="1" customWidth="1"/>
    <col min="347" max="347" width="4" bestFit="1" customWidth="1"/>
    <col min="348" max="351" width="7" bestFit="1" customWidth="1"/>
    <col min="352" max="352" width="4" bestFit="1" customWidth="1"/>
    <col min="353" max="360" width="7" bestFit="1" customWidth="1"/>
    <col min="361" max="361" width="6" bestFit="1" customWidth="1"/>
    <col min="362" max="370" width="7" bestFit="1" customWidth="1"/>
    <col min="371" max="373" width="4" bestFit="1" customWidth="1"/>
    <col min="374" max="375" width="7" bestFit="1" customWidth="1"/>
    <col min="376" max="376" width="6" bestFit="1" customWidth="1"/>
    <col min="377" max="377" width="7" bestFit="1" customWidth="1"/>
    <col min="378" max="378" width="6" bestFit="1" customWidth="1"/>
    <col min="379" max="379" width="7" bestFit="1" customWidth="1"/>
    <col min="380" max="380" width="6" bestFit="1" customWidth="1"/>
    <col min="381" max="382" width="7" bestFit="1" customWidth="1"/>
    <col min="383" max="383" width="6" bestFit="1" customWidth="1"/>
    <col min="384" max="386" width="7" bestFit="1" customWidth="1"/>
    <col min="387" max="387" width="6" bestFit="1" customWidth="1"/>
    <col min="388" max="389" width="7" bestFit="1" customWidth="1"/>
    <col min="390" max="390" width="6" bestFit="1" customWidth="1"/>
    <col min="391" max="394" width="7" bestFit="1" customWidth="1"/>
    <col min="395" max="395" width="4" bestFit="1" customWidth="1"/>
    <col min="396" max="396" width="6" bestFit="1" customWidth="1"/>
    <col min="397" max="404" width="7" bestFit="1" customWidth="1"/>
    <col min="405" max="405" width="6" bestFit="1" customWidth="1"/>
    <col min="406" max="411" width="7" bestFit="1" customWidth="1"/>
    <col min="412" max="412" width="4" bestFit="1" customWidth="1"/>
    <col min="413" max="423" width="7" bestFit="1" customWidth="1"/>
    <col min="424" max="424" width="4" bestFit="1" customWidth="1"/>
    <col min="425" max="430" width="7" bestFit="1" customWidth="1"/>
    <col min="431" max="432" width="4" bestFit="1" customWidth="1"/>
    <col min="433" max="444" width="7" bestFit="1" customWidth="1"/>
    <col min="445" max="445" width="6" bestFit="1" customWidth="1"/>
    <col min="446" max="446" width="7" bestFit="1" customWidth="1"/>
    <col min="447" max="447" width="4" bestFit="1" customWidth="1"/>
    <col min="448" max="448" width="6" bestFit="1" customWidth="1"/>
    <col min="449" max="449" width="7" bestFit="1" customWidth="1"/>
    <col min="450" max="450" width="4" bestFit="1" customWidth="1"/>
    <col min="451" max="452" width="7" bestFit="1" customWidth="1"/>
    <col min="453" max="453" width="6" bestFit="1" customWidth="1"/>
    <col min="454" max="463" width="7" bestFit="1" customWidth="1"/>
    <col min="464" max="464" width="6" bestFit="1" customWidth="1"/>
    <col min="465" max="468" width="7" bestFit="1" customWidth="1"/>
    <col min="469" max="469" width="4" bestFit="1" customWidth="1"/>
    <col min="470" max="470" width="7" bestFit="1" customWidth="1"/>
    <col min="471" max="471" width="4" bestFit="1" customWidth="1"/>
    <col min="472" max="479" width="7" bestFit="1" customWidth="1"/>
    <col min="480" max="481" width="4" bestFit="1" customWidth="1"/>
    <col min="482" max="486" width="8" bestFit="1" customWidth="1"/>
    <col min="487" max="487" width="5" bestFit="1" customWidth="1"/>
    <col min="488" max="490" width="8" bestFit="1" customWidth="1"/>
    <col min="491" max="492" width="7" bestFit="1" customWidth="1"/>
    <col min="493" max="499" width="8" bestFit="1" customWidth="1"/>
    <col min="500" max="501" width="7" bestFit="1" customWidth="1"/>
    <col min="502" max="504" width="8" bestFit="1" customWidth="1"/>
    <col min="505" max="505" width="5" bestFit="1" customWidth="1"/>
    <col min="506" max="514" width="8" bestFit="1" customWidth="1"/>
    <col min="515" max="515" width="5" bestFit="1" customWidth="1"/>
    <col min="516" max="524" width="8" bestFit="1" customWidth="1"/>
    <col min="525" max="525" width="5" bestFit="1" customWidth="1"/>
    <col min="526" max="529" width="8" bestFit="1" customWidth="1"/>
    <col min="530" max="530" width="5" bestFit="1" customWidth="1"/>
    <col min="531" max="532" width="8" bestFit="1" customWidth="1"/>
    <col min="533" max="533" width="5" bestFit="1" customWidth="1"/>
    <col min="534" max="537" width="8" bestFit="1" customWidth="1"/>
    <col min="538" max="538" width="5" bestFit="1" customWidth="1"/>
    <col min="539" max="541" width="8" bestFit="1" customWidth="1"/>
    <col min="542" max="542" width="7" bestFit="1" customWidth="1"/>
    <col min="543" max="544" width="8" bestFit="1" customWidth="1"/>
    <col min="545" max="545" width="5" bestFit="1" customWidth="1"/>
    <col min="546" max="552" width="8" bestFit="1" customWidth="1"/>
    <col min="553" max="553" width="7" bestFit="1" customWidth="1"/>
    <col min="554" max="559" width="8" bestFit="1" customWidth="1"/>
    <col min="560" max="560" width="7" bestFit="1" customWidth="1"/>
    <col min="561" max="561" width="8" bestFit="1" customWidth="1"/>
    <col min="562" max="562" width="5" bestFit="1" customWidth="1"/>
    <col min="563" max="569" width="8" bestFit="1" customWidth="1"/>
    <col min="570" max="570" width="5" bestFit="1" customWidth="1"/>
    <col min="571" max="575" width="8" bestFit="1" customWidth="1"/>
    <col min="576" max="576" width="5" bestFit="1" customWidth="1"/>
    <col min="577" max="587" width="8" bestFit="1" customWidth="1"/>
    <col min="588" max="589" width="7" bestFit="1" customWidth="1"/>
    <col min="590" max="590" width="5" bestFit="1" customWidth="1"/>
    <col min="591" max="596" width="8" bestFit="1" customWidth="1"/>
    <col min="597" max="597" width="5" bestFit="1" customWidth="1"/>
    <col min="598" max="600" width="8" bestFit="1" customWidth="1"/>
    <col min="601" max="601" width="5" bestFit="1" customWidth="1"/>
    <col min="602" max="604" width="8" bestFit="1" customWidth="1"/>
    <col min="605" max="605" width="5" bestFit="1" customWidth="1"/>
    <col min="606" max="606" width="8" bestFit="1" customWidth="1"/>
    <col min="607" max="607" width="7" bestFit="1" customWidth="1"/>
    <col min="608" max="617" width="8" bestFit="1" customWidth="1"/>
    <col min="618" max="618" width="7" bestFit="1" customWidth="1"/>
    <col min="619" max="619" width="8" bestFit="1" customWidth="1"/>
    <col min="620" max="621" width="7" bestFit="1" customWidth="1"/>
    <col min="622" max="622" width="8" bestFit="1" customWidth="1"/>
    <col min="623" max="623" width="5" bestFit="1" customWidth="1"/>
    <col min="624" max="624" width="8" bestFit="1" customWidth="1"/>
    <col min="625" max="625" width="5" bestFit="1" customWidth="1"/>
    <col min="626" max="636" width="8" bestFit="1" customWidth="1"/>
    <col min="637" max="637" width="5" bestFit="1" customWidth="1"/>
    <col min="638" max="642" width="8" bestFit="1" customWidth="1"/>
    <col min="643" max="643" width="5" bestFit="1" customWidth="1"/>
    <col min="644" max="647" width="8" bestFit="1" customWidth="1"/>
    <col min="648" max="648" width="5" bestFit="1" customWidth="1"/>
    <col min="649" max="656" width="8" bestFit="1" customWidth="1"/>
    <col min="657" max="657" width="5" bestFit="1" customWidth="1"/>
    <col min="658" max="672" width="8" bestFit="1" customWidth="1"/>
    <col min="673" max="673" width="5" bestFit="1" customWidth="1"/>
    <col min="674" max="675" width="8" bestFit="1" customWidth="1"/>
    <col min="676" max="676" width="6" bestFit="1" customWidth="1"/>
    <col min="677" max="677" width="9" bestFit="1" customWidth="1"/>
    <col min="678" max="678" width="8" bestFit="1" customWidth="1"/>
    <col min="679" max="683" width="9" bestFit="1" customWidth="1"/>
    <col min="684" max="684" width="6" bestFit="1" customWidth="1"/>
    <col min="685" max="690" width="9" bestFit="1" customWidth="1"/>
    <col min="691" max="691" width="6" bestFit="1" customWidth="1"/>
    <col min="692" max="692" width="8" bestFit="1" customWidth="1"/>
    <col min="693" max="693" width="9" bestFit="1" customWidth="1"/>
    <col min="694" max="696" width="8" bestFit="1" customWidth="1"/>
    <col min="697" max="701" width="9" bestFit="1" customWidth="1"/>
    <col min="702" max="702" width="6" bestFit="1" customWidth="1"/>
    <col min="703" max="704" width="9" bestFit="1" customWidth="1"/>
    <col min="705" max="705" width="6" bestFit="1" customWidth="1"/>
    <col min="706" max="707" width="9" bestFit="1" customWidth="1"/>
    <col min="708" max="708" width="6" bestFit="1" customWidth="1"/>
    <col min="709" max="709" width="7" bestFit="1" customWidth="1"/>
    <col min="710" max="710" width="10.7109375" bestFit="1" customWidth="1"/>
  </cols>
  <sheetData>
    <row r="2" spans="2:3" x14ac:dyDescent="0.25">
      <c r="B2" s="63" t="s">
        <v>1735</v>
      </c>
    </row>
    <row r="3" spans="2:3" x14ac:dyDescent="0.25">
      <c r="B3" s="63"/>
    </row>
    <row r="4" spans="2:3" ht="16.5" x14ac:dyDescent="0.25">
      <c r="B4" s="78" t="s">
        <v>11</v>
      </c>
      <c r="C4" s="78" t="s">
        <v>1733</v>
      </c>
    </row>
    <row r="5" spans="2:3" x14ac:dyDescent="0.25">
      <c r="B5" s="74" t="s">
        <v>89</v>
      </c>
      <c r="C5" s="77">
        <v>297055.05999999994</v>
      </c>
    </row>
    <row r="6" spans="2:3" x14ac:dyDescent="0.25">
      <c r="B6" s="74" t="s">
        <v>69</v>
      </c>
      <c r="C6" s="77">
        <v>326794.52999999997</v>
      </c>
    </row>
    <row r="7" spans="2:3" x14ac:dyDescent="0.25">
      <c r="B7" s="74" t="s">
        <v>44</v>
      </c>
      <c r="C7" s="77">
        <v>230129.73999999993</v>
      </c>
    </row>
    <row r="8" spans="2:3" x14ac:dyDescent="0.25">
      <c r="B8" s="74" t="s">
        <v>49</v>
      </c>
      <c r="C8" s="77">
        <v>228066.87999999998</v>
      </c>
    </row>
    <row r="9" spans="2:3" x14ac:dyDescent="0.25">
      <c r="B9" s="74" t="s">
        <v>25</v>
      </c>
      <c r="C9" s="77">
        <v>304169.94999999995</v>
      </c>
    </row>
    <row r="10" spans="2:3" x14ac:dyDescent="0.25">
      <c r="B10" s="74" t="s">
        <v>18</v>
      </c>
      <c r="C10" s="77">
        <v>311646.28999999992</v>
      </c>
    </row>
    <row r="11" spans="2:3" x14ac:dyDescent="0.25">
      <c r="B11" s="74" t="s">
        <v>65</v>
      </c>
      <c r="C11" s="77">
        <v>324806.06000000011</v>
      </c>
    </row>
    <row r="12" spans="2:3" x14ac:dyDescent="0.25">
      <c r="B12" s="74" t="s">
        <v>32</v>
      </c>
      <c r="C12" s="77">
        <v>194509.21</v>
      </c>
    </row>
    <row r="13" spans="2:3" ht="16.5" x14ac:dyDescent="0.25">
      <c r="B13" s="78" t="s">
        <v>1732</v>
      </c>
      <c r="C13" s="71">
        <v>2217177.7199999997</v>
      </c>
    </row>
    <row r="15" spans="2:3" ht="16.5" x14ac:dyDescent="0.25">
      <c r="B15" s="81" t="s">
        <v>1734</v>
      </c>
      <c r="C15" s="82"/>
    </row>
    <row r="16" spans="2:3" x14ac:dyDescent="0.25">
      <c r="B16" s="73" t="str">
        <f>_xlfn.XLOOKUP(C16,C5:C13,B5:B13)</f>
        <v>Brasília</v>
      </c>
      <c r="C16" s="77">
        <f>MAX(C5:C12)</f>
        <v>326794.52999999997</v>
      </c>
    </row>
    <row r="18" spans="2:3" ht="16.5" x14ac:dyDescent="0.25">
      <c r="B18" s="81" t="s">
        <v>1738</v>
      </c>
      <c r="C18" s="82"/>
    </row>
    <row r="19" spans="2:3" x14ac:dyDescent="0.25">
      <c r="B19" s="73" t="str">
        <f>_xlfn.XLOOKUP(C19,C5:C12,B5:B12)</f>
        <v>São Paulo</v>
      </c>
      <c r="C19" s="77">
        <f>MIN(C5:C12)</f>
        <v>194509.21</v>
      </c>
    </row>
  </sheetData>
  <mergeCells count="2">
    <mergeCell ref="B15:C15"/>
    <mergeCell ref="B18:C18"/>
  </mergeCells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1804-C841-4E81-AB33-DE3EF07CB733}">
  <dimension ref="B2:F27"/>
  <sheetViews>
    <sheetView tabSelected="1" workbookViewId="0">
      <selection activeCell="A29" sqref="A29"/>
    </sheetView>
  </sheetViews>
  <sheetFormatPr defaultRowHeight="15" x14ac:dyDescent="0.25"/>
  <cols>
    <col min="2" max="2" width="22" bestFit="1" customWidth="1"/>
    <col min="3" max="3" width="27.5703125" bestFit="1" customWidth="1"/>
    <col min="4" max="13" width="9" bestFit="1" customWidth="1"/>
    <col min="14" max="18" width="10" bestFit="1" customWidth="1"/>
    <col min="19" max="19" width="7" bestFit="1" customWidth="1"/>
    <col min="20" max="20" width="11" bestFit="1" customWidth="1"/>
  </cols>
  <sheetData>
    <row r="2" spans="2:6" x14ac:dyDescent="0.25">
      <c r="B2" s="63" t="s">
        <v>1736</v>
      </c>
      <c r="C2" s="63"/>
      <c r="D2" s="63"/>
    </row>
    <row r="3" spans="2:6" x14ac:dyDescent="0.25">
      <c r="B3" s="63"/>
      <c r="C3" s="63"/>
      <c r="D3" s="63"/>
      <c r="F3" s="19"/>
    </row>
    <row r="4" spans="2:6" ht="16.5" x14ac:dyDescent="0.25">
      <c r="B4" s="78" t="s">
        <v>6</v>
      </c>
      <c r="C4" s="78" t="s">
        <v>1737</v>
      </c>
    </row>
    <row r="5" spans="2:6" x14ac:dyDescent="0.25">
      <c r="B5" s="74" t="s">
        <v>152</v>
      </c>
      <c r="C5" s="77">
        <v>834928.96</v>
      </c>
    </row>
    <row r="6" spans="2:6" x14ac:dyDescent="0.25">
      <c r="B6" s="74" t="s">
        <v>31</v>
      </c>
      <c r="C6" s="77">
        <v>553367.92999999993</v>
      </c>
    </row>
    <row r="7" spans="2:6" x14ac:dyDescent="0.25">
      <c r="B7" s="74" t="s">
        <v>68</v>
      </c>
      <c r="C7" s="77">
        <v>171745.17</v>
      </c>
    </row>
    <row r="8" spans="2:6" x14ac:dyDescent="0.25">
      <c r="B8" s="74" t="s">
        <v>88</v>
      </c>
      <c r="C8" s="77">
        <v>152289.32</v>
      </c>
    </row>
    <row r="9" spans="2:6" x14ac:dyDescent="0.25">
      <c r="B9" s="74" t="s">
        <v>48</v>
      </c>
      <c r="C9" s="77">
        <v>103422.67999999998</v>
      </c>
    </row>
    <row r="10" spans="2:6" x14ac:dyDescent="0.25">
      <c r="B10" s="74" t="s">
        <v>43</v>
      </c>
      <c r="C10" s="77">
        <v>85137.990000000034</v>
      </c>
    </row>
    <row r="11" spans="2:6" x14ac:dyDescent="0.25">
      <c r="B11" s="74" t="s">
        <v>106</v>
      </c>
      <c r="C11" s="77">
        <v>64209.82</v>
      </c>
    </row>
    <row r="12" spans="2:6" x14ac:dyDescent="0.25">
      <c r="B12" s="74" t="s">
        <v>75</v>
      </c>
      <c r="C12" s="77">
        <v>59883.060000000012</v>
      </c>
    </row>
    <row r="13" spans="2:6" x14ac:dyDescent="0.25">
      <c r="B13" s="74" t="s">
        <v>24</v>
      </c>
      <c r="C13" s="77">
        <v>49432.040000000015</v>
      </c>
    </row>
    <row r="14" spans="2:6" x14ac:dyDescent="0.25">
      <c r="B14" s="74" t="s">
        <v>61</v>
      </c>
      <c r="C14" s="77">
        <v>41431.14</v>
      </c>
    </row>
    <row r="15" spans="2:6" x14ac:dyDescent="0.25">
      <c r="B15" s="74" t="s">
        <v>53</v>
      </c>
      <c r="C15" s="77">
        <v>34093.040000000008</v>
      </c>
    </row>
    <row r="16" spans="2:6" x14ac:dyDescent="0.25">
      <c r="B16" s="74" t="s">
        <v>99</v>
      </c>
      <c r="C16" s="77">
        <v>19559.159999999996</v>
      </c>
    </row>
    <row r="17" spans="2:3" x14ac:dyDescent="0.25">
      <c r="B17" s="74" t="s">
        <v>103</v>
      </c>
      <c r="C17" s="77">
        <v>17231.240000000009</v>
      </c>
    </row>
    <row r="18" spans="2:3" x14ac:dyDescent="0.25">
      <c r="B18" s="74" t="s">
        <v>78</v>
      </c>
      <c r="C18" s="77">
        <v>11167.359999999997</v>
      </c>
    </row>
    <row r="19" spans="2:3" x14ac:dyDescent="0.25">
      <c r="B19" s="74" t="s">
        <v>116</v>
      </c>
      <c r="C19" s="77">
        <v>10979.630000000001</v>
      </c>
    </row>
    <row r="20" spans="2:3" x14ac:dyDescent="0.25">
      <c r="B20" s="74" t="s">
        <v>17</v>
      </c>
      <c r="C20" s="77">
        <v>8299.18</v>
      </c>
    </row>
    <row r="21" spans="2:3" ht="16.5" x14ac:dyDescent="0.25">
      <c r="B21" s="78" t="s">
        <v>1732</v>
      </c>
      <c r="C21" s="71">
        <v>2217177.7200000002</v>
      </c>
    </row>
    <row r="23" spans="2:3" ht="16.5" x14ac:dyDescent="0.25">
      <c r="B23" s="78" t="s">
        <v>1746</v>
      </c>
      <c r="C23" s="78"/>
    </row>
    <row r="24" spans="2:3" x14ac:dyDescent="0.25">
      <c r="B24" s="73" t="str">
        <f>_xlfn.XLOOKUP(C24,C5:C20,B5:B20)</f>
        <v>Notebook Pro</v>
      </c>
      <c r="C24" s="77">
        <f>MAX(C5:C20)</f>
        <v>834928.96</v>
      </c>
    </row>
    <row r="26" spans="2:3" ht="16.5" x14ac:dyDescent="0.25">
      <c r="B26" s="78" t="s">
        <v>1739</v>
      </c>
      <c r="C26" s="78"/>
    </row>
    <row r="27" spans="2:3" x14ac:dyDescent="0.25">
      <c r="B27" s="73" t="str">
        <f>_xlfn.XLOOKUP(C27,C5:C20,B5:B20)</f>
        <v>Mindset Vencedor</v>
      </c>
      <c r="C27" s="77">
        <f>MIN(C5:C20)</f>
        <v>8299.18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4FB3-5CC1-4C1A-AEDC-9EB63AEDF5C6}">
  <dimension ref="B2:C16"/>
  <sheetViews>
    <sheetView workbookViewId="0">
      <selection activeCell="C6" sqref="C6"/>
    </sheetView>
  </sheetViews>
  <sheetFormatPr defaultRowHeight="15" x14ac:dyDescent="0.25"/>
  <cols>
    <col min="2" max="2" width="13.7109375" bestFit="1" customWidth="1"/>
    <col min="3" max="3" width="21.42578125" bestFit="1" customWidth="1"/>
    <col min="4" max="4" width="7.42578125" bestFit="1" customWidth="1"/>
    <col min="5" max="5" width="8" bestFit="1" customWidth="1"/>
    <col min="6" max="6" width="12.140625" bestFit="1" customWidth="1"/>
    <col min="7" max="7" width="6.5703125" bestFit="1" customWidth="1"/>
    <col min="8" max="8" width="13.5703125" bestFit="1" customWidth="1"/>
    <col min="9" max="9" width="8.5703125" bestFit="1" customWidth="1"/>
    <col min="10" max="10" width="9.5703125" bestFit="1" customWidth="1"/>
    <col min="11" max="11" width="7" bestFit="1" customWidth="1"/>
    <col min="12" max="12" width="10.7109375" bestFit="1" customWidth="1"/>
  </cols>
  <sheetData>
    <row r="2" spans="2:3" x14ac:dyDescent="0.25">
      <c r="B2" s="63" t="s">
        <v>1740</v>
      </c>
    </row>
    <row r="4" spans="2:3" ht="16.5" x14ac:dyDescent="0.25">
      <c r="B4" s="78" t="s">
        <v>4</v>
      </c>
      <c r="C4" s="78" t="s">
        <v>1741</v>
      </c>
    </row>
    <row r="5" spans="2:3" x14ac:dyDescent="0.25">
      <c r="B5" s="74" t="s">
        <v>15</v>
      </c>
      <c r="C5" s="77">
        <v>594814.48999999987</v>
      </c>
    </row>
    <row r="6" spans="2:3" x14ac:dyDescent="0.25">
      <c r="B6" s="74" t="s">
        <v>39</v>
      </c>
      <c r="C6" s="77">
        <v>460127.08999999979</v>
      </c>
    </row>
    <row r="7" spans="2:3" x14ac:dyDescent="0.25">
      <c r="B7" s="74" t="s">
        <v>22</v>
      </c>
      <c r="C7" s="77">
        <v>429704.05999999976</v>
      </c>
    </row>
    <row r="8" spans="2:3" x14ac:dyDescent="0.25">
      <c r="B8" s="74" t="s">
        <v>47</v>
      </c>
      <c r="C8" s="77">
        <v>410839.79999999981</v>
      </c>
    </row>
    <row r="9" spans="2:3" x14ac:dyDescent="0.25">
      <c r="B9" s="74" t="s">
        <v>29</v>
      </c>
      <c r="C9" s="77">
        <v>321692.27999999991</v>
      </c>
    </row>
    <row r="10" spans="2:3" ht="16.5" x14ac:dyDescent="0.25">
      <c r="B10" s="78" t="s">
        <v>1732</v>
      </c>
      <c r="C10" s="71">
        <v>2217177.7199999988</v>
      </c>
    </row>
    <row r="12" spans="2:3" ht="16.5" x14ac:dyDescent="0.25">
      <c r="B12" s="78" t="s">
        <v>1742</v>
      </c>
      <c r="C12" s="78"/>
    </row>
    <row r="13" spans="2:3" x14ac:dyDescent="0.25">
      <c r="B13" s="73" t="str">
        <f>_xlfn.XLOOKUP(C13,C5:C9,B5:B9)</f>
        <v>Larissa Dias</v>
      </c>
      <c r="C13" s="77">
        <f>MAX(C5:C9)</f>
        <v>594814.48999999987</v>
      </c>
    </row>
    <row r="15" spans="2:3" ht="16.5" x14ac:dyDescent="0.25">
      <c r="B15" s="78" t="s">
        <v>1743</v>
      </c>
      <c r="C15" s="78"/>
    </row>
    <row r="16" spans="2:3" x14ac:dyDescent="0.25">
      <c r="B16" s="73" t="str">
        <f>_xlfn.XLOOKUP(C16,C5:C9,B5:B9)</f>
        <v>Camila Rocha</v>
      </c>
      <c r="C16" s="77">
        <f>MIN(C5:C9)</f>
        <v>321692.27999999991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A559-0010-452F-8CAC-B95A980025AD}">
  <dimension ref="B2:D15"/>
  <sheetViews>
    <sheetView workbookViewId="0">
      <selection activeCell="G28" sqref="G28"/>
    </sheetView>
  </sheetViews>
  <sheetFormatPr defaultRowHeight="15" x14ac:dyDescent="0.25"/>
  <cols>
    <col min="2" max="2" width="16.5703125" bestFit="1" customWidth="1"/>
    <col min="3" max="3" width="29.140625" bestFit="1" customWidth="1"/>
    <col min="4" max="4" width="21.7109375" bestFit="1" customWidth="1"/>
  </cols>
  <sheetData>
    <row r="2" spans="2:4" x14ac:dyDescent="0.25">
      <c r="B2" s="63" t="s">
        <v>1749</v>
      </c>
    </row>
    <row r="4" spans="2:4" ht="16.5" x14ac:dyDescent="0.25">
      <c r="B4" s="78" t="s">
        <v>5</v>
      </c>
      <c r="C4" s="78" t="s">
        <v>1744</v>
      </c>
      <c r="D4" s="78" t="s">
        <v>1745</v>
      </c>
    </row>
    <row r="5" spans="2:4" x14ac:dyDescent="0.25">
      <c r="B5" s="75" t="s">
        <v>23</v>
      </c>
      <c r="C5" s="77">
        <v>390282.02999999962</v>
      </c>
      <c r="D5" s="79">
        <v>0.17602649822766561</v>
      </c>
    </row>
    <row r="6" spans="2:4" x14ac:dyDescent="0.25">
      <c r="B6" s="75" t="s">
        <v>30</v>
      </c>
      <c r="C6" s="77">
        <v>1624251.8800000004</v>
      </c>
      <c r="D6" s="79">
        <v>0.73257631327812578</v>
      </c>
    </row>
    <row r="7" spans="2:4" x14ac:dyDescent="0.25">
      <c r="B7" s="75" t="s">
        <v>16</v>
      </c>
      <c r="C7" s="77">
        <v>47677.409999999967</v>
      </c>
      <c r="D7" s="79">
        <v>2.1503648340828525E-2</v>
      </c>
    </row>
    <row r="8" spans="2:4" x14ac:dyDescent="0.25">
      <c r="B8" s="75" t="s">
        <v>52</v>
      </c>
      <c r="C8" s="77">
        <v>154966.40000000008</v>
      </c>
      <c r="D8" s="79">
        <v>6.9893540153380257E-2</v>
      </c>
    </row>
    <row r="9" spans="2:4" ht="16.5" x14ac:dyDescent="0.3">
      <c r="B9" s="78" t="s">
        <v>1732</v>
      </c>
      <c r="C9" s="71">
        <v>2217177.7199999997</v>
      </c>
      <c r="D9" s="80">
        <v>1</v>
      </c>
    </row>
    <row r="11" spans="2:4" ht="16.5" x14ac:dyDescent="0.25">
      <c r="B11" s="81" t="s">
        <v>1747</v>
      </c>
      <c r="C11" s="82"/>
    </row>
    <row r="12" spans="2:4" x14ac:dyDescent="0.25">
      <c r="B12" s="73" t="str">
        <f>_xlfn.XLOOKUP(C12,C5:C8,B5:B8)</f>
        <v>Eletrônicos</v>
      </c>
      <c r="C12" s="77">
        <f>MAX(C5:C8)</f>
        <v>1624251.8800000004</v>
      </c>
    </row>
    <row r="14" spans="2:4" ht="16.5" x14ac:dyDescent="0.25">
      <c r="B14" s="81" t="s">
        <v>1748</v>
      </c>
      <c r="C14" s="82"/>
    </row>
    <row r="15" spans="2:4" x14ac:dyDescent="0.25">
      <c r="B15" s="73" t="str">
        <f>_xlfn.XLOOKUP(C15,C5:C8,B5:B8)</f>
        <v>Livros</v>
      </c>
      <c r="C15" s="77">
        <f>MIN(C5:C8)</f>
        <v>47677.409999999967</v>
      </c>
    </row>
  </sheetData>
  <mergeCells count="2">
    <mergeCell ref="B11:C11"/>
    <mergeCell ref="B14:C14"/>
  </mergeCell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Documentação_Projeto</vt:lpstr>
      <vt:lpstr>Dados_Vendas_Bruto</vt:lpstr>
      <vt:lpstr>Dados_Vendas_Tratamento</vt:lpstr>
      <vt:lpstr>Dados_Vendas_Limpo</vt:lpstr>
      <vt:lpstr>KPI_Cidades</vt:lpstr>
      <vt:lpstr>KPI_Produtos</vt:lpstr>
      <vt:lpstr>KPI_Vendedores</vt:lpstr>
      <vt:lpstr>KPI_Categoria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SLT INFO</cp:lastModifiedBy>
  <dcterms:created xsi:type="dcterms:W3CDTF">2026-05-26T12:25:49Z</dcterms:created>
  <dcterms:modified xsi:type="dcterms:W3CDTF">2026-08-08T22:59:06Z</dcterms:modified>
</cp:coreProperties>
</file>